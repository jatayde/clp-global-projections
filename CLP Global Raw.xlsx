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P_Epidemiology" sheetId="1" r:id="rId4"/>
    <sheet state="visible" name="Birth Pop per Year" sheetId="2" r:id="rId5"/>
    <sheet state="visible" name="CLP Cases" sheetId="3" r:id="rId6"/>
    <sheet state="visible" name="DALY projected" sheetId="4" r:id="rId7"/>
    <sheet state="visible" name="Table_1_2_3_Incidence" sheetId="5" r:id="rId8"/>
    <sheet state="visible" name="DALY_EconomicImpact" sheetId="6" r:id="rId9"/>
    <sheet state="visible" name="Table 3_EconomicImpact" sheetId="7" r:id="rId10"/>
  </sheets>
  <definedNames>
    <definedName hidden="1" localSheetId="0" name="_xlnm._FilterDatabase">CLP_Epidemiology!$A$1:$A$1199</definedName>
  </definedNames>
  <calcPr/>
</workbook>
</file>

<file path=xl/sharedStrings.xml><?xml version="1.0" encoding="utf-8"?>
<sst xmlns="http://schemas.openxmlformats.org/spreadsheetml/2006/main" count="5479" uniqueCount="2065">
  <si>
    <t>Country</t>
  </si>
  <si>
    <t>Year</t>
  </si>
  <si>
    <t xml:space="preserve">Birth Population </t>
  </si>
  <si>
    <t>Total Population</t>
  </si>
  <si>
    <t>Incidence Rate (per100k), 2021</t>
  </si>
  <si>
    <t>Number of Cases per Total Population</t>
  </si>
  <si>
    <t>Incidence Lower</t>
  </si>
  <si>
    <t>Number of Cases per Total Population (Lower)</t>
  </si>
  <si>
    <t>Incidence Upper</t>
  </si>
  <si>
    <t>Number of Cases per Total Population (Upper)</t>
  </si>
  <si>
    <t>Adjusted Incidence per Birth Population</t>
  </si>
  <si>
    <t>Adjusted Incidence Rate per Birth Population (Lower)</t>
  </si>
  <si>
    <t>Adjusted Incidence Rate per Birth Population (Upper)</t>
  </si>
  <si>
    <t>DALY Rate (per 100k), 2021</t>
  </si>
  <si>
    <t>Number of DALY's per 100k</t>
  </si>
  <si>
    <t>DALY Lower</t>
  </si>
  <si>
    <t>Number of DALY's per 100k (Lower)</t>
  </si>
  <si>
    <t>DALY Upper</t>
  </si>
  <si>
    <t>Number of DALY's per 100k (Upper)</t>
  </si>
  <si>
    <t>Adjusted Incidence of DALYs per Birth Population</t>
  </si>
  <si>
    <t>Adjusted Incidence of DALYs per Birth Population (Lower)</t>
  </si>
  <si>
    <t>Adjusted Incidence of DALYs per Birth Population (Upper</t>
  </si>
  <si>
    <t>Notes</t>
  </si>
  <si>
    <t>a</t>
  </si>
  <si>
    <t>Afghanistan</t>
  </si>
  <si>
    <t>b</t>
  </si>
  <si>
    <t>Rates per 100,000</t>
  </si>
  <si>
    <t>c</t>
  </si>
  <si>
    <t xml:space="preserve">Using Rate Metric </t>
  </si>
  <si>
    <t>d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</si>
  <si>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</si>
  <si>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</si>
  <si>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</si>
  <si>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</si>
  <si>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</si>
  <si>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</si>
  <si>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</si>
  <si>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</si>
  <si>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</si>
  <si>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</si>
  <si>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</si>
  <si>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Qatar</t>
  </si>
  <si>
    <t>Saudi Arabia</t>
  </si>
  <si>
    <t>Sudan</t>
  </si>
  <si>
    <t>Syrian Arab Republic</t>
  </si>
  <si>
    <t>Tunisia</t>
  </si>
  <si>
    <t>Turkiye</t>
  </si>
  <si>
    <t>United Arab Emirates</t>
  </si>
  <si>
    <t>Yemen</t>
  </si>
  <si>
    <t>Bangladesh</t>
  </si>
  <si>
    <t>Bhutan</t>
  </si>
  <si>
    <t>India</t>
  </si>
  <si>
    <t>Nepal</t>
  </si>
  <si>
    <t>Pakistan</t>
  </si>
  <si>
    <t>China</t>
  </si>
  <si>
    <t>North Korea</t>
  </si>
  <si>
    <t>American Samoa</t>
  </si>
  <si>
    <t>Fiji</t>
  </si>
  <si>
    <t>Guam</t>
  </si>
  <si>
    <t>Kiribati</t>
  </si>
  <si>
    <t>Marshall Islands</t>
  </si>
  <si>
    <t>Micronesia</t>
  </si>
  <si>
    <t>Nauru</t>
  </si>
  <si>
    <t xml:space="preserve">Northern Mariana Islands </t>
  </si>
  <si>
    <t>Palau</t>
  </si>
  <si>
    <t>Papua New Guinea</t>
  </si>
  <si>
    <t>Samoa</t>
  </si>
  <si>
    <t>Solomon Islands</t>
  </si>
  <si>
    <t>Tonga</t>
  </si>
  <si>
    <t>Tuvalu</t>
  </si>
  <si>
    <t>Vanuatu</t>
  </si>
  <si>
    <t>Cambodia</t>
  </si>
  <si>
    <t>Indonesia</t>
  </si>
  <si>
    <t>Lao PDR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</si>
  <si>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</si>
  <si>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</si>
  <si>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</si>
  <si>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</si>
  <si>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</si>
  <si>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</si>
  <si>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</si>
  <si>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</si>
  <si>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</si>
  <si>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</si>
  <si>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Angola</t>
  </si>
  <si>
    <t>Central African Republic</t>
  </si>
  <si>
    <t>Congo, Rep</t>
  </si>
  <si>
    <t>Congo, Dem Rep</t>
  </si>
  <si>
    <t>Equatorial Guinea</t>
  </si>
  <si>
    <t>Gabon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</si>
  <si>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</si>
  <si>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</si>
  <si>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</si>
  <si>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</si>
  <si>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</si>
  <si>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</si>
  <si>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</si>
  <si>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</si>
  <si>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</si>
  <si>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</si>
  <si>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</si>
  <si>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</si>
  <si>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</si>
  <si>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</si>
  <si>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</si>
  <si>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Botswana</t>
  </si>
  <si>
    <t>Eswatini</t>
  </si>
  <si>
    <t>Lesotho</t>
  </si>
  <si>
    <t>Namibia</t>
  </si>
  <si>
    <t>South Africa</t>
  </si>
  <si>
    <t>Zimbabwe</t>
  </si>
  <si>
    <t>Benin</t>
  </si>
  <si>
    <t>Burkina Faso</t>
  </si>
  <si>
    <t>Cabo Verde</t>
  </si>
  <si>
    <t>Cameroon</t>
  </si>
  <si>
    <t>Chad</t>
  </si>
  <si>
    <t>Cote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</si>
  <si>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</si>
  <si>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</si>
  <si>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</si>
  <si>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</si>
  <si>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</si>
  <si>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</si>
  <si>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</si>
  <si>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</si>
  <si>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</si>
  <si>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</si>
  <si>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</si>
  <si>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</si>
  <si>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</si>
  <si>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</si>
  <si>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</si>
  <si>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</si>
  <si>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</si>
  <si>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</si>
  <si>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</si>
  <si>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</si>
  <si>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</si>
  <si>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</si>
  <si>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</si>
  <si>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</si>
  <si>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</si>
  <si>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</si>
  <si>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</si>
  <si>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</si>
  <si>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</si>
  <si>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</si>
  <si>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</si>
  <si>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</si>
  <si>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</si>
  <si>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</si>
  <si>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</si>
  <si>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</si>
  <si>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</si>
  <si>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</si>
  <si>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</si>
  <si>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Moldova</t>
  </si>
  <si>
    <t>Russia</t>
  </si>
  <si>
    <t>Ukraine</t>
  </si>
  <si>
    <t>Australia</t>
  </si>
  <si>
    <t>New Zealand</t>
  </si>
  <si>
    <t>Brunei Darussalam</t>
  </si>
  <si>
    <t>Japan</t>
  </si>
  <si>
    <t>Korea, Rep</t>
  </si>
  <si>
    <t>Singapore</t>
  </si>
  <si>
    <t>Canada</t>
  </si>
  <si>
    <t>Greenland</t>
  </si>
  <si>
    <t>United States</t>
  </si>
  <si>
    <t>Argentina</t>
  </si>
  <si>
    <t>Chile</t>
  </si>
  <si>
    <t>Uruguay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</si>
  <si>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</si>
  <si>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</si>
  <si>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</si>
  <si>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</si>
  <si>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</si>
  <si>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</si>
  <si>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</si>
  <si>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</si>
  <si>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</si>
  <si>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</si>
  <si>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</si>
  <si>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</si>
  <si>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</si>
  <si>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</si>
  <si>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</si>
  <si>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</si>
  <si>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</si>
  <si>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</si>
  <si>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</si>
  <si>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</si>
  <si>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</si>
  <si>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</si>
  <si>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Switzerland</t>
  </si>
  <si>
    <t>United Kingdom</t>
  </si>
  <si>
    <t>Bolivia</t>
  </si>
  <si>
    <t>Ecuador</t>
  </si>
  <si>
    <t>Peru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</si>
  <si>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</si>
  <si>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</si>
  <si>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</si>
  <si>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</si>
  <si>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</si>
  <si>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</si>
  <si>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</si>
  <si>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</si>
  <si>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</si>
  <si>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</si>
  <si>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</si>
  <si>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</si>
  <si>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</si>
  <si>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</si>
  <si>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St. Lucia</t>
  </si>
  <si>
    <t>St. Vincent</t>
  </si>
  <si>
    <t>Suriname</t>
  </si>
  <si>
    <t>Trinidad and Tobago</t>
  </si>
  <si>
    <t>US Virgin Islands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</si>
  <si>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</si>
  <si>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</si>
  <si>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</si>
  <si>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</si>
  <si>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</si>
  <si>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</si>
  <si>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</si>
  <si>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</si>
  <si>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</t>
  </si>
  <si>
    <t>Brazil</t>
  </si>
  <si>
    <t>Paraguay</t>
  </si>
  <si>
    <t>Adjusted Incidence per Birth Population per 100k in 2021</t>
  </si>
  <si>
    <t>Adjusted Incidence Rate per Birth Population per 100k in 2021 (Lower)</t>
  </si>
  <si>
    <t>Adjusted Incidence Rate per Birth Population per 100k in 2021 (Upper)</t>
  </si>
  <si>
    <t>2030 Projected Cases from Birth Population</t>
  </si>
  <si>
    <t>2030 Projected Cases from Birth Population (Lower)</t>
  </si>
  <si>
    <t>2030 Projected Cases from Birth Population (Upper)</t>
  </si>
  <si>
    <t>2040 Projected Cases from Birth Population</t>
  </si>
  <si>
    <t>2040 Projected Cases from Birth Population (Lower)</t>
  </si>
  <si>
    <t>2040 Projected Cases from Birth Population (Upper)</t>
  </si>
  <si>
    <t xml:space="preserve">2050 Projected Cases from Birth Population </t>
  </si>
  <si>
    <t>2050 Projected Cases from Birth Population (Lower)</t>
  </si>
  <si>
    <t>2050 Projected Cases from Birth Population (Upper)</t>
  </si>
  <si>
    <t>Adjusted Rate per Birth Population (95% CI)</t>
  </si>
  <si>
    <t>Birth Population 2030</t>
  </si>
  <si>
    <t>CL/P Estimated 2030 (95% CI)</t>
  </si>
  <si>
    <t>Birth Population 2040</t>
  </si>
  <si>
    <t>CL/P Estimated 2040 (95% CI)</t>
  </si>
  <si>
    <t>Birth Population 2050</t>
  </si>
  <si>
    <t>Adjusted Incidence of DALYs per Birth Population (Upper)</t>
  </si>
  <si>
    <t>2030 Projected DALYs from Birth Population</t>
  </si>
  <si>
    <t>2030 Projected DALYs from Birth Population (Lower)</t>
  </si>
  <si>
    <t>2030 Projected DALYs from Birth Population (Upper)</t>
  </si>
  <si>
    <t>2040 Projected DALYs from Birth Population</t>
  </si>
  <si>
    <t>2040 Projected DALYs from Birth Population (Lower)</t>
  </si>
  <si>
    <t>2040 Projected DALYs from Birth Population (Upper)</t>
  </si>
  <si>
    <t xml:space="preserve">2050 Projected DALYs from Birth Population </t>
  </si>
  <si>
    <t>2050 Projected DALYs from Birth Population (Lower)</t>
  </si>
  <si>
    <t>2050 Projected DALYs from Birth Population (Upper)</t>
  </si>
  <si>
    <t>Adjusted DALY Rate per Birth Population (95% CI)</t>
  </si>
  <si>
    <t>DALY Estimate 2030 (95% CI)</t>
  </si>
  <si>
    <t>DALY Estimate 2040 (95% CI)</t>
  </si>
  <si>
    <t>DALY Estimate 2050 (95% CI)</t>
  </si>
  <si>
    <t>180 (135-239)</t>
  </si>
  <si>
    <t>2,740 (2,056-3,640)</t>
  </si>
  <si>
    <t>2,979 (2,235-3,957)</t>
  </si>
  <si>
    <t>3,190 (2,394-4,238)</t>
  </si>
  <si>
    <t>1,079 (207-5,411)</t>
  </si>
  <si>
    <t>16,417 (3,150-82,305)</t>
  </si>
  <si>
    <t>17,848 (3,425-89,478)</t>
  </si>
  <si>
    <t>19,116 (3,668-95,837)</t>
  </si>
  <si>
    <t>140 (105-189)</t>
  </si>
  <si>
    <t>1,076 (860-1,449)</t>
  </si>
  <si>
    <t>1,152 (860-1,552)</t>
  </si>
  <si>
    <t>1,204 (899-1,622)</t>
  </si>
  <si>
    <t>342 (236-502)</t>
  </si>
  <si>
    <t>2,622 (1,808-3,845)</t>
  </si>
  <si>
    <t>2,808 (1,936-4,303)</t>
  </si>
  <si>
    <t>2,934 (2,023-4,303)</t>
  </si>
  <si>
    <t>133 (100-179)</t>
  </si>
  <si>
    <t>28 (23-38)</t>
  </si>
  <si>
    <t>31 (23-42)</t>
  </si>
  <si>
    <t>32 (24-44)</t>
  </si>
  <si>
    <t>441 (273-657)</t>
  </si>
  <si>
    <t>93 (57-138)</t>
  </si>
  <si>
    <t>103 (64-160)</t>
  </si>
  <si>
    <t>107 (66-160)</t>
  </si>
  <si>
    <t>162 (125-217)</t>
  </si>
  <si>
    <t>4,046 (3,396-5,414)</t>
  </si>
  <si>
    <t>4,428 (3,396-5,926)</t>
  </si>
  <si>
    <t>4,175 (3,201-5,587)</t>
  </si>
  <si>
    <t>372 (250-528)</t>
  </si>
  <si>
    <t>9,272 (6,228-13,153)</t>
  </si>
  <si>
    <t>10,148 (6,817-13,571)</t>
  </si>
  <si>
    <t>9,567 (6,426-13,571)</t>
  </si>
  <si>
    <t>108 (82-148)</t>
  </si>
  <si>
    <t>1,122 (853-1,539)</t>
  </si>
  <si>
    <t>1,127 (853-1,546)</t>
  </si>
  <si>
    <t>1,070 (810-1,468)</t>
  </si>
  <si>
    <t>385 (256-552)</t>
  </si>
  <si>
    <t>3,987 (2,653-5,723)</t>
  </si>
  <si>
    <t>4,007 (2,666-5,458)</t>
  </si>
  <si>
    <t>3,803 (2,530-5,458)</t>
  </si>
  <si>
    <t>136 (101-188)</t>
  </si>
  <si>
    <t>1,671 (1,334-2,305)</t>
  </si>
  <si>
    <t>1,805 (1,334-2,490)</t>
  </si>
  <si>
    <t>1,804 (1,334-2,488)</t>
  </si>
  <si>
    <t>254 (168-371)</t>
  </si>
  <si>
    <t>3,115 (2,059-4,544)</t>
  </si>
  <si>
    <t>3,364 (2,224-4,905)</t>
  </si>
  <si>
    <t>3,362 (2,223-4,905)</t>
  </si>
  <si>
    <t>165 (122-221)</t>
  </si>
  <si>
    <t>381 (307-511)</t>
  </si>
  <si>
    <t>415 (307-557)</t>
  </si>
  <si>
    <t>395 (292-530)</t>
  </si>
  <si>
    <t>331 (213-494)</t>
  </si>
  <si>
    <t>764 (491-1,140)</t>
  </si>
  <si>
    <t>833 (536-1,183)</t>
  </si>
  <si>
    <t>792 (510-1,183)</t>
  </si>
  <si>
    <t>130 (95-187)</t>
  </si>
  <si>
    <t>69 (58-100)</t>
  </si>
  <si>
    <t>80 (58-115)</t>
  </si>
  <si>
    <t>84 (62-121)</t>
  </si>
  <si>
    <t>443 (271-681)</t>
  </si>
  <si>
    <t>237 (145-364)</t>
  </si>
  <si>
    <t>272 (167-442)</t>
  </si>
  <si>
    <t>288 (176-442)</t>
  </si>
  <si>
    <t>123 (95-167)</t>
  </si>
  <si>
    <t>114 (92-155)</t>
  </si>
  <si>
    <t>120 (92-163)</t>
  </si>
  <si>
    <t>106 (82-144)</t>
  </si>
  <si>
    <t>381 (248-552)</t>
  </si>
  <si>
    <t>355 (231-515)</t>
  </si>
  <si>
    <t>372 (242-477)</t>
  </si>
  <si>
    <t>329 (214-477)</t>
  </si>
  <si>
    <t>82 (63-109)</t>
  </si>
  <si>
    <t>97 (78-128)</t>
  </si>
  <si>
    <t>101 (78-133)</t>
  </si>
  <si>
    <t>96 (74-127)</t>
  </si>
  <si>
    <t>350 (230-502)</t>
  </si>
  <si>
    <t>411 (271-590)</t>
  </si>
  <si>
    <t>429 (282-587)</t>
  </si>
  <si>
    <t>409 (269-587)</t>
  </si>
  <si>
    <t>134 (103-177)</t>
  </si>
  <si>
    <t>790 (584-1,047)</t>
  </si>
  <si>
    <t>758 (584-1,004)</t>
  </si>
  <si>
    <t>705 (543-934)</t>
  </si>
  <si>
    <t>337 (212-518)</t>
  </si>
  <si>
    <t>1,994 (1,252-3,065)</t>
  </si>
  <si>
    <t>1,913 (1,201-2,734)</t>
  </si>
  <si>
    <t>1,779 (1,117-2,734)</t>
  </si>
  <si>
    <t>164 (120-232)</t>
  </si>
  <si>
    <t>147 (112-207)</t>
  </si>
  <si>
    <t>153 (112-216)</t>
  </si>
  <si>
    <t>171 (125-242)</t>
  </si>
  <si>
    <t>361 (228-547)</t>
  </si>
  <si>
    <t>323 (204-490)</t>
  </si>
  <si>
    <t>336 (213-571)</t>
  </si>
  <si>
    <t>376 (238-571)</t>
  </si>
  <si>
    <t>246 (177-351)</t>
  </si>
  <si>
    <t>85 (77-121)</t>
  </si>
  <si>
    <t>107 (77-152)</t>
  </si>
  <si>
    <t>122 (88-174)</t>
  </si>
  <si>
    <t>740 (442-1,143)</t>
  </si>
  <si>
    <t>255 (153-395)</t>
  </si>
  <si>
    <t>321 (192-568)</t>
  </si>
  <si>
    <t>368 (220-568)</t>
  </si>
  <si>
    <t>126 (92-174)</t>
  </si>
  <si>
    <t>727 (548-1,004)</t>
  </si>
  <si>
    <t>752 (548-1,038)</t>
  </si>
  <si>
    <t>779 (568-1,076)</t>
  </si>
  <si>
    <t>375 (230-580)</t>
  </si>
  <si>
    <t>2,164 (1,329-3,351)</t>
  </si>
  <si>
    <t>2,238 (1,375-3,591)</t>
  </si>
  <si>
    <t>2,319 (1,425-3,591)</t>
  </si>
  <si>
    <t>118 (89-154)</t>
  </si>
  <si>
    <t>2,011 (1,591-2,620)</t>
  </si>
  <si>
    <t>2,118 (1,591-2,760)</t>
  </si>
  <si>
    <t>2,279 (1,712-2,969)</t>
  </si>
  <si>
    <t>385 (237-613)</t>
  </si>
  <si>
    <t>6,553 (4,037-10,423)</t>
  </si>
  <si>
    <t>6,902 (4,252-11,812)</t>
  </si>
  <si>
    <t>7,426 (4,575-11,812)</t>
  </si>
  <si>
    <t>206 (158-278)</t>
  </si>
  <si>
    <t>1,381 (927-1,860)</t>
  </si>
  <si>
    <t>1,207 (927-1,626)</t>
  </si>
  <si>
    <t>1,099 (844-1,481)</t>
  </si>
  <si>
    <t>690 (448-1,031)</t>
  </si>
  <si>
    <t>4,629 (3,001-6,911)</t>
  </si>
  <si>
    <t>4,046 (2,623-5,500)</t>
  </si>
  <si>
    <t>3,684 (2,389-5,500)</t>
  </si>
  <si>
    <t>131 (101-176)</t>
  </si>
  <si>
    <t>192 (150-256)</t>
  </si>
  <si>
    <t>195 (150-261)</t>
  </si>
  <si>
    <t>193 (148-257)</t>
  </si>
  <si>
    <t>414 (270-606)</t>
  </si>
  <si>
    <t>604 (393-885)</t>
  </si>
  <si>
    <t>615 (400-889)</t>
  </si>
  <si>
    <t>607 (395-889)</t>
  </si>
  <si>
    <t>147 (120-223)</t>
  </si>
  <si>
    <t>1,477 (1,128-2,234)</t>
  </si>
  <si>
    <t>1,379 (1,128-2,086)</t>
  </si>
  <si>
    <t>1,252 (1,024-1,894)</t>
  </si>
  <si>
    <t>391 (274-554)</t>
  </si>
  <si>
    <t>3,921 (2,750-5,558)</t>
  </si>
  <si>
    <t>3,662 (2,568-4,713)</t>
  </si>
  <si>
    <t>3,325 (2,332-4,713)</t>
  </si>
  <si>
    <t>93 (66-135)</t>
  </si>
  <si>
    <t>129 (110-188)</t>
  </si>
  <si>
    <t>155 (110-226)</t>
  </si>
  <si>
    <t>167 (118-243)</t>
  </si>
  <si>
    <t>367 (224-573)</t>
  </si>
  <si>
    <t>509 (310-795)</t>
  </si>
  <si>
    <t>612 (373-1,030)</t>
  </si>
  <si>
    <t>660 (402-1,030)</t>
  </si>
  <si>
    <t>119 (91-155)</t>
  </si>
  <si>
    <t>1,633 (1,317-2,136)</t>
  </si>
  <si>
    <t>1,714 (1,317-2,242)</t>
  </si>
  <si>
    <t>1,856 (1,426-2,427)</t>
  </si>
  <si>
    <t>741 (259-2,603)</t>
  </si>
  <si>
    <t>10,204 (3,568-35,836)</t>
  </si>
  <si>
    <t>10,710 (3,744-40,732)</t>
  </si>
  <si>
    <t>11,598 (4,055-40,732)</t>
  </si>
  <si>
    <t>197 (137-270)</t>
  </si>
  <si>
    <t>6,356 (3,875-8,740)</t>
  </si>
  <si>
    <t>5,565 (3,875-7,651)</t>
  </si>
  <si>
    <t>5,341 (3,719-7,344)</t>
  </si>
  <si>
    <t>400 (250-622)</t>
  </si>
  <si>
    <t>12,923 (8,075-20,106)</t>
  </si>
  <si>
    <t>11,314 (7,069-16,894)</t>
  </si>
  <si>
    <t>10,859 (6,785-16,894)</t>
  </si>
  <si>
    <t>362 (254-509)</t>
  </si>
  <si>
    <t>34 (23-48)</t>
  </si>
  <si>
    <t>33 (23-46)</t>
  </si>
  <si>
    <t>28 (20-39)</t>
  </si>
  <si>
    <t>619 (369-1,017)</t>
  </si>
  <si>
    <t>59 (35-97)</t>
  </si>
  <si>
    <t>56 (33-79)</t>
  </si>
  <si>
    <t>48 (29-79)</t>
  </si>
  <si>
    <t>153 (111-208)</t>
  </si>
  <si>
    <t>33,939 (22,931-46,306)</t>
  </si>
  <si>
    <t>31,466 (22,931-42,932)</t>
  </si>
  <si>
    <t>28,811 (20,996-39,309)</t>
  </si>
  <si>
    <t>354 (219-559)</t>
  </si>
  <si>
    <t>78,596 (48,779-124,214)</t>
  </si>
  <si>
    <t>72,869 (45,225-105,447)</t>
  </si>
  <si>
    <t>66,721 (41,409-105,447)</t>
  </si>
  <si>
    <t>233 (167-323)</t>
  </si>
  <si>
    <t>1,194 (777-1,655)</t>
  </si>
  <si>
    <t>1,084 (777-1,502)</t>
  </si>
  <si>
    <t>1,003 (719-1,390)</t>
  </si>
  <si>
    <t>406 (242-643)</t>
  </si>
  <si>
    <t>2,079 (1,239-3,295)</t>
  </si>
  <si>
    <t>1,887 (1,125-2,767)</t>
  </si>
  <si>
    <t>1,746 (1,041-2,767)</t>
  </si>
  <si>
    <t>223 (169-298)</t>
  </si>
  <si>
    <t>15,220 (12,377-20,387)</t>
  </si>
  <si>
    <t>16,277 (12,377-21,803)</t>
  </si>
  <si>
    <t>16,266 (12,368-21,787)</t>
  </si>
  <si>
    <t>410 (241-711)</t>
  </si>
  <si>
    <t>28,060 (16,487-48,649)</t>
  </si>
  <si>
    <t>30,009 (17,632-51,990)</t>
  </si>
  <si>
    <t>29,987 (17,619-51,990)</t>
  </si>
  <si>
    <t>107 (80-136)</t>
  </si>
  <si>
    <t>8,913 (6,922-11,354)</t>
  </si>
  <si>
    <t>9,230 (6,922-11,757)</t>
  </si>
  <si>
    <t>8,019 (6,014-10,215)</t>
  </si>
  <si>
    <t>309 (211-451)</t>
  </si>
  <si>
    <t>25,784 (17,614-37,563)</t>
  </si>
  <si>
    <t>26,700 (18,239-33,795)</t>
  </si>
  <si>
    <t>23,198 (15,847-33,795)</t>
  </si>
  <si>
    <t>97 (69-129)</t>
  </si>
  <si>
    <t>293 (180-389)</t>
  </si>
  <si>
    <t>254 (180-337)</t>
  </si>
  <si>
    <t>256 (182-341)</t>
  </si>
  <si>
    <t>317 (185-546)</t>
  </si>
  <si>
    <t>955 (556-1,644)</t>
  </si>
  <si>
    <t>826 (481-1,439)</t>
  </si>
  <si>
    <t>836 (487-1,439)</t>
  </si>
  <si>
    <t>65 (43-94)</t>
  </si>
  <si>
    <t>0 (0-1)</t>
  </si>
  <si>
    <t>0 (0-0)</t>
  </si>
  <si>
    <t>179 (96-315)</t>
  </si>
  <si>
    <t>1 (1-2)</t>
  </si>
  <si>
    <t>1 (0-2)</t>
  </si>
  <si>
    <t>61 (43-89)</t>
  </si>
  <si>
    <t>10 (6-14)</t>
  </si>
  <si>
    <t>9 (6-14)</t>
  </si>
  <si>
    <t>8 (6-12)</t>
  </si>
  <si>
    <t>208 (113-432)</t>
  </si>
  <si>
    <t>33 (18-68)</t>
  </si>
  <si>
    <t>32 (17-60)</t>
  </si>
  <si>
    <t>29 (16-60)</t>
  </si>
  <si>
    <t>70 (46-105)</t>
  </si>
  <si>
    <t>2 (1-3)</t>
  </si>
  <si>
    <t>150 (86-277)</t>
  </si>
  <si>
    <t>4 (2-8)</t>
  </si>
  <si>
    <t>58 (42-85)</t>
  </si>
  <si>
    <t>517 (136-1,532)</t>
  </si>
  <si>
    <t>17 (4-50)</t>
  </si>
  <si>
    <t>18 (5-53)</t>
  </si>
  <si>
    <t>61 (43-88)</t>
  </si>
  <si>
    <t>255 (106-581)</t>
  </si>
  <si>
    <t>1 (1-3)</t>
  </si>
  <si>
    <t>1 (0-3)</t>
  </si>
  <si>
    <t>51 (36-73)</t>
  </si>
  <si>
    <t>1 (1-1)</t>
  </si>
  <si>
    <t>247 (109-474)</t>
  </si>
  <si>
    <t>6 (3-11)</t>
  </si>
  <si>
    <t>6 (2-10)</t>
  </si>
  <si>
    <t>5 (2-10)</t>
  </si>
  <si>
    <t>78 (53-111)</t>
  </si>
  <si>
    <t>335 (147-711)</t>
  </si>
  <si>
    <t>56 (37-84)</t>
  </si>
  <si>
    <t>153 (90-240)</t>
  </si>
  <si>
    <t>1 (0-1)</t>
  </si>
  <si>
    <t>60 (41-85)</t>
  </si>
  <si>
    <t>226 (135-342)</t>
  </si>
  <si>
    <t>236 (171-340)</t>
  </si>
  <si>
    <t>243 (171-351)</t>
  </si>
  <si>
    <t>246 (173-356)</t>
  </si>
  <si>
    <t>1,191 (287-2,967)</t>
  </si>
  <si>
    <t>3,007 (726-7,493)</t>
  </si>
  <si>
    <t>3,100 (748-7,832)</t>
  </si>
  <si>
    <t>3,143 (758-7,832)</t>
  </si>
  <si>
    <t>77 (54-109)</t>
  </si>
  <si>
    <t>4 (3-6)</t>
  </si>
  <si>
    <t>5 (3-7)</t>
  </si>
  <si>
    <t>218 (97-404)</t>
  </si>
  <si>
    <t>12 (5-22)</t>
  </si>
  <si>
    <t>14 (6-24)</t>
  </si>
  <si>
    <t>13 (6-24)</t>
  </si>
  <si>
    <t>Soloman Islands</t>
  </si>
  <si>
    <t>70 (49-101)</t>
  </si>
  <si>
    <t>16 (12-23)</t>
  </si>
  <si>
    <t>18 (12-25)</t>
  </si>
  <si>
    <t>18 (13-26)</t>
  </si>
  <si>
    <t>464 (129-1,107)</t>
  </si>
  <si>
    <t>108 (30-257)</t>
  </si>
  <si>
    <t>117 (33-283)</t>
  </si>
  <si>
    <t>119 (33-283)</t>
  </si>
  <si>
    <t>84 (58-124)</t>
  </si>
  <si>
    <t>2 (1-2)</t>
  </si>
  <si>
    <t>170 (91-310)</t>
  </si>
  <si>
    <t>4 (2-7)</t>
  </si>
  <si>
    <t>4 (2-6)</t>
  </si>
  <si>
    <t>3 (2-6)</t>
  </si>
  <si>
    <t>67 (47-98)</t>
  </si>
  <si>
    <t>276 (124-535)</t>
  </si>
  <si>
    <t>64 (46-90)</t>
  </si>
  <si>
    <t>6 (5-9)</t>
  </si>
  <si>
    <t>7 (5-10)</t>
  </si>
  <si>
    <t>264 (86-684)</t>
  </si>
  <si>
    <t>25 (8-64)</t>
  </si>
  <si>
    <t>29 (9-78)</t>
  </si>
  <si>
    <t>30 (10-78)</t>
  </si>
  <si>
    <t>139 (98-185)</t>
  </si>
  <si>
    <t>474 (332-630)</t>
  </si>
  <si>
    <t>470 (332-625)</t>
  </si>
  <si>
    <t>453 (320-603)</t>
  </si>
  <si>
    <t>881 (226-3,588)</t>
  </si>
  <si>
    <t>3,001 (771-12,226)</t>
  </si>
  <si>
    <t>2,976 (764-11,693)</t>
  </si>
  <si>
    <t>2,870 (737-11,693)</t>
  </si>
  <si>
    <t>124 (87-165)</t>
  </si>
  <si>
    <t>5,326 (3,670-7,074)</t>
  </si>
  <si>
    <t>5,232 (3,670-6,950)</t>
  </si>
  <si>
    <t>4,857 (3,407-6,452)</t>
  </si>
  <si>
    <t>236 (140-368)</t>
  </si>
  <si>
    <t>10,148 (6,014-15,791)</t>
  </si>
  <si>
    <t>9,970 (5,909-14,402)</t>
  </si>
  <si>
    <t>9,255 (5,485-14,402)</t>
  </si>
  <si>
    <t>183 (131-246)</t>
  </si>
  <si>
    <t>279 (190-374)</t>
  </si>
  <si>
    <t>265 (190-356)</t>
  </si>
  <si>
    <t>246 (176-330)</t>
  </si>
  <si>
    <t>1,050 (441-2,199)</t>
  </si>
  <si>
    <t>1,596 (670-3,343)</t>
  </si>
  <si>
    <t>1,518 (638-2,954)</t>
  </si>
  <si>
    <t>1,410 (592-2,954)</t>
  </si>
  <si>
    <t>202 (146-260)</t>
  </si>
  <si>
    <t>909 (684-1,171)</t>
  </si>
  <si>
    <t>946 (684-1,219)</t>
  </si>
  <si>
    <t>903 (653-1,164)</t>
  </si>
  <si>
    <t>240 (146-372)</t>
  </si>
  <si>
    <t>1,082 (658-1,671)</t>
  </si>
  <si>
    <t>1,125 (684-1,660)</t>
  </si>
  <si>
    <t>1,075 (653-1,660)</t>
  </si>
  <si>
    <t>138 (94-188)</t>
  </si>
  <si>
    <t>7 (5-9)</t>
  </si>
  <si>
    <t>414 (268-618)</t>
  </si>
  <si>
    <t>20 (13-30)</t>
  </si>
  <si>
    <t>21 (14-33)</t>
  </si>
  <si>
    <t>22 (14-33)</t>
  </si>
  <si>
    <t>102 (64-152)</t>
  </si>
  <si>
    <t>11 (6-16)</t>
  </si>
  <si>
    <t>7 (5-11)</t>
  </si>
  <si>
    <t>269 (174-402)</t>
  </si>
  <si>
    <t>29 (19-43)</t>
  </si>
  <si>
    <t>25 (16-29)</t>
  </si>
  <si>
    <t>20 (13-29)</t>
  </si>
  <si>
    <t>182 (128-241)</t>
  </si>
  <si>
    <t>1,512 (989-1,998)</t>
  </si>
  <si>
    <t>1,410 (989-1,863)</t>
  </si>
  <si>
    <t>1,317 (924-1,740)</t>
  </si>
  <si>
    <t>650 (334-1,319)</t>
  </si>
  <si>
    <t>5,394 (2,771-10,952)</t>
  </si>
  <si>
    <t>5,028 (2,584-9,540)</t>
  </si>
  <si>
    <t>4,699 (2,414-9,540)</t>
  </si>
  <si>
    <t>160 (118-207)</t>
  </si>
  <si>
    <t>2,958 (2,182-3,826)</t>
  </si>
  <si>
    <t>2,959 (2,182-3,827)</t>
  </si>
  <si>
    <t>2,600 (1,918-3,363)</t>
  </si>
  <si>
    <t>383 (273-528)</t>
  </si>
  <si>
    <t>7,080 (5,036-9,741)</t>
  </si>
  <si>
    <t>7,083 (5,038-8,564)</t>
  </si>
  <si>
    <t>6,225 (4,428-8,564)</t>
  </si>
  <si>
    <t>132 (95-171)</t>
  </si>
  <si>
    <t>207 (136-320)</t>
  </si>
  <si>
    <t>3 (2-5)</t>
  </si>
  <si>
    <t>123 (84-168)</t>
  </si>
  <si>
    <t>381 (252-521)</t>
  </si>
  <si>
    <t>368 (252-503)</t>
  </si>
  <si>
    <t>332 (228-454)</t>
  </si>
  <si>
    <t>222 (138-335)</t>
  </si>
  <si>
    <t>687 (427-1,038)</t>
  </si>
  <si>
    <t>662 (412-905)</t>
  </si>
  <si>
    <t>598 (372-905)</t>
  </si>
  <si>
    <t>160 (113-219)</t>
  </si>
  <si>
    <t>883 (586-1,209)</t>
  </si>
  <si>
    <t>833 (586-1,141)</t>
  </si>
  <si>
    <t>744 (523-1,019)</t>
  </si>
  <si>
    <t>448 (270-679)</t>
  </si>
  <si>
    <t>2,470 (1,491-3,743)</t>
  </si>
  <si>
    <t>2,331 (1,407-3,153)</t>
  </si>
  <si>
    <t>2,080 (1,256-3,153)</t>
  </si>
  <si>
    <t>191 (136-257)</t>
  </si>
  <si>
    <t>58 (41-79)</t>
  </si>
  <si>
    <t>58 (41-78)</t>
  </si>
  <si>
    <t>53 (38-71)</t>
  </si>
  <si>
    <t>753 (330-1,973)</t>
  </si>
  <si>
    <t>230 (101-603)</t>
  </si>
  <si>
    <t>227 (100-543)</t>
  </si>
  <si>
    <t>207 (91-543)</t>
  </si>
  <si>
    <t>90 (66-116)</t>
  </si>
  <si>
    <t>1,131 (858-1,456)</t>
  </si>
  <si>
    <t>1,168 (858-1,504)</t>
  </si>
  <si>
    <t>1,029 (756-1,326)</t>
  </si>
  <si>
    <t>131 (84-201)</t>
  </si>
  <si>
    <t>1,644 (1,053-2,527)</t>
  </si>
  <si>
    <t>1,699 (1,088-2,300)</t>
  </si>
  <si>
    <t>1,497 (959-2,300)</t>
  </si>
  <si>
    <t>119 (82-162)</t>
  </si>
  <si>
    <t>1,795 (1,436-2,442)</t>
  </si>
  <si>
    <t>2,090 (1,436-2,844)</t>
  </si>
  <si>
    <t>2,323 (1,596-3,161)</t>
  </si>
  <si>
    <t>196 (86-458)</t>
  </si>
  <si>
    <t>2,950 (1,291-6,897)</t>
  </si>
  <si>
    <t>3,436 (1,503-8,925)</t>
  </si>
  <si>
    <t>3,818 (1,671-8,925)</t>
  </si>
  <si>
    <t>89 (63-121)</t>
  </si>
  <si>
    <t>231 (173-312)</t>
  </si>
  <si>
    <t>244 (173-330)</t>
  </si>
  <si>
    <t>260 (184-352)</t>
  </si>
  <si>
    <t>323 (81-1,106)</t>
  </si>
  <si>
    <t>835 (209-2,863)</t>
  </si>
  <si>
    <t>883 (221-3,231)</t>
  </si>
  <si>
    <t>943 (236-3,231)</t>
  </si>
  <si>
    <t>80 (55-109)</t>
  </si>
  <si>
    <t>167 (131-226)</t>
  </si>
  <si>
    <t>193 (131-261)</t>
  </si>
  <si>
    <t>208 (141-281)</t>
  </si>
  <si>
    <t>126 (69-243)</t>
  </si>
  <si>
    <t>262 (144-504)</t>
  </si>
  <si>
    <t>303 (166-627)</t>
  </si>
  <si>
    <t>326 (179-627)</t>
  </si>
  <si>
    <t>73 (52-99)</t>
  </si>
  <si>
    <t>3,462 (2,777-4,691)</t>
  </si>
  <si>
    <t>3,928 (2,777-5,323)</t>
  </si>
  <si>
    <t>4,436 (3,136-6,011)</t>
  </si>
  <si>
    <t>147 (58-471)</t>
  </si>
  <si>
    <t>6,947 (2,757-22,274)</t>
  </si>
  <si>
    <t>7,883 (3,129-28,542)</t>
  </si>
  <si>
    <t>8,902 (3,533-28,542)</t>
  </si>
  <si>
    <t>106 (71-145)</t>
  </si>
  <si>
    <t>61 (46-84)</t>
  </si>
  <si>
    <t>68 (46-94)</t>
  </si>
  <si>
    <t>72 (48-99)</t>
  </si>
  <si>
    <t>112 (63-221)</t>
  </si>
  <si>
    <t>65 (37-128)</t>
  </si>
  <si>
    <t>72 (41-150)</t>
  </si>
  <si>
    <t>76 (43-150)</t>
  </si>
  <si>
    <t>100 (67-137)</t>
  </si>
  <si>
    <t>70 (53-95)</t>
  </si>
  <si>
    <t>79 (53-108)</t>
  </si>
  <si>
    <t>85 (57-116)</t>
  </si>
  <si>
    <t>104 (59-173)</t>
  </si>
  <si>
    <t>72 (41-121)</t>
  </si>
  <si>
    <t>82 (47-148)</t>
  </si>
  <si>
    <t>88 (50-148)</t>
  </si>
  <si>
    <t>125 (89-171)</t>
  </si>
  <si>
    <t>602 (492-821)</t>
  </si>
  <si>
    <t>691 (492-942)</t>
  </si>
  <si>
    <t>706 (502-962)</t>
  </si>
  <si>
    <t>192 (76-695)</t>
  </si>
  <si>
    <t>925 (366-3,349)</t>
  </si>
  <si>
    <t>1,061 (420-3,925)</t>
  </si>
  <si>
    <t>1,084 (429-3,925)</t>
  </si>
  <si>
    <t>113 (78-154)</t>
  </si>
  <si>
    <t>27 (20-37)</t>
  </si>
  <si>
    <t>30 (20-40)</t>
  </si>
  <si>
    <t>31 (21-42)</t>
  </si>
  <si>
    <t>152 (82-294)</t>
  </si>
  <si>
    <t>37 (20-72)</t>
  </si>
  <si>
    <t>40 (21-80)</t>
  </si>
  <si>
    <t>42 (22-80)</t>
  </si>
  <si>
    <t>143 (99-193)</t>
  </si>
  <si>
    <t>34 (24-47)</t>
  </si>
  <si>
    <t>33 (23-45)</t>
  </si>
  <si>
    <t>279 (142-618)</t>
  </si>
  <si>
    <t>67 (34-149)</t>
  </si>
  <si>
    <t>68 (34-144)</t>
  </si>
  <si>
    <t>65 (33-144)</t>
  </si>
  <si>
    <t>154 (108-207)</t>
  </si>
  <si>
    <t>168 (124-226)</t>
  </si>
  <si>
    <t>177 (124-239)</t>
  </si>
  <si>
    <t>237 (100-634)</t>
  </si>
  <si>
    <t>259 (109-691)</t>
  </si>
  <si>
    <t>274 (115-732)</t>
  </si>
  <si>
    <t>150 (105-206)</t>
  </si>
  <si>
    <t>6,337 (4,648-8,693)</t>
  </si>
  <si>
    <t>6,684 (4,648-9,169)</t>
  </si>
  <si>
    <t>7,110 (4,944-9,754)</t>
  </si>
  <si>
    <t>268 (100-821)</t>
  </si>
  <si>
    <t>11,316 (4,220-34,601)</t>
  </si>
  <si>
    <t>11,935 (4,451-38,823)</t>
  </si>
  <si>
    <t>12,697 (4,735-38,823)</t>
  </si>
  <si>
    <t>88 (64-120)</t>
  </si>
  <si>
    <t>1,397 (1,031-1,900)</t>
  </si>
  <si>
    <t>1,431 (1,031-1,947)</t>
  </si>
  <si>
    <t>1,387 (999-1,886)</t>
  </si>
  <si>
    <t>164 (88-341)</t>
  </si>
  <si>
    <t>2,587 (1,391-5,387)</t>
  </si>
  <si>
    <t>2,650 (1,425-5,347)</t>
  </si>
  <si>
    <t>2,568 (1,381-5,347)</t>
  </si>
  <si>
    <t>119 (84-161)</t>
  </si>
  <si>
    <t>1,221 (932-1,659)</t>
  </si>
  <si>
    <t>1,321 (932-1,794)</t>
  </si>
  <si>
    <t>1,406 (993-1,910)</t>
  </si>
  <si>
    <t>224 (95-660)</t>
  </si>
  <si>
    <t>2,299 (976-6,783)</t>
  </si>
  <si>
    <t>2,486 (1,056-7,810)</t>
  </si>
  <si>
    <t>2,647 (1,124-7,810)</t>
  </si>
  <si>
    <t>114 (80-158)</t>
  </si>
  <si>
    <t>807 (603-1,122)</t>
  </si>
  <si>
    <t>861 (603-1,198)</t>
  </si>
  <si>
    <t>898 (628-1,248)</t>
  </si>
  <si>
    <t>221 (97-647)</t>
  </si>
  <si>
    <t>1,566 (686-4,585)</t>
  </si>
  <si>
    <t>1,671 (732-5,101)</t>
  </si>
  <si>
    <t>1,742 (763-5,101)</t>
  </si>
  <si>
    <t>148 (102-201)</t>
  </si>
  <si>
    <t>1,984 (1,497-2,689)</t>
  </si>
  <si>
    <t>2,173 (1,497-2,945)</t>
  </si>
  <si>
    <t>2,288 (1,576-3,102)</t>
  </si>
  <si>
    <t>345 (106-1,315)</t>
  </si>
  <si>
    <t>4,614 (1,414-17,608)</t>
  </si>
  <si>
    <t>5,054 (1,549-20,308)</t>
  </si>
  <si>
    <t>5,322 (1,631-20,308)</t>
  </si>
  <si>
    <t>189 (83-157)</t>
  </si>
  <si>
    <t>782 (368-650)</t>
  </si>
  <si>
    <t>843 (368-701)</t>
  </si>
  <si>
    <t>860 (376-715)</t>
  </si>
  <si>
    <t>136 (78-223)</t>
  </si>
  <si>
    <t>560 (324-922)</t>
  </si>
  <si>
    <t>604 (350-1,014)</t>
  </si>
  <si>
    <t>616 (357-1,014)</t>
  </si>
  <si>
    <t>80 (102-200)</t>
  </si>
  <si>
    <t>668 (955-1,660)</t>
  </si>
  <si>
    <t>753 (955-1,871)</t>
  </si>
  <si>
    <t>820 (1,040-2,038)</t>
  </si>
  <si>
    <t>580 (78-3,238)</t>
  </si>
  <si>
    <t>4,826 (646-26,944)</t>
  </si>
  <si>
    <t>5,439 (728-33,079)</t>
  </si>
  <si>
    <t>5,925 (793-33,079)</t>
  </si>
  <si>
    <t>221 (149-300)</t>
  </si>
  <si>
    <t>826 (572-1,120)</t>
  </si>
  <si>
    <t>849 (572-1,152)</t>
  </si>
  <si>
    <t>829 (558-1,124)</t>
  </si>
  <si>
    <t>541 (127-3,027)</t>
  </si>
  <si>
    <t>2,021 (474-11,315)</t>
  </si>
  <si>
    <t>2,079 (488-11,357)</t>
  </si>
  <si>
    <t>2,028 (476-11,357)</t>
  </si>
  <si>
    <t>121 (82-168)</t>
  </si>
  <si>
    <t>2,096 (1,460-2,906)</t>
  </si>
  <si>
    <t>2,157 (1,460-2,991)</t>
  </si>
  <si>
    <t>2,211 (1,497-3,067)</t>
  </si>
  <si>
    <t>164 (75-387)</t>
  </si>
  <si>
    <t>2,837 (1,300-6,708)</t>
  </si>
  <si>
    <t>2,920 (1,338-7,077)</t>
  </si>
  <si>
    <t>2,993 (1,372-7,077)</t>
  </si>
  <si>
    <t>137 (95-184)</t>
  </si>
  <si>
    <t>3,455 (2,788-4,665)</t>
  </si>
  <si>
    <t>3,992 (2,788-5,391)</t>
  </si>
  <si>
    <t>4,472 (3,123-6,038)</t>
  </si>
  <si>
    <t>264 (111-620)</t>
  </si>
  <si>
    <t>6,669 (2,821-15,692)</t>
  </si>
  <si>
    <t>7,707 (3,260-20,311)</t>
  </si>
  <si>
    <t>8,632 (3,651-20,311)</t>
  </si>
  <si>
    <t>138 (98-190)</t>
  </si>
  <si>
    <t>1,019 (787-1,401)</t>
  </si>
  <si>
    <t>1,117 (787-1,535)</t>
  </si>
  <si>
    <t>1,194 (842-1,641)</t>
  </si>
  <si>
    <t>260 (111-631)</t>
  </si>
  <si>
    <t>1,913 (820-4,645)</t>
  </si>
  <si>
    <t>2,097 (899-5,443)</t>
  </si>
  <si>
    <t>2,242 (961-5,443)</t>
  </si>
  <si>
    <t>166 (113-227)</t>
  </si>
  <si>
    <t>96 (61-132)</t>
  </si>
  <si>
    <t>90 (61-123)</t>
  </si>
  <si>
    <t>90 (62-124)</t>
  </si>
  <si>
    <t>282 (171-450)</t>
  </si>
  <si>
    <t>164 (99-261)</t>
  </si>
  <si>
    <t>153 (93-246)</t>
  </si>
  <si>
    <t>154 (93-246)</t>
  </si>
  <si>
    <t>196 (136-272)</t>
  </si>
  <si>
    <t>54 (36-75)</t>
  </si>
  <si>
    <t>52 (36-71)</t>
  </si>
  <si>
    <t>48 (33-66)</t>
  </si>
  <si>
    <t>263 (157-441)</t>
  </si>
  <si>
    <t>72 (43-122)</t>
  </si>
  <si>
    <t>69 (41-107)</t>
  </si>
  <si>
    <t>64 (38-107)</t>
  </si>
  <si>
    <t>151 (105-202)</t>
  </si>
  <si>
    <t>80 (56-107)</t>
  </si>
  <si>
    <t>80 (56-108)</t>
  </si>
  <si>
    <t>76 (53-102)</t>
  </si>
  <si>
    <t>467 (234-851)</t>
  </si>
  <si>
    <t>247 (124-451)</t>
  </si>
  <si>
    <t>248 (124-431)</t>
  </si>
  <si>
    <t>236 (118-431)</t>
  </si>
  <si>
    <t>138 (96-189)</t>
  </si>
  <si>
    <t>108 (80-147)</t>
  </si>
  <si>
    <t>115 (80-156)</t>
  </si>
  <si>
    <t>118 (82-160)</t>
  </si>
  <si>
    <t>213 (126-356)</t>
  </si>
  <si>
    <t>166 (98-277)</t>
  </si>
  <si>
    <t>176 (104-302)</t>
  </si>
  <si>
    <t>181 (107-302)</t>
  </si>
  <si>
    <t>131 (94-177)</t>
  </si>
  <si>
    <t>1,480 (1,042-1,998)</t>
  </si>
  <si>
    <t>1,457 (1,042-1,967)</t>
  </si>
  <si>
    <t>1,485 (1,062-2,005)</t>
  </si>
  <si>
    <t>260 (168-375)</t>
  </si>
  <si>
    <t>2,938 (1,902-4,242)</t>
  </si>
  <si>
    <t>2,892 (1,872-4,255)</t>
  </si>
  <si>
    <t>2,947 (1,908-4,255)</t>
  </si>
  <si>
    <t>168 (123-228)</t>
  </si>
  <si>
    <t>867 (689-1,176)</t>
  </si>
  <si>
    <t>944 (689-1,281)</t>
  </si>
  <si>
    <t>953 (696-1,292)</t>
  </si>
  <si>
    <t>550 (306-982)</t>
  </si>
  <si>
    <t>2,834 (1,578-5,060)</t>
  </si>
  <si>
    <t>3,086 (1,719-5,562)</t>
  </si>
  <si>
    <t>3,115 (1,735-5,562)</t>
  </si>
  <si>
    <t>185 (129-249)</t>
  </si>
  <si>
    <t>908 (706-1,225)</t>
  </si>
  <si>
    <t>1,011 (706-1,363)</t>
  </si>
  <si>
    <t>1,071 (748-1,444)</t>
  </si>
  <si>
    <t>297 (107-1,026)</t>
  </si>
  <si>
    <t>1,459 (526-5,043)</t>
  </si>
  <si>
    <t>1,625 (586-5,946)</t>
  </si>
  <si>
    <t>1,721 (620-5,946)</t>
  </si>
  <si>
    <t>224 (154-297)</t>
  </si>
  <si>
    <t>1,646 (1,203-2,189)</t>
  </si>
  <si>
    <t>1,747 (1,203-2,323)</t>
  </si>
  <si>
    <t>1,736 (1,196-2,309)</t>
  </si>
  <si>
    <t>828 (125-3,478)</t>
  </si>
  <si>
    <t>6,096 (924-25,596)</t>
  </si>
  <si>
    <t>6,468 (980-27,000)</t>
  </si>
  <si>
    <t>6,431 (974-27,000)</t>
  </si>
  <si>
    <t>131 (91-177)</t>
  </si>
  <si>
    <t>8 (6-11)</t>
  </si>
  <si>
    <t>223 (130-362)</t>
  </si>
  <si>
    <t>14 (8-22)</t>
  </si>
  <si>
    <t>14 (8-20)</t>
  </si>
  <si>
    <t>12 (7-20)</t>
  </si>
  <si>
    <t>117 (81-163)</t>
  </si>
  <si>
    <t>1,168 (910-1,624)</t>
  </si>
  <si>
    <t>1,307 (910-1,818)</t>
  </si>
  <si>
    <t>1,404 (978-1,952)</t>
  </si>
  <si>
    <t>177 (85-412)</t>
  </si>
  <si>
    <t>1,768 (849-4,112)</t>
  </si>
  <si>
    <t>1,979 (951-4,944)</t>
  </si>
  <si>
    <t>2,125 (1,021-4,944)</t>
  </si>
  <si>
    <t>191 (133-256)</t>
  </si>
  <si>
    <t>1,709 (1,322-2,292)</t>
  </si>
  <si>
    <t>1,895 (1,322-2,542)</t>
  </si>
  <si>
    <t>2,102 (1,466-2,819)</t>
  </si>
  <si>
    <t>614 (107-2,313)</t>
  </si>
  <si>
    <t>5,504 (956-20,738)</t>
  </si>
  <si>
    <t>6,105 (1,060-25,508)</t>
  </si>
  <si>
    <t>6,770 (1,176-25,508)</t>
  </si>
  <si>
    <t>142 (97-195)</t>
  </si>
  <si>
    <t>1,475 (1,199-2,028)</t>
  </si>
  <si>
    <t>1,761 (1,199-2,422)</t>
  </si>
  <si>
    <t>1,932 (1,316-2,657)</t>
  </si>
  <si>
    <t>282 (124-776)</t>
  </si>
  <si>
    <t>2,933 (1,284-8,062)</t>
  </si>
  <si>
    <t>3,503 (1,533-10,564)</t>
  </si>
  <si>
    <t>3,843 (1,682-10,564)</t>
  </si>
  <si>
    <t>138 (98-188)</t>
  </si>
  <si>
    <t>112 (81-152)</t>
  </si>
  <si>
    <t>115 (81-156)</t>
  </si>
  <si>
    <t>115 (81-155)</t>
  </si>
  <si>
    <t>249 (105-681)</t>
  </si>
  <si>
    <t>201 (85-551)</t>
  </si>
  <si>
    <t>206 (87-563)</t>
  </si>
  <si>
    <t>135 (93-188)</t>
  </si>
  <si>
    <t>1,217 (896-1,697)</t>
  </si>
  <si>
    <t>1,302 (896-1,814)</t>
  </si>
  <si>
    <t>1,321 (909-1,841)</t>
  </si>
  <si>
    <t>134 (82-216)</t>
  </si>
  <si>
    <t>1,207 (738-1,948)</t>
  </si>
  <si>
    <t>1,291 (789-2,114)</t>
  </si>
  <si>
    <t>1,310 (801-2,114)</t>
  </si>
  <si>
    <t>180 (122-247)</t>
  </si>
  <si>
    <t>866 (610-1,190)</t>
  </si>
  <si>
    <t>900 (610-1,236)</t>
  </si>
  <si>
    <t>917 (622-1,260)</t>
  </si>
  <si>
    <t>277 (92-1,101)</t>
  </si>
  <si>
    <t>1,332 (442-5,299)</t>
  </si>
  <si>
    <t>1,383 (459-5,611)</t>
  </si>
  <si>
    <t>1,410 (468-5,611)</t>
  </si>
  <si>
    <t>151 (105-207)</t>
  </si>
  <si>
    <t>99 (71-135)</t>
  </si>
  <si>
    <t>103 (71-140)</t>
  </si>
  <si>
    <t>105 (73-143)</t>
  </si>
  <si>
    <t>295 (101-984)</t>
  </si>
  <si>
    <t>193 (66-642)</t>
  </si>
  <si>
    <t>200 (69-680)</t>
  </si>
  <si>
    <t>204 (70-680)</t>
  </si>
  <si>
    <t>103 (73-141)</t>
  </si>
  <si>
    <t>178 (134-245)</t>
  </si>
  <si>
    <t>189 (134-261)</t>
  </si>
  <si>
    <t>192 (136-265)</t>
  </si>
  <si>
    <t>271 (103-951)</t>
  </si>
  <si>
    <t>469 (178-1,649)</t>
  </si>
  <si>
    <t>499 (189-1,779)</t>
  </si>
  <si>
    <t>506 (192-1,779)</t>
  </si>
  <si>
    <t>189 (130-258)</t>
  </si>
  <si>
    <t>1,937 (1,504-2,642)</t>
  </si>
  <si>
    <t>2,180 (1,504-2,975)</t>
  </si>
  <si>
    <t>2,316 (1,598-3,160)</t>
  </si>
  <si>
    <t>493 (101-2,817)</t>
  </si>
  <si>
    <t>5,051 (1,038-28,881)</t>
  </si>
  <si>
    <t>5,686 (1,169-34,540)</t>
  </si>
  <si>
    <t>6,041 (1,242-34,540)</t>
  </si>
  <si>
    <t>112 (75-155)</t>
  </si>
  <si>
    <t>209 (158-289)</t>
  </si>
  <si>
    <t>234 (158-323)</t>
  </si>
  <si>
    <t>254 (171-351)</t>
  </si>
  <si>
    <t>151 (77-358)</t>
  </si>
  <si>
    <t>281 (144-669)</t>
  </si>
  <si>
    <t>315 (161-813)</t>
  </si>
  <si>
    <t>342 (175-813)</t>
  </si>
  <si>
    <t>180 (123-243)</t>
  </si>
  <si>
    <t>2,083 (1,548-2,819)</t>
  </si>
  <si>
    <t>2,257 (1,548-3,055)</t>
  </si>
  <si>
    <t>2,405 (1,650-3,255)</t>
  </si>
  <si>
    <t>375 (73-2,168)</t>
  </si>
  <si>
    <t>4,345 (845-25,118)</t>
  </si>
  <si>
    <t>4,708 (915-29,001)</t>
  </si>
  <si>
    <t>5,016 (975-29,001)</t>
  </si>
  <si>
    <t>147 (104-200)</t>
  </si>
  <si>
    <t>11,104 (8,156-15,029)</t>
  </si>
  <si>
    <t>11,572 (8,156-15,663)</t>
  </si>
  <si>
    <t>11,406 (8,038-15,437)</t>
  </si>
  <si>
    <t>288 (116-988)</t>
  </si>
  <si>
    <t>21,706 (8,759-74,427)</t>
  </si>
  <si>
    <t>22,621 (9,128-76,447)</t>
  </si>
  <si>
    <t>22,295 (8,997-76,447)</t>
  </si>
  <si>
    <t>97 (67-130)</t>
  </si>
  <si>
    <t>122 (70-208)</t>
  </si>
  <si>
    <t>9 (5-15)</t>
  </si>
  <si>
    <t>9 (5-16)</t>
  </si>
  <si>
    <t>165 (116-225)</t>
  </si>
  <si>
    <t>939 (702-1,283)</t>
  </si>
  <si>
    <t>996 (702-1,361)</t>
  </si>
  <si>
    <t>1,041 (734-1,422)</t>
  </si>
  <si>
    <t>224 (98-700)</t>
  </si>
  <si>
    <t>1,275 (560-3,987)</t>
  </si>
  <si>
    <t>1,352 (594-4,419)</t>
  </si>
  <si>
    <t>1,414 (621-4,419)</t>
  </si>
  <si>
    <t>170 (115-231)</t>
  </si>
  <si>
    <t>426 (293-577)</t>
  </si>
  <si>
    <t>433 (293-586)</t>
  </si>
  <si>
    <t>428 (289-580)</t>
  </si>
  <si>
    <t>501 (179-1,847)</t>
  </si>
  <si>
    <t>1,252 (446-4,616)</t>
  </si>
  <si>
    <t>1,272 (453-4,639)</t>
  </si>
  <si>
    <t>1,258 (448-4,639)</t>
  </si>
  <si>
    <t>103 (73-142)</t>
  </si>
  <si>
    <t>312 (248-429)</t>
  </si>
  <si>
    <t>351 (248-483)</t>
  </si>
  <si>
    <t>377 (266-518)</t>
  </si>
  <si>
    <t>226 (98-623)</t>
  </si>
  <si>
    <t>684 (296-1,887)</t>
  </si>
  <si>
    <t>771 (333-2,280)</t>
  </si>
  <si>
    <t>827 (358-2,280)</t>
  </si>
  <si>
    <t>244 (163-339)</t>
  </si>
  <si>
    <t>72 (42-100)</t>
  </si>
  <si>
    <t>63 (42-87)</t>
  </si>
  <si>
    <t>59 (39-81)</t>
  </si>
  <si>
    <t>560 (386-804)</t>
  </si>
  <si>
    <t>166 (114-238)</t>
  </si>
  <si>
    <t>144 (99-193)</t>
  </si>
  <si>
    <t>134 (93-193)</t>
  </si>
  <si>
    <t>253 (172-338)</t>
  </si>
  <si>
    <t>308 (217-410)</t>
  </si>
  <si>
    <t>320 (217-427)</t>
  </si>
  <si>
    <t>294 (199-391)</t>
  </si>
  <si>
    <t>376 (238-558)</t>
  </si>
  <si>
    <t>457 (289-679)</t>
  </si>
  <si>
    <t>475 (301-647)</t>
  </si>
  <si>
    <t>436 (276-647)</t>
  </si>
  <si>
    <t>195 (141-262)</t>
  </si>
  <si>
    <t>77 (58-104)</t>
  </si>
  <si>
    <t>81 (58-109)</t>
  </si>
  <si>
    <t>79 (57-106)</t>
  </si>
  <si>
    <t>304 (192-453)</t>
  </si>
  <si>
    <t>121 (76-180)</t>
  </si>
  <si>
    <t>126 (80-182)</t>
  </si>
  <si>
    <t>122 (77-182)</t>
  </si>
  <si>
    <t>293 (200-399)</t>
  </si>
  <si>
    <t>1,127 (861-1,534)</t>
  </si>
  <si>
    <t>1,263 (861-1,719)</t>
  </si>
  <si>
    <t>1,320 (900-1,796)</t>
  </si>
  <si>
    <t>259 (168-380)</t>
  </si>
  <si>
    <t>997 (647-1,458)</t>
  </si>
  <si>
    <t>1,117 (725-1,707)</t>
  </si>
  <si>
    <t>1,167 (757-1,707)</t>
  </si>
  <si>
    <t>210 (144-299)</t>
  </si>
  <si>
    <t>806 (618-1,147)</t>
  </si>
  <si>
    <t>903 (618-1,285)</t>
  </si>
  <si>
    <t>944 (646-1,343)</t>
  </si>
  <si>
    <t>254 (163-387)</t>
  </si>
  <si>
    <t>975 (625-1,488)</t>
  </si>
  <si>
    <t>1,092 (701-1,742)</t>
  </si>
  <si>
    <t>1,141 (732-1,742)</t>
  </si>
  <si>
    <t>325 (209-484)</t>
  </si>
  <si>
    <t>189 (147-282)</t>
  </si>
  <si>
    <t>228 (147-340)</t>
  </si>
  <si>
    <t>224 (144-334)</t>
  </si>
  <si>
    <t>377 (234-636)</t>
  </si>
  <si>
    <t>220 (136-371)</t>
  </si>
  <si>
    <t>265 (164-439)</t>
  </si>
  <si>
    <t>260 (162-439)</t>
  </si>
  <si>
    <t>231 (159-326)</t>
  </si>
  <si>
    <t>596 (467-840)</t>
  </si>
  <si>
    <t>681 (467-960)</t>
  </si>
  <si>
    <t>648 (444-912)</t>
  </si>
  <si>
    <t>258 (162-405)</t>
  </si>
  <si>
    <t>665 (417-1,044)</t>
  </si>
  <si>
    <t>760 (476-1,135)</t>
  </si>
  <si>
    <t>722 (453-1,135)</t>
  </si>
  <si>
    <t>261 (184-348)</t>
  </si>
  <si>
    <t>356 (273-476)</t>
  </si>
  <si>
    <t>387 (273-517)</t>
  </si>
  <si>
    <t>380 (268-508)</t>
  </si>
  <si>
    <t>223 (140-352)</t>
  </si>
  <si>
    <t>305 (192-481)</t>
  </si>
  <si>
    <t>332 (208-513)</t>
  </si>
  <si>
    <t>326 (205-513)</t>
  </si>
  <si>
    <t>199 (133-283)</t>
  </si>
  <si>
    <t>1,704 (1,187-2,413)</t>
  </si>
  <si>
    <t>1,777 (1,187-2,518)</t>
  </si>
  <si>
    <t>1,975 (1,320-2,798)</t>
  </si>
  <si>
    <t>228 (152-333)</t>
  </si>
  <si>
    <t>1,945 (1,299-2,845)</t>
  </si>
  <si>
    <t>2,029 (1,355-3,299)</t>
  </si>
  <si>
    <t>2,255 (1,506-3,299)</t>
  </si>
  <si>
    <t>111 (77-151)</t>
  </si>
  <si>
    <t>26 (14-35)</t>
  </si>
  <si>
    <t>19 (14-26)</t>
  </si>
  <si>
    <t>17 (12-23)</t>
  </si>
  <si>
    <t>185 (118-278)</t>
  </si>
  <si>
    <t>43 (28-65)</t>
  </si>
  <si>
    <t>32 (21-43)</t>
  </si>
  <si>
    <t>29 (18-43)</t>
  </si>
  <si>
    <t>113 (150-78)</t>
  </si>
  <si>
    <t>26 (31-18)</t>
  </si>
  <si>
    <t>23 (31-16)</t>
  </si>
  <si>
    <t>20 (26-14)</t>
  </si>
  <si>
    <t>211 (127-326)</t>
  </si>
  <si>
    <t>49 (30-76)</t>
  </si>
  <si>
    <t>44 (26-57)</t>
  </si>
  <si>
    <t>37 (22-57)</t>
  </si>
  <si>
    <t>173 (115-238)</t>
  </si>
  <si>
    <t>96 (60-132)</t>
  </si>
  <si>
    <t>89 (60-123)</t>
  </si>
  <si>
    <t>82 (55-114)</t>
  </si>
  <si>
    <t>306 (188-491)</t>
  </si>
  <si>
    <t>171 (105-273)</t>
  </si>
  <si>
    <t>159 (97-235)</t>
  </si>
  <si>
    <t>146 (90-235)</t>
  </si>
  <si>
    <t>103 (74-133)</t>
  </si>
  <si>
    <t>31 (21-40)</t>
  </si>
  <si>
    <t>29 (21-38)</t>
  </si>
  <si>
    <t>26 (19-34)</t>
  </si>
  <si>
    <t>169 (101-262)</t>
  </si>
  <si>
    <t>50 (30-78)</t>
  </si>
  <si>
    <t>48 (29-66)</t>
  </si>
  <si>
    <t>43 (26-66)</t>
  </si>
  <si>
    <t>106 (71-144)</t>
  </si>
  <si>
    <t>85 (64-116)</t>
  </si>
  <si>
    <t>95 (64-130)</t>
  </si>
  <si>
    <t>95 (64-129)</t>
  </si>
  <si>
    <t>159 (97-244)</t>
  </si>
  <si>
    <t>129 (79-198)</t>
  </si>
  <si>
    <t>143 (87-219)</t>
  </si>
  <si>
    <t>58 (38-79)</t>
  </si>
  <si>
    <t>57 (38-78)</t>
  </si>
  <si>
    <t>119 (72-182)</t>
  </si>
  <si>
    <t>96 (58-146)</t>
  </si>
  <si>
    <t>95 (57-143)</t>
  </si>
  <si>
    <t>94 (57-143)</t>
  </si>
  <si>
    <t>114 (79-154)</t>
  </si>
  <si>
    <t>6 (4-8)</t>
  </si>
  <si>
    <t>192 (119-299)</t>
  </si>
  <si>
    <t>12 (7-19)</t>
  </si>
  <si>
    <t>11 (7-15)</t>
  </si>
  <si>
    <t>10 (6-15)</t>
  </si>
  <si>
    <t>15 (9-20)</t>
  </si>
  <si>
    <t>14 (9-18)</t>
  </si>
  <si>
    <t>12 (8-16)</t>
  </si>
  <si>
    <t>197 (122-301)</t>
  </si>
  <si>
    <t>30 (18-45)</t>
  </si>
  <si>
    <t>28 (17-37)</t>
  </si>
  <si>
    <t>24 (15-37)</t>
  </si>
  <si>
    <t>83 (60-109)</t>
  </si>
  <si>
    <t>217 (154-284)</t>
  </si>
  <si>
    <t>214 (154-280)</t>
  </si>
  <si>
    <t>197 (142-258)</t>
  </si>
  <si>
    <t>126 (76-192)</t>
  </si>
  <si>
    <t>328 (198-501)</t>
  </si>
  <si>
    <t>324 (195-456)</t>
  </si>
  <si>
    <t>299 (180-456)</t>
  </si>
  <si>
    <t>173 (118-231)</t>
  </si>
  <si>
    <t>292 (191-389)</t>
  </si>
  <si>
    <t>279 (191-373)</t>
  </si>
  <si>
    <t>254 (173-339)</t>
  </si>
  <si>
    <t>264 (163-403)</t>
  </si>
  <si>
    <t>444 (275-678)</t>
  </si>
  <si>
    <t>426 (263-590)</t>
  </si>
  <si>
    <t>387 (239-590)</t>
  </si>
  <si>
    <t>81 (51-110)</t>
  </si>
  <si>
    <t>44 (25-60)</t>
  </si>
  <si>
    <t>40 (25-55)</t>
  </si>
  <si>
    <t>37 (24-51)</t>
  </si>
  <si>
    <t>182 (111-288)</t>
  </si>
  <si>
    <t>99 (60-156)</t>
  </si>
  <si>
    <t>90 (55-133)</t>
  </si>
  <si>
    <t>84 (51-133)</t>
  </si>
  <si>
    <t>94 (63-129)</t>
  </si>
  <si>
    <t>42 (27-58)</t>
  </si>
  <si>
    <t>40 (27-56)</t>
  </si>
  <si>
    <t>40 (27-55)</t>
  </si>
  <si>
    <t>138 (85-214)</t>
  </si>
  <si>
    <t>62 (38-96)</t>
  </si>
  <si>
    <t>60 (37-91)</t>
  </si>
  <si>
    <t>59 (36-91)</t>
  </si>
  <si>
    <t>106 (71-147)</t>
  </si>
  <si>
    <t>17 (13-24)</t>
  </si>
  <si>
    <t>19 (13-26)</t>
  </si>
  <si>
    <t>157 (97-244)</t>
  </si>
  <si>
    <t>26 (16-40)</t>
  </si>
  <si>
    <t>28 (17-42)</t>
  </si>
  <si>
    <t>27 (17-42)</t>
  </si>
  <si>
    <t>92 (62-130)</t>
  </si>
  <si>
    <t>54 (40-76)</t>
  </si>
  <si>
    <t>59 (40-83)</t>
  </si>
  <si>
    <t>55 (37-77)</t>
  </si>
  <si>
    <t>205 (122-320)</t>
  </si>
  <si>
    <t>120 (72-188)</t>
  </si>
  <si>
    <t>131 (78-190)</t>
  </si>
  <si>
    <t>122 (72-190)</t>
  </si>
  <si>
    <t>144 (107-185)</t>
  </si>
  <si>
    <t>14 (11-18)</t>
  </si>
  <si>
    <t>15 (11-19)</t>
  </si>
  <si>
    <t>192 (120-289)</t>
  </si>
  <si>
    <t>18 (11-28)</t>
  </si>
  <si>
    <t>20 (12-29)</t>
  </si>
  <si>
    <t>19 (12-29)</t>
  </si>
  <si>
    <t>84 (54-118)</t>
  </si>
  <si>
    <t>10 (7-14)</t>
  </si>
  <si>
    <t>189 (114-288)</t>
  </si>
  <si>
    <t>24 (14-36)</t>
  </si>
  <si>
    <t>25 (15-35)</t>
  </si>
  <si>
    <t>23 (14-35)</t>
  </si>
  <si>
    <t>100 (62-143)</t>
  </si>
  <si>
    <t>20 (11-29)</t>
  </si>
  <si>
    <t>18 (11-25)</t>
  </si>
  <si>
    <t>16 (10-23)</t>
  </si>
  <si>
    <t>228 (136-364)</t>
  </si>
  <si>
    <t>46 (27-73)</t>
  </si>
  <si>
    <t>40 (24-59)</t>
  </si>
  <si>
    <t>37 (22-59)</t>
  </si>
  <si>
    <t>46 (29-65)</t>
  </si>
  <si>
    <t>13 (8-18)</t>
  </si>
  <si>
    <t>12 (7-17)</t>
  </si>
  <si>
    <t>133 (84-205)</t>
  </si>
  <si>
    <t>37 (23-56)</t>
  </si>
  <si>
    <t>37 (23-52)</t>
  </si>
  <si>
    <t>34 (22-52)</t>
  </si>
  <si>
    <t>80 (55-108)</t>
  </si>
  <si>
    <t>957 (755-1,280)</t>
  </si>
  <si>
    <t>1,098 (755-1,468)</t>
  </si>
  <si>
    <t>1,112 (764-1,487)</t>
  </si>
  <si>
    <t>169 (106-257)</t>
  </si>
  <si>
    <t>2,010 (1,256-3,063)</t>
  </si>
  <si>
    <t>2,305 (1,441-3,558)</t>
  </si>
  <si>
    <t>2,335 (1,459-3,558)</t>
  </si>
  <si>
    <t>90 (62-117)</t>
  </si>
  <si>
    <t>210 (141-274)</t>
  </si>
  <si>
    <t>203 (141-266)</t>
  </si>
  <si>
    <t>171 (118-224)</t>
  </si>
  <si>
    <t>245 (150-390)</t>
  </si>
  <si>
    <t>575 (352-914)</t>
  </si>
  <si>
    <t>557 (341-745)</t>
  </si>
  <si>
    <t>468 (287-745)</t>
  </si>
  <si>
    <t>124 (84-168)</t>
  </si>
  <si>
    <t>375 (265-508)</t>
  </si>
  <si>
    <t>391 (265-530)</t>
  </si>
  <si>
    <t>416 (282-565)</t>
  </si>
  <si>
    <t>151 (96-230)</t>
  </si>
  <si>
    <t>457 (290-696)</t>
  </si>
  <si>
    <t>477 (303-773)</t>
  </si>
  <si>
    <t>508 (322-773)</t>
  </si>
  <si>
    <t>117 (85-154)</t>
  </si>
  <si>
    <t>66 (49-87)</t>
  </si>
  <si>
    <t>67 (49-88)</t>
  </si>
  <si>
    <t>66 (48-87)</t>
  </si>
  <si>
    <t>152 (94-236)</t>
  </si>
  <si>
    <t>86 (53-134)</t>
  </si>
  <si>
    <t>87 (54-133)</t>
  </si>
  <si>
    <t>86 (53-133)</t>
  </si>
  <si>
    <t>181 (123-247)</t>
  </si>
  <si>
    <t>10 (7-13)</t>
  </si>
  <si>
    <t>181 (110-283)</t>
  </si>
  <si>
    <t>10 (6-16)</t>
  </si>
  <si>
    <t>181 (120-247)</t>
  </si>
  <si>
    <t>1,365 (953-1,858)</t>
  </si>
  <si>
    <t>1,435 (953-1,954)</t>
  </si>
  <si>
    <t>1,335 (886-1,817)</t>
  </si>
  <si>
    <t>451 (279-689)</t>
  </si>
  <si>
    <t>3,395 (2,099-5,184)</t>
  </si>
  <si>
    <t>3,570 (2,207-5,070)</t>
  </si>
  <si>
    <t>3,320 (2,053-5,070)</t>
  </si>
  <si>
    <t>214 (139-295)</t>
  </si>
  <si>
    <t>553 (330-762)</t>
  </si>
  <si>
    <t>506 (330-696)</t>
  </si>
  <si>
    <t>460 (300-633)</t>
  </si>
  <si>
    <t>605 (363-941)</t>
  </si>
  <si>
    <t>1,564 (939-2,432)</t>
  </si>
  <si>
    <t>1,429 (859-2,022)</t>
  </si>
  <si>
    <t>1,300 (781-2,022)</t>
  </si>
  <si>
    <t>175 (114-242)</t>
  </si>
  <si>
    <t>90 (45-124)</t>
  </si>
  <si>
    <t>69 (45-95)</t>
  </si>
  <si>
    <t>56 (37-77)</t>
  </si>
  <si>
    <t>276 (170-435)</t>
  </si>
  <si>
    <t>142 (87-223)</t>
  </si>
  <si>
    <t>108 (67-139)</t>
  </si>
  <si>
    <t>88 (54-139)</t>
  </si>
  <si>
    <t>40 (29-56)</t>
  </si>
  <si>
    <t>149 (110-206)</t>
  </si>
  <si>
    <t>153 (110-212)</t>
  </si>
  <si>
    <t>156 (112-216)</t>
  </si>
  <si>
    <t>57 (35-89)</t>
  </si>
  <si>
    <t>210 (130-329)</t>
  </si>
  <si>
    <t>215 (133-344)</t>
  </si>
  <si>
    <t>220 (136-344)</t>
  </si>
  <si>
    <t>69 (49-91)</t>
  </si>
  <si>
    <t>63 (39-95)</t>
  </si>
  <si>
    <t>88 (62-117)</t>
  </si>
  <si>
    <t>3,294 (2,442-4,347)</t>
  </si>
  <si>
    <t>3,484 (2,442-4,597)</t>
  </si>
  <si>
    <t>3,372 (2,364-4,450)</t>
  </si>
  <si>
    <t>116 (70-179)</t>
  </si>
  <si>
    <t>4,313 (2,615-6,690)</t>
  </si>
  <si>
    <t>4,561 (2,766-6,849)</t>
  </si>
  <si>
    <t>4,415 (2,677-6,849)</t>
  </si>
  <si>
    <t>108 (74-145)</t>
  </si>
  <si>
    <t>556 (382-745)</t>
  </si>
  <si>
    <t>560 (382-751)</t>
  </si>
  <si>
    <t>497 (339-667)</t>
  </si>
  <si>
    <t>152 (98-233)</t>
  </si>
  <si>
    <t>781 (503-1,195)</t>
  </si>
  <si>
    <t>787 (507-1,070)</t>
  </si>
  <si>
    <t>699 (450-1,070)</t>
  </si>
  <si>
    <t>96 (64-132)</t>
  </si>
  <si>
    <t>161 (100-220)</t>
  </si>
  <si>
    <t>151 (100-206)</t>
  </si>
  <si>
    <t>139 (92-191)</t>
  </si>
  <si>
    <t>154 (96-236)</t>
  </si>
  <si>
    <t>257 (161-395)</t>
  </si>
  <si>
    <t>241 (151-342)</t>
  </si>
  <si>
    <t>223 (139-342)</t>
  </si>
  <si>
    <t>58 (36-80)</t>
  </si>
  <si>
    <t>19 (11-26)</t>
  </si>
  <si>
    <t>16 (10-22)</t>
  </si>
  <si>
    <t>92 (58-141)</t>
  </si>
  <si>
    <t>30 (19-46)</t>
  </si>
  <si>
    <t>29 (18-38)</t>
  </si>
  <si>
    <t>25 (16-38)</t>
  </si>
  <si>
    <t>178 (117-241)</t>
  </si>
  <si>
    <t>388 (231-604)</t>
  </si>
  <si>
    <t>2 (1-4)</t>
  </si>
  <si>
    <t>101 (69-137)</t>
  </si>
  <si>
    <t>72 (47-98)</t>
  </si>
  <si>
    <t>69 (47-94)</t>
  </si>
  <si>
    <t>71 (48-97)</t>
  </si>
  <si>
    <t>152 (94-233)</t>
  </si>
  <si>
    <t>108 (67-166)</t>
  </si>
  <si>
    <t>104 (64-164)</t>
  </si>
  <si>
    <t>107 (66-164)</t>
  </si>
  <si>
    <t>89 (66-115)</t>
  </si>
  <si>
    <t>89 (71-115)</t>
  </si>
  <si>
    <t>96 (71-124)</t>
  </si>
  <si>
    <t>93 (69-121)</t>
  </si>
  <si>
    <t>131 (81-200)</t>
  </si>
  <si>
    <t>132 (81-201)</t>
  </si>
  <si>
    <t>141 (87-210)</t>
  </si>
  <si>
    <t>138 (85-210)</t>
  </si>
  <si>
    <t>146 (100-197)</t>
  </si>
  <si>
    <t>19 (12-25)</t>
  </si>
  <si>
    <t>18 (12-24)</t>
  </si>
  <si>
    <t>243 (157-359)</t>
  </si>
  <si>
    <t>31 (20-46)</t>
  </si>
  <si>
    <t>29 (18-45)</t>
  </si>
  <si>
    <t>30 (19-45)</t>
  </si>
  <si>
    <t>124 (85-168)</t>
  </si>
  <si>
    <t>75 (50-101)</t>
  </si>
  <si>
    <t>73 (50-99)</t>
  </si>
  <si>
    <t>70 (48-95)</t>
  </si>
  <si>
    <t>162 (102-254)</t>
  </si>
  <si>
    <t>98 (62-153)</t>
  </si>
  <si>
    <t>95 (60-144)</t>
  </si>
  <si>
    <t>92 (58-144)</t>
  </si>
  <si>
    <t>184 (137-236)</t>
  </si>
  <si>
    <t>80 (64-103)</t>
  </si>
  <si>
    <t>85 (64-109)</t>
  </si>
  <si>
    <t>80 (59-102)</t>
  </si>
  <si>
    <t>234 (140-367)</t>
  </si>
  <si>
    <t>102 (61-160)</t>
  </si>
  <si>
    <t>108 (65-159)</t>
  </si>
  <si>
    <t>101 (60-159)</t>
  </si>
  <si>
    <t>112 (84-135)</t>
  </si>
  <si>
    <t>717 (590-864)</t>
  </si>
  <si>
    <t>787 (590-949)</t>
  </si>
  <si>
    <t>752 (564-907)</t>
  </si>
  <si>
    <t>124 (78-187)</t>
  </si>
  <si>
    <t>794 (499-1,204)</t>
  </si>
  <si>
    <t>871 (548-1,262)</t>
  </si>
  <si>
    <t>833 (524-1,262)</t>
  </si>
  <si>
    <t>135 (96-177)</t>
  </si>
  <si>
    <t>891 (627-1,172)</t>
  </si>
  <si>
    <t>875 (627-1,151)</t>
  </si>
  <si>
    <t>934 (669-1,228)</t>
  </si>
  <si>
    <t>183 (112-286)</t>
  </si>
  <si>
    <t>1,214 (744-1,895)</t>
  </si>
  <si>
    <t>1,192 (731-1,985)</t>
  </si>
  <si>
    <t>1,272 (779-1,985)</t>
  </si>
  <si>
    <t>186 (140-242)</t>
  </si>
  <si>
    <t>123 (99-160)</t>
  </si>
  <si>
    <t>133 (99-172)</t>
  </si>
  <si>
    <t>126 (95-164)</t>
  </si>
  <si>
    <t>295 (179-457)</t>
  </si>
  <si>
    <t>195 (118-302)</t>
  </si>
  <si>
    <t>210 (127-310)</t>
  </si>
  <si>
    <t>200 (121-310)</t>
  </si>
  <si>
    <t>119 (81-162)</t>
  </si>
  <si>
    <t>5 (3-6)</t>
  </si>
  <si>
    <t>131 (82-202)</t>
  </si>
  <si>
    <t>6 (4-9)</t>
  </si>
  <si>
    <t>5 (3-8)</t>
  </si>
  <si>
    <t>101 (70-130)</t>
  </si>
  <si>
    <t>55 (44-71)</t>
  </si>
  <si>
    <t>63 (44-81)</t>
  </si>
  <si>
    <t>59 (41-76)</t>
  </si>
  <si>
    <t>118 (73-184)</t>
  </si>
  <si>
    <t>65 (40-101)</t>
  </si>
  <si>
    <t>74 (46-108)</t>
  </si>
  <si>
    <t>70 (43-108)</t>
  </si>
  <si>
    <t>66 (44-89)</t>
  </si>
  <si>
    <t>115 (87-157)</t>
  </si>
  <si>
    <t>131 (87-178)</t>
  </si>
  <si>
    <t>139 (92-189)</t>
  </si>
  <si>
    <t>55 (34-84)</t>
  </si>
  <si>
    <t>97 (60-148)</t>
  </si>
  <si>
    <t>110 (68-179)</t>
  </si>
  <si>
    <t>117 (72-179)</t>
  </si>
  <si>
    <t>101 (78-124)</t>
  </si>
  <si>
    <t>380 (299-467)</t>
  </si>
  <si>
    <t>388 (299-476)</t>
  </si>
  <si>
    <t>350 (270-430)</t>
  </si>
  <si>
    <t>172 (104-259)</t>
  </si>
  <si>
    <t>646 (391-972)</t>
  </si>
  <si>
    <t>659 (399-895)</t>
  </si>
  <si>
    <t>595 (360-895)</t>
  </si>
  <si>
    <t>139 (96-188)</t>
  </si>
  <si>
    <t>10 (6-13)</t>
  </si>
  <si>
    <t>9 (6-12)</t>
  </si>
  <si>
    <t>184 (110-284)</t>
  </si>
  <si>
    <t>13 (8-20)</t>
  </si>
  <si>
    <t>149 (108-195)</t>
  </si>
  <si>
    <t>5 (4-6)</t>
  </si>
  <si>
    <t>5 (4-7)</t>
  </si>
  <si>
    <t>200 (122-311)</t>
  </si>
  <si>
    <t>8 (5-12)</t>
  </si>
  <si>
    <t>7 (4-10)</t>
  </si>
  <si>
    <t>109 (65-133)</t>
  </si>
  <si>
    <t>170 (102-265)</t>
  </si>
  <si>
    <t>132 (93-172)</t>
  </si>
  <si>
    <t>240 (161-312)</t>
  </si>
  <si>
    <t>230 (161-299)</t>
  </si>
  <si>
    <t>218 (153-283)</t>
  </si>
  <si>
    <t>169 (104-257)</t>
  </si>
  <si>
    <t>307 (188-467)</t>
  </si>
  <si>
    <t>294 (180-423)</t>
  </si>
  <si>
    <t>278 (171-423)</t>
  </si>
  <si>
    <t>278 (178-388)</t>
  </si>
  <si>
    <t>147 (96-204)</t>
  </si>
  <si>
    <t>150 (96-209)</t>
  </si>
  <si>
    <t>144 (92-200)</t>
  </si>
  <si>
    <t>478 (289-734)</t>
  </si>
  <si>
    <t>252 (152-387)</t>
  </si>
  <si>
    <t>258 (156-379)</t>
  </si>
  <si>
    <t>246 (149-379)</t>
  </si>
  <si>
    <t>66 (47-88)</t>
  </si>
  <si>
    <t>56 (41-75)</t>
  </si>
  <si>
    <t>57 (41-77)</t>
  </si>
  <si>
    <t>55 (39-73)</t>
  </si>
  <si>
    <t>120 (74-186)</t>
  </si>
  <si>
    <t>102 (63-158)</t>
  </si>
  <si>
    <t>105 (65-154)</t>
  </si>
  <si>
    <t>100 (62-154)</t>
  </si>
  <si>
    <t>291 (225-359)</t>
  </si>
  <si>
    <t>387 (248-577)</t>
  </si>
  <si>
    <t>75 (55-99)</t>
  </si>
  <si>
    <t>242 (190-318)</t>
  </si>
  <si>
    <t>257 (190-338)</t>
  </si>
  <si>
    <t>241 (178-317)</t>
  </si>
  <si>
    <t>125 (78-189)</t>
  </si>
  <si>
    <t>403 (251-609)</t>
  </si>
  <si>
    <t>429 (267-607)</t>
  </si>
  <si>
    <t>402 (250-607)</t>
  </si>
  <si>
    <t>93 (62-128)</t>
  </si>
  <si>
    <t>88 (65-121)</t>
  </si>
  <si>
    <t>97 (65-133)</t>
  </si>
  <si>
    <t>99 (66-135)</t>
  </si>
  <si>
    <t>140 (85-128)</t>
  </si>
  <si>
    <t>133 (81-121)</t>
  </si>
  <si>
    <t>145 (88-135)</t>
  </si>
  <si>
    <t>148 (90-135)</t>
  </si>
  <si>
    <t>192 (150-235)</t>
  </si>
  <si>
    <t>147 (115-180)</t>
  </si>
  <si>
    <t>157 (123-193)</t>
  </si>
  <si>
    <t>183 (115-270)</t>
  </si>
  <si>
    <t>140 (88-208)</t>
  </si>
  <si>
    <t>140 (88-222)</t>
  </si>
  <si>
    <t>150 (94-222)</t>
  </si>
  <si>
    <t>144 (98-194)</t>
  </si>
  <si>
    <t>988 (718-1,328)</t>
  </si>
  <si>
    <t>1,053 (718-1,416)</t>
  </si>
  <si>
    <t>1,058 (722-1,423)</t>
  </si>
  <si>
    <t>207 (126-317)</t>
  </si>
  <si>
    <t>1,420 (864-2,172)</t>
  </si>
  <si>
    <t>1,514 (921-2,327)</t>
  </si>
  <si>
    <t>1,521 (925-2,327)</t>
  </si>
  <si>
    <t>137 (97-185)</t>
  </si>
  <si>
    <t>349 (244-473)</t>
  </si>
  <si>
    <t>342 (244-464)</t>
  </si>
  <si>
    <t>332 (236-450)</t>
  </si>
  <si>
    <t>335 (208-535)</t>
  </si>
  <si>
    <t>855 (530-1,365)</t>
  </si>
  <si>
    <t>839 (519-1,298)</t>
  </si>
  <si>
    <t>813 (504-1,298)</t>
  </si>
  <si>
    <t>124 (98-155)</t>
  </si>
  <si>
    <t>326 (245-407)</t>
  </si>
  <si>
    <t>310 (245-387)</t>
  </si>
  <si>
    <t>282 (223-352)</t>
  </si>
  <si>
    <t>146 (98-219)</t>
  </si>
  <si>
    <t>385 (258-577)</t>
  </si>
  <si>
    <t>366 (245-500)</t>
  </si>
  <si>
    <t>333 (223-500)</t>
  </si>
  <si>
    <t>234 (160-317)</t>
  </si>
  <si>
    <t>1,211 (779-1,644)</t>
  </si>
  <si>
    <t>1,138 (779-1,545)</t>
  </si>
  <si>
    <t>1,061 (726-1,441)</t>
  </si>
  <si>
    <t>331 (226-490)</t>
  </si>
  <si>
    <t>1,718 (1,173-2,543)</t>
  </si>
  <si>
    <t>1,614 (1,102-2,228)</t>
  </si>
  <si>
    <t>1,505 (1,028-2,228)</t>
  </si>
  <si>
    <t>168 (125-220)</t>
  </si>
  <si>
    <t>277 (173-403)</t>
  </si>
  <si>
    <t>3 (2-4)</t>
  </si>
  <si>
    <t>3 (2-3)</t>
  </si>
  <si>
    <t>94 (61-143)</t>
  </si>
  <si>
    <t>4 (2-5)</t>
  </si>
  <si>
    <t>262 (155-401)</t>
  </si>
  <si>
    <t>11 (6-17)</t>
  </si>
  <si>
    <t>11 (6-15)</t>
  </si>
  <si>
    <t>79 (53-114)</t>
  </si>
  <si>
    <t>242 (146-383)</t>
  </si>
  <si>
    <t>7 (4-11)</t>
  </si>
  <si>
    <t>7 (4-9)</t>
  </si>
  <si>
    <t>104 (73-145)</t>
  </si>
  <si>
    <t>186 (119-272)</t>
  </si>
  <si>
    <t>13 (9-20)</t>
  </si>
  <si>
    <t>11 (7-16)</t>
  </si>
  <si>
    <t>100 (65-147)</t>
  </si>
  <si>
    <t>317 (194-490)</t>
  </si>
  <si>
    <t>78 (50-115)</t>
  </si>
  <si>
    <t>69 (39-101)</t>
  </si>
  <si>
    <t>61 (39-90)</t>
  </si>
  <si>
    <t>53 (34-77)</t>
  </si>
  <si>
    <t>243 (145-384)</t>
  </si>
  <si>
    <t>215 (128-338)</t>
  </si>
  <si>
    <t>192 (114-259)</t>
  </si>
  <si>
    <t>164 (98-259)</t>
  </si>
  <si>
    <t>132 (98-172)</t>
  </si>
  <si>
    <t>482 (305-762)</t>
  </si>
  <si>
    <t>127 (87-176)</t>
  </si>
  <si>
    <t>237 (153-327)</t>
  </si>
  <si>
    <t>223 (153-307)</t>
  </si>
  <si>
    <t>209 (143-289)</t>
  </si>
  <si>
    <t>180 (118-273)</t>
  </si>
  <si>
    <t>336 (219-508)</t>
  </si>
  <si>
    <t>315 (206-448)</t>
  </si>
  <si>
    <t>296 (193-448)</t>
  </si>
  <si>
    <t>110 (76-164)</t>
  </si>
  <si>
    <t>232 (136-358)</t>
  </si>
  <si>
    <t>3 (1-3)</t>
  </si>
  <si>
    <t>125 (85-170)</t>
  </si>
  <si>
    <t>19 (12-26)</t>
  </si>
  <si>
    <t>182 (116-283)</t>
  </si>
  <si>
    <t>28 (18-43)</t>
  </si>
  <si>
    <t>27 (17-39)</t>
  </si>
  <si>
    <t>25 (16-39)</t>
  </si>
  <si>
    <t>121 (86-170)</t>
  </si>
  <si>
    <t>295 (204-416)</t>
  </si>
  <si>
    <t>286 (204-404)</t>
  </si>
  <si>
    <t>275 (195-387)</t>
  </si>
  <si>
    <t>356 (156-731)</t>
  </si>
  <si>
    <t>873 (382-1,792)</t>
  </si>
  <si>
    <t>846 (370-1,667)</t>
  </si>
  <si>
    <t>812 (355-1,667)</t>
  </si>
  <si>
    <t>107 (73-156)</t>
  </si>
  <si>
    <t>31 (17-45)</t>
  </si>
  <si>
    <t>25 (17-36)</t>
  </si>
  <si>
    <t>20 (14-29)</t>
  </si>
  <si>
    <t>283 (182-433)</t>
  </si>
  <si>
    <t>82 (52-125)</t>
  </si>
  <si>
    <t>65 (42-80)</t>
  </si>
  <si>
    <t>52 (34-80)</t>
  </si>
  <si>
    <t>138 (93-208)</t>
  </si>
  <si>
    <t>26 (14-39)</t>
  </si>
  <si>
    <t>21 (14-32)</t>
  </si>
  <si>
    <t>15 (10-22)</t>
  </si>
  <si>
    <t>617 (376-962)</t>
  </si>
  <si>
    <t>115 (70-180)</t>
  </si>
  <si>
    <t>94 (57-102)</t>
  </si>
  <si>
    <t>65 (40-102)</t>
  </si>
  <si>
    <t>81 (53-119)</t>
  </si>
  <si>
    <t>235 (142-374)</t>
  </si>
  <si>
    <t>79 (55-115)</t>
  </si>
  <si>
    <t>236 (147-371)</t>
  </si>
  <si>
    <t>4 (3-7)</t>
  </si>
  <si>
    <t>107 (76-147)</t>
  </si>
  <si>
    <t>228 (137-349)</t>
  </si>
  <si>
    <t>115 (80-153)</t>
  </si>
  <si>
    <t>12 (8-15)</t>
  </si>
  <si>
    <t>11 (7-14)</t>
  </si>
  <si>
    <t>202 (135-297)</t>
  </si>
  <si>
    <t>21 (14-31)</t>
  </si>
  <si>
    <t>20 (14-28)</t>
  </si>
  <si>
    <t>19 (13-28)</t>
  </si>
  <si>
    <t>89 (58-136)</t>
  </si>
  <si>
    <t>13 (8-19)</t>
  </si>
  <si>
    <t>12 (8-18)</t>
  </si>
  <si>
    <t>266 (173-400)</t>
  </si>
  <si>
    <t>38 (25-57)</t>
  </si>
  <si>
    <t>35 (23-47)</t>
  </si>
  <si>
    <t>31 (20-47)</t>
  </si>
  <si>
    <t>114 (77-162)</t>
  </si>
  <si>
    <t>292 (183-448)</t>
  </si>
  <si>
    <t>84 (57-116)</t>
  </si>
  <si>
    <t>550 (336-763)</t>
  </si>
  <si>
    <t>494 (336-685)</t>
  </si>
  <si>
    <t>455 (310-632)</t>
  </si>
  <si>
    <t>163 (108-238)</t>
  </si>
  <si>
    <t>1,071 (711-1,568)</t>
  </si>
  <si>
    <t>962 (638-1,298)</t>
  </si>
  <si>
    <t>887 (588-1,298)</t>
  </si>
  <si>
    <t>69 (44-99)</t>
  </si>
  <si>
    <t>34 (21-49)</t>
  </si>
  <si>
    <t>32 (21-46)</t>
  </si>
  <si>
    <t>28 (18-41)</t>
  </si>
  <si>
    <t>131 (83-200)</t>
  </si>
  <si>
    <t>64 (40-98)</t>
  </si>
  <si>
    <t>61 (39-82)</t>
  </si>
  <si>
    <t>54 (34-82)</t>
  </si>
  <si>
    <t>107 (77-149)</t>
  </si>
  <si>
    <t>99 (62-138)</t>
  </si>
  <si>
    <t>86 (62-120)</t>
  </si>
  <si>
    <t>77 (55-107)</t>
  </si>
  <si>
    <t>155 (98-233)</t>
  </si>
  <si>
    <t>144 (90-216)</t>
  </si>
  <si>
    <t>125 (79-167)</t>
  </si>
  <si>
    <t>111 (70-167)</t>
  </si>
  <si>
    <t>143 (101-190)</t>
  </si>
  <si>
    <t>535 (370-714)</t>
  </si>
  <si>
    <t>522 (370-696)</t>
  </si>
  <si>
    <t>486 (345-649)</t>
  </si>
  <si>
    <t>322 (203-489)</t>
  </si>
  <si>
    <t>1,209 (764-1,836)</t>
  </si>
  <si>
    <t>1,179 (745-1,668)</t>
  </si>
  <si>
    <t>1,098 (694-1,668)</t>
  </si>
  <si>
    <t>106 (74-142)</t>
  </si>
  <si>
    <t>244 (165-326)</t>
  </si>
  <si>
    <t>235 (165-314)</t>
  </si>
  <si>
    <t>229 (161-307)</t>
  </si>
  <si>
    <t>220 (127-350)</t>
  </si>
  <si>
    <t>506 (291-805)</t>
  </si>
  <si>
    <t>489 (281-758)</t>
  </si>
  <si>
    <t>477 (274-758)</t>
  </si>
  <si>
    <t>117 (87-150)</t>
  </si>
  <si>
    <t>2,252 (1,565-2,892)</t>
  </si>
  <si>
    <t>2,108 (1,565-2,708)</t>
  </si>
  <si>
    <t>1,921 (1,426-2,467)</t>
  </si>
  <si>
    <t>245 (175-331)</t>
  </si>
  <si>
    <t>4,716 (3,366-6,364)</t>
  </si>
  <si>
    <t>4,417 (3,152-5,430)</t>
  </si>
  <si>
    <t>4,025 (2,872-5,430)</t>
  </si>
  <si>
    <t>115 (82-158)</t>
  </si>
  <si>
    <t>146 (100-202)</t>
  </si>
  <si>
    <t>139 (100-192)</t>
  </si>
  <si>
    <t>131 (94-180)</t>
  </si>
  <si>
    <t>250 (161-380)</t>
  </si>
  <si>
    <t>319 (206-484)</t>
  </si>
  <si>
    <t>304 (196-433)</t>
  </si>
  <si>
    <t>285 (184-433)</t>
  </si>
  <si>
    <t>109 (68-157)</t>
  </si>
  <si>
    <t>77 (48-111)</t>
  </si>
  <si>
    <t>77 (48-110)</t>
  </si>
  <si>
    <t>73 (45-105)</t>
  </si>
  <si>
    <t>170 (109-254)</t>
  </si>
  <si>
    <t>120 (77-180)</t>
  </si>
  <si>
    <t>119 (77-170)</t>
  </si>
  <si>
    <t>113 (73-170)</t>
  </si>
  <si>
    <t>159 (109-221)</t>
  </si>
  <si>
    <t>707 (470-984)</t>
  </si>
  <si>
    <t>682 (470-949)</t>
  </si>
  <si>
    <t>597 (411-830)</t>
  </si>
  <si>
    <t>298 (200-438)</t>
  </si>
  <si>
    <t>1,325 (888-1,949)</t>
  </si>
  <si>
    <t>1,278 (857-1,644)</t>
  </si>
  <si>
    <t>1,118 (749-1,644)</t>
  </si>
  <si>
    <t>117 (88-148)</t>
  </si>
  <si>
    <t>2,769 (1,936-3,518)</t>
  </si>
  <si>
    <t>2,559 (1,936-3,250)</t>
  </si>
  <si>
    <t>2,323 (1,758-2,951)</t>
  </si>
  <si>
    <t>173 (125-243)</t>
  </si>
  <si>
    <t>4,098 (2,975-5,782)</t>
  </si>
  <si>
    <t>3,786 (2,749-4,851)</t>
  </si>
  <si>
    <t>3,438 (2,496-4,851)</t>
  </si>
  <si>
    <t>59 (43-78)</t>
  </si>
  <si>
    <t>76 (53-101)</t>
  </si>
  <si>
    <t>74 (53-98)</t>
  </si>
  <si>
    <t>72 (52-96)</t>
  </si>
  <si>
    <t>108 (63-185)</t>
  </si>
  <si>
    <t>140 (81-240)</t>
  </si>
  <si>
    <t>135 (79-228)</t>
  </si>
  <si>
    <t>132 (77-228)</t>
  </si>
  <si>
    <t>GDP per Capita (PPP)</t>
  </si>
  <si>
    <t>DALY Number</t>
  </si>
  <si>
    <t xml:space="preserve">Total Estimate </t>
  </si>
  <si>
    <t>Total Estimate Lower</t>
  </si>
  <si>
    <t>Total Estimate Upper</t>
  </si>
  <si>
    <t>DALY (95% CI)</t>
  </si>
  <si>
    <t>Total Estimate 95% CI))</t>
  </si>
  <si>
    <t>*Used number</t>
  </si>
  <si>
    <t>for table</t>
  </si>
  <si>
    <t>Northern Mariana Islands</t>
  </si>
  <si>
    <t>11,618 (2,229-58,244)</t>
  </si>
  <si>
    <t>25,579,813 (4,907,457-128,235,154)</t>
  </si>
  <si>
    <t>55 (33-78)</t>
  </si>
  <si>
    <t>1,287,846 (778,862-1,831,828)</t>
  </si>
  <si>
    <t>3,232 (2,229-4,739)</t>
  </si>
  <si>
    <t>56,733,712 (39,122,316-83,184,508)</t>
  </si>
  <si>
    <t>24,864 (13,153-43,602)</t>
  </si>
  <si>
    <t>98,171 (58,453-152,877)</t>
  </si>
  <si>
    <t>2,355 (1,029-5,505)</t>
  </si>
  <si>
    <t>19,656,674 (8,589,042-45,956,984)</t>
  </si>
  <si>
    <t>99,799 (62,500-145,498)</t>
  </si>
  <si>
    <t>807 (518-1,232)</t>
  </si>
  <si>
    <t>24,339,892 (15,627,309-37,189,543)</t>
  </si>
  <si>
    <t>193 (133-277)</t>
  </si>
  <si>
    <t>4,395,973 (3,029,777-6,311,066)</t>
  </si>
  <si>
    <t>460 (292-698)</t>
  </si>
  <si>
    <t>32,756,712 (20,762,079-49,684,324)</t>
  </si>
  <si>
    <t>130 (198-80)</t>
  </si>
  <si>
    <t>9,283,112 (14,190,371-5,698,636)</t>
  </si>
  <si>
    <t>534 (338-794)</t>
  </si>
  <si>
    <t>13,403,521 (8,481,821-19,916,612)</t>
  </si>
  <si>
    <t>11 (7-17)</t>
  </si>
  <si>
    <t>458,945 (271,906-702,836)</t>
  </si>
  <si>
    <t>84 (52-126)</t>
  </si>
  <si>
    <t>5,671,935 (3,511,774-8,455,143)</t>
  </si>
  <si>
    <t>13,127 (8,206-20,422)</t>
  </si>
  <si>
    <t>126,631,992 (79,158,597-197,001,706)</t>
  </si>
  <si>
    <t>8 (5-13)</t>
  </si>
  <si>
    <t>183,643 (111,319-290,428)</t>
  </si>
  <si>
    <t>166 (99-259)</t>
  </si>
  <si>
    <t>5,493,589 (3,264,995-8,550,643)</t>
  </si>
  <si>
    <t>151 (93-229)</t>
  </si>
  <si>
    <t>10,857,127 (6,675,983-16,513,969)</t>
  </si>
  <si>
    <t>14 (9-20)</t>
  </si>
  <si>
    <t>207,375 (132,062-302,761)</t>
  </si>
  <si>
    <t>1,326 (477-4,580)</t>
  </si>
  <si>
    <t>5,880,587 (2,117,194-20,308,795)</t>
  </si>
  <si>
    <t>204,719 (125,705-317,254)</t>
  </si>
  <si>
    <t>962,887 (573,929-1,582,002)</t>
  </si>
  <si>
    <t>837 (518-1,334)</t>
  </si>
  <si>
    <t>9,360,947 (5,795,762-14,925,864)</t>
  </si>
  <si>
    <t>56 (34-87)</t>
  </si>
  <si>
    <t>1,239,607 (748,114-1,918,292)</t>
  </si>
  <si>
    <t>173 (105-277)</t>
  </si>
  <si>
    <t>3,561,106 (2,151,780-5,679,820)</t>
  </si>
  <si>
    <t>4,827 (3,496-6,798)</t>
  </si>
  <si>
    <t>107,807,390 (78,078,271-151,830,338)</t>
  </si>
  <si>
    <t>11 (7-18)</t>
  </si>
  <si>
    <t>1,024,281 (621,049-1,605,726)</t>
  </si>
  <si>
    <t>188 (115-301)</t>
  </si>
  <si>
    <t>7,720,904 (4,732,299-12,384,178)</t>
  </si>
  <si>
    <t>5,800 (879-24,350)</t>
  </si>
  <si>
    <t>16,798,261 (2,546,733-70,522,298)</t>
  </si>
  <si>
    <t>859 (339-3,111)</t>
  </si>
  <si>
    <t>815,917 (322,260-2,955,011)</t>
  </si>
  <si>
    <t>19 (11-30)</t>
  </si>
  <si>
    <t>209,018 (122,415-339,993)</t>
  </si>
  <si>
    <t>3,238 (832-13,193)</t>
  </si>
  <si>
    <t>25,804,096 (6,631,463-105,148,296)</t>
  </si>
  <si>
    <t>1,873 (900-4,355)</t>
  </si>
  <si>
    <t>10,471,362 (5,029,998-24,353,090)</t>
  </si>
  <si>
    <t>208 (128-324)</t>
  </si>
  <si>
    <t>13,611,088 (8,394,333-21,215,936)</t>
  </si>
  <si>
    <t>735 (184-2,519)</t>
  </si>
  <si>
    <t>928,907 (232,704-3,183,478)</t>
  </si>
  <si>
    <t>4,425 (769-16,673)</t>
  </si>
  <si>
    <t>13,106,845 (2,277,992-49,382,900)</t>
  </si>
  <si>
    <t>275 (173-424)</t>
  </si>
  <si>
    <t>9,539,409 (5,977,328-14,689,603)</t>
  </si>
  <si>
    <t>34,629 (23,632-50,416)</t>
  </si>
  <si>
    <t>938,616,170 (640,552,046-1,366,509,368)</t>
  </si>
  <si>
    <t>1,108 (737-1,624)</t>
  </si>
  <si>
    <t>23,821,820 (15,833,997-34,900,567)</t>
  </si>
  <si>
    <t>32 (17-62)</t>
  </si>
  <si>
    <t>130,656 (69,870-252,391)</t>
  </si>
  <si>
    <t>5,243 (2,077-16,802)</t>
  </si>
  <si>
    <t>8,964,744 (3,551,662-28,725,866)</t>
  </si>
  <si>
    <t>206 (113-397)</t>
  </si>
  <si>
    <t>1,449,406 (796,583-2,791,378)</t>
  </si>
  <si>
    <t>68 (43-103)</t>
  </si>
  <si>
    <t>2,031,948 (1,289,396-3,102,486)</t>
  </si>
  <si>
    <t>2,483 (1,087-6,823)</t>
  </si>
  <si>
    <t>19,002,445 (8,322,668-52,215,816)</t>
  </si>
  <si>
    <t>63 (38-98)</t>
  </si>
  <si>
    <t>3,058,781 (1,830,314-4,749,198)</t>
  </si>
  <si>
    <t>247 (146-389)</t>
  </si>
  <si>
    <t>2,374,910 (1,405,928-3,737,134)</t>
  </si>
  <si>
    <t>37 (24-55)</t>
  </si>
  <si>
    <t>2,261,581 (1,465,465-3,352,259)</t>
  </si>
  <si>
    <t>178 (109-273)</t>
  </si>
  <si>
    <t>10,110,270 (6,174,774-15,506,806)</t>
  </si>
  <si>
    <t>101 (64-159)</t>
  </si>
  <si>
    <t>8,059,568 (5,065,060-12,609,376)</t>
  </si>
  <si>
    <t>72 (37-160)</t>
  </si>
  <si>
    <t>563,543 (285,465-1,247,229)</t>
  </si>
  <si>
    <t>76,043 (48,140-120,349)</t>
  </si>
  <si>
    <t>361 (235-548)</t>
  </si>
  <si>
    <t>9,953,933 (6,479,338-15,085,131)</t>
  </si>
  <si>
    <t>421 (281-631)</t>
  </si>
  <si>
    <t>6,663,685 (4,457,769-9,995,686)</t>
  </si>
  <si>
    <t>8,301 (5,577-11,779)</t>
  </si>
  <si>
    <t>131,488,113 (88,336,918-186,576,082)</t>
  </si>
  <si>
    <t>160 (101-240)</t>
  </si>
  <si>
    <t>2,124,367 (1,338,473-3,187,877)</t>
  </si>
  <si>
    <t>50 (28-98)</t>
  </si>
  <si>
    <t>875,000 (494,856-1,727,515)</t>
  </si>
  <si>
    <t>436 (183-1,162)</t>
  </si>
  <si>
    <t>758,772 (318,911-2,023,803)</t>
  </si>
  <si>
    <t>1,236,799 (769,607-1,862,845)</t>
  </si>
  <si>
    <t>73 (44-123)</t>
  </si>
  <si>
    <t>863,552 (516,976-1,448,524)</t>
  </si>
  <si>
    <t>9,255 (3,458-28,308)</t>
  </si>
  <si>
    <t>30,341,671 (11,337,281-92,807,823)</t>
  </si>
  <si>
    <t>35 (19-73)</t>
  </si>
  <si>
    <t>562,572 (304,934-1,171,157)</t>
  </si>
  <si>
    <t>112 (67-176)</t>
  </si>
  <si>
    <t>7,188,472 (4,301,803-11,269,161)</t>
  </si>
  <si>
    <t>825 (519-1,249)</t>
  </si>
  <si>
    <t>50,613,696 (31,816,759-76,563,196)</t>
  </si>
  <si>
    <t>53 (30-89)</t>
  </si>
  <si>
    <t>1,139,789 (649,588-1,905,959)</t>
  </si>
  <si>
    <t>179 (75-491)</t>
  </si>
  <si>
    <t>618,052 (260,051-1,691,367)</t>
  </si>
  <si>
    <t>144 (91-215)</t>
  </si>
  <si>
    <t>4,097,555 (2,589,141-6,108,680)</t>
  </si>
  <si>
    <t>1,478 (901-2,308)</t>
  </si>
  <si>
    <t>106,876,206 (65,130,117-166,893,982)</t>
  </si>
  <si>
    <t>1,199 (732-1,935)</t>
  </si>
  <si>
    <t>9,626,019 (5,874,522-15,530,563)</t>
  </si>
  <si>
    <t>238 (145-369)</t>
  </si>
  <si>
    <t>10,499,380 (6,386,366-16,270,469)</t>
  </si>
  <si>
    <t>40,208 (25,229-59,918)</t>
  </si>
  <si>
    <t>57,880 (34,083-89,341)</t>
  </si>
  <si>
    <t>4 (3-8)</t>
  </si>
  <si>
    <t>181,138 (104,583-335,084)</t>
  </si>
  <si>
    <t>1,076 (680-1,634)</t>
  </si>
  <si>
    <t>15,460,822 (9,774,999-23,477,097)</t>
  </si>
  <si>
    <t>1,226 (407-4,879)</t>
  </si>
  <si>
    <t>5,613,521 (1,861,451-22,343,408)</t>
  </si>
  <si>
    <t>180 (62-600)</t>
  </si>
  <si>
    <t>549,545 (188,595-1,832,103)</t>
  </si>
  <si>
    <t>29 (18-44)</t>
  </si>
  <si>
    <t>2,284,505 (1,459,878-3,553,408)</t>
  </si>
  <si>
    <t>1,011 (443-2,076)</t>
  </si>
  <si>
    <t>3,217,395 (1,410,782-6,607,938)</t>
  </si>
  <si>
    <t>493 (284-785)</t>
  </si>
  <si>
    <t>3,693,602 (2,126,853-5,875,477)</t>
  </si>
  <si>
    <t>111 (67-169)</t>
  </si>
  <si>
    <t>5,282,345 (3,177,791-8,072,856)</t>
  </si>
  <si>
    <t>454,683 (284,862-700,416)</t>
  </si>
  <si>
    <t>80,917 (50,170-127,939)</t>
  </si>
  <si>
    <t>902,942,423 (559,837,327-1,427,651,262)</t>
  </si>
  <si>
    <t>10,681 (6,329-16,610)</t>
  </si>
  <si>
    <t>175,677,664 (104,103,796-273,198,036)</t>
  </si>
  <si>
    <t>4,490 (2,986-6,447)</t>
  </si>
  <si>
    <t>82,794,301 (55,073,072-118,898,343)</t>
  </si>
  <si>
    <t>2,714 (1,792-3,957)</t>
  </si>
  <si>
    <t>39,257,466 (25,916,445-57,239,943)</t>
  </si>
  <si>
    <t>66 (41-104)</t>
  </si>
  <si>
    <t>8,720,521 (5,383,426-13,580,558)</t>
  </si>
  <si>
    <t>98 (61-150)</t>
  </si>
  <si>
    <t>5,479,969 (3,388,782-8,363,635)</t>
  </si>
  <si>
    <t>711 (432-1,074)</t>
  </si>
  <si>
    <t>43,250,642 (26,298,065-65,320,450)</t>
  </si>
  <si>
    <t>93 (60-143)</t>
  </si>
  <si>
    <t>1,089,729 (700,090-1,668,648)</t>
  </si>
  <si>
    <t>3,785 (2,335-5,766)</t>
  </si>
  <si>
    <t>195,630,461 (120,691,804-298,018,525)</t>
  </si>
  <si>
    <t>860 (553-1,284)</t>
  </si>
  <si>
    <t>9,305,075 (5,987,639-13,895,875)</t>
  </si>
  <si>
    <t>1,101 (715-1,611)</t>
  </si>
  <si>
    <t>44,917,607 (29,173,161-65,749,807)</t>
  </si>
  <si>
    <t>2,186 (1,175-4,554)</t>
  </si>
  <si>
    <t>14,468,396 (7,777,813-30,145,421)</t>
  </si>
  <si>
    <t>16 (4-48)</t>
  </si>
  <si>
    <t>60,052 (15,809-177,897)</t>
  </si>
  <si>
    <t>1,590 (955-2,469)</t>
  </si>
  <si>
    <t>83,022,631 (49,880,400-128,865,574)</t>
  </si>
  <si>
    <t>261 (160-400)</t>
  </si>
  <si>
    <t>13,451,168 (8,245,230-20,648,704)</t>
  </si>
  <si>
    <t>400 (257-611)</t>
  </si>
  <si>
    <t>3,204,721 (2,055,532-4,892,542)</t>
  </si>
  <si>
    <t>1,669 (701-3,496)</t>
  </si>
  <si>
    <t>16,332,008 (6,857,368-34,217,055)</t>
  </si>
  <si>
    <t>33 (20-50)</t>
  </si>
  <si>
    <t>1,433,134 (873,391-2,186,329)</t>
  </si>
  <si>
    <t>346 (225-501)</t>
  </si>
  <si>
    <t>2,016,284 (1,311,183-2,925,844)</t>
  </si>
  <si>
    <t>210 (105-383)</t>
  </si>
  <si>
    <t>629,229 (315,409-1,147,604)</t>
  </si>
  <si>
    <t>443 (168-1,555)</t>
  </si>
  <si>
    <t>834,300 (317,137-2,931,624)</t>
  </si>
  <si>
    <t>437 (288-628)</t>
  </si>
  <si>
    <t>6,104,229 (4,021,206-8,756,568)</t>
  </si>
  <si>
    <t>53 (32-85)</t>
  </si>
  <si>
    <t>2,910,059 (1,736,894-4,642,055)</t>
  </si>
  <si>
    <t>1,836,408 (1,100,639-2,833,013)</t>
  </si>
  <si>
    <t>2,011 (854-5,931)</t>
  </si>
  <si>
    <t>3,788,132 (1,608,258-11,171,183)</t>
  </si>
  <si>
    <t>1,331 (583-3,900)</t>
  </si>
  <si>
    <t>2,475,390 (1,084,914-7,252,479)</t>
  </si>
  <si>
    <t>958 (1,481-583)</t>
  </si>
  <si>
    <t>37,120,140 (57,351,751-22,591,753)</t>
  </si>
  <si>
    <t>672,592 (435,035-1,005,438)</t>
  </si>
  <si>
    <t>4,540 (933-25,950)</t>
  </si>
  <si>
    <t>15,020,464 (3,086,624-85,858,769)</t>
  </si>
  <si>
    <t>507,926 (309,875-789,508)</t>
  </si>
  <si>
    <t>3 (1-7)</t>
  </si>
  <si>
    <t>26,480 (10,985-60,338)</t>
  </si>
  <si>
    <t>226 (115-536)</t>
  </si>
  <si>
    <t>1,640,778 (836,059-3,896,057)</t>
  </si>
  <si>
    <t>34 (22-50)</t>
  </si>
  <si>
    <t>1,044,864 (674,737-1,559,999)</t>
  </si>
  <si>
    <t>5,151 (3,677-6,943)</t>
  </si>
  <si>
    <t>132,320,174 (94,465,933-178,364,809)</t>
  </si>
  <si>
    <t>6 (2-11)</t>
  </si>
  <si>
    <t>24,295 (10,692-46,635)</t>
  </si>
  <si>
    <t>65 (41-99)</t>
  </si>
  <si>
    <t>1,212,830 (763,446-1,854,993)</t>
  </si>
  <si>
    <t>151,382 (89,803-236,054)</t>
  </si>
  <si>
    <t>264 (164-446)</t>
  </si>
  <si>
    <t>5,043,138 (3,134,128-8,515,487)</t>
  </si>
  <si>
    <t>13 (8-21)</t>
  </si>
  <si>
    <t>443,949 (275,048-692,628)</t>
  </si>
  <si>
    <t>2,167 (1,362-3,331)</t>
  </si>
  <si>
    <t>22,333,414 (14,030,532-34,326,843)</t>
  </si>
  <si>
    <t>3,903 (1,195-14,893)</t>
  </si>
  <si>
    <t>6,634,085 (2,031,504-25,313,316)</t>
  </si>
  <si>
    <t>6,140 (3,151-12,464)</t>
  </si>
  <si>
    <t>36,822,936 (18,899,512-74,751,504)</t>
  </si>
  <si>
    <t>159 (94-265)</t>
  </si>
  <si>
    <t>1,856,183 (1,097,956-3,098,351)</t>
  </si>
  <si>
    <t>13,897 (6,017-29,370)</t>
  </si>
  <si>
    <t>2,429 (1,447-3,849)</t>
  </si>
  <si>
    <t>13,934,654 (8,301,235-22,078,648)</t>
  </si>
  <si>
    <t>295 (180-447)</t>
  </si>
  <si>
    <t>24,810,758 (15,168,587-37,644,809)</t>
  </si>
  <si>
    <t>91 (56-142)</t>
  </si>
  <si>
    <t>4,999,739 (3,094,053-7,810,060)</t>
  </si>
  <si>
    <t>331 (213-503)</t>
  </si>
  <si>
    <t>2,885,574 (1,855,584-4,381,049)</t>
  </si>
  <si>
    <t>3,709 (720-21,438)</t>
  </si>
  <si>
    <t>7,473,579 (1,450,998-43,198,244)</t>
  </si>
  <si>
    <t>20,967 (8,472-71,899)</t>
  </si>
  <si>
    <t>135,025,234 (54,557,387-463,017,596)</t>
  </si>
  <si>
    <t>2,703,595 (1,624,333-4,196,450)</t>
  </si>
  <si>
    <t>45 (28-69)</t>
  </si>
  <si>
    <t>1,195,619 (745,500-1,833,176)</t>
  </si>
  <si>
    <t>26,164 (15,461-41,149)</t>
  </si>
  <si>
    <t>261 (159-403)</t>
  </si>
  <si>
    <t>26,388,444 (16,015,529-40,721,797)</t>
  </si>
  <si>
    <t>290 (183-440)</t>
  </si>
  <si>
    <t>12,068,030 (7,642,044-18,328,906)</t>
  </si>
  <si>
    <t>26,090 (15,328-45,250)</t>
  </si>
  <si>
    <t>164,024,165 (96,369,910-284,488,926)</t>
  </si>
  <si>
    <t>8,065 (4,909-12,272)</t>
  </si>
  <si>
    <t>119 (76-178)</t>
  </si>
  <si>
    <t>4,925,924 (3,165,808-7,381,227)</t>
  </si>
  <si>
    <t>3,095 (747-7,713)</t>
  </si>
  <si>
    <t>15,132,229 (3,651,115-37,704,936)</t>
  </si>
  <si>
    <t>158 (92-271)</t>
  </si>
  <si>
    <t>2,920,814 (1,695,843-5,021,399)</t>
  </si>
  <si>
    <t>1,953 (1,334-2,896)</t>
  </si>
  <si>
    <t>34,773,823 (23,748,606-51,557,233)</t>
  </si>
  <si>
    <t>7,022 (4,990-9,658)</t>
  </si>
  <si>
    <t>82,816,092 (58,854,410-113,910,635)</t>
  </si>
  <si>
    <t>450 (271-687)</t>
  </si>
  <si>
    <t>22,650,983 (13,672,102-34,631,390)</t>
  </si>
  <si>
    <t>101 (63-156)</t>
  </si>
  <si>
    <t>5,101,140 (3,184,796-7,898,213)</t>
  </si>
  <si>
    <t>116 (71-181)</t>
  </si>
  <si>
    <t>5,832,082 (3,557,028-9,096,201)</t>
  </si>
  <si>
    <t>261 (156-181)</t>
  </si>
  <si>
    <t>32,879,425 (19,645,431-22,871,328)</t>
  </si>
  <si>
    <t>490 (747-304)</t>
  </si>
  <si>
    <t>23,887,474 (36,396,272-14,787,553)</t>
  </si>
  <si>
    <t>2,428 (1,517-3,705)</t>
  </si>
  <si>
    <t>115,076,586 (71,898,689-175,616,089)</t>
  </si>
  <si>
    <t>513 (297-845)</t>
  </si>
  <si>
    <t>1,904,191 (1,101,606-3,136,567)</t>
  </si>
  <si>
    <t>60,071 (36,611-95,616)</t>
  </si>
  <si>
    <t>12 (6-23)</t>
  </si>
  <si>
    <t>97,809 (43,497-181,433)</t>
  </si>
  <si>
    <t>63,031 (94,167-40,249)</t>
  </si>
  <si>
    <t>7 (4-13)</t>
  </si>
  <si>
    <t>46,036 (26,164-78,305)</t>
  </si>
  <si>
    <t>2,355 (1,447-3,650)</t>
  </si>
  <si>
    <t>167,756,192 (103,095,655-260,020,709)</t>
  </si>
  <si>
    <t>1,030 (453-3,217)</t>
  </si>
  <si>
    <t>5,262,639 (2,312,712-16,442,252)</t>
  </si>
  <si>
    <t>149 (91-236)</t>
  </si>
  <si>
    <t>4,746,944 (2,910,116-7,512,383)</t>
  </si>
  <si>
    <t>130,960 (85,756-202,423)</t>
  </si>
  <si>
    <t>1,327 (472-4,890)</t>
  </si>
  <si>
    <t>4,663,711 (1,660,752-17,192,615)</t>
  </si>
  <si>
    <t>130 (80-205)</t>
  </si>
  <si>
    <t>19,631,802 (12,059,665-30,900,348)</t>
  </si>
  <si>
    <t>78 (48-121)</t>
  </si>
  <si>
    <t>3,674,441 (2,254,299-5,686,702)</t>
  </si>
  <si>
    <t>40 (24-61)</t>
  </si>
  <si>
    <t>2,241,439 (1,354,474-3,469,285)</t>
  </si>
  <si>
    <t>86 (24-205)</t>
  </si>
  <si>
    <t>247,437 (68,681-589,925)</t>
  </si>
  <si>
    <t>5,181 (693-28,930)</t>
  </si>
  <si>
    <t>8,292,966 (1,109,666-46,309,990)</t>
  </si>
  <si>
    <t>2,934 (1,901-4,236)</t>
  </si>
  <si>
    <t>45,350,421 (29,381,906-65,474,372)</t>
  </si>
  <si>
    <t>1,456 (342-8,151)</t>
  </si>
  <si>
    <t>1,681,407 (394,491-9,414,133)</t>
  </si>
  <si>
    <t>408 (254-614)</t>
  </si>
  <si>
    <t>23,231,029 (14,460,973-34,973,205)</t>
  </si>
  <si>
    <t>730 (454-1,105)</t>
  </si>
  <si>
    <t>11,405,225 (7,095,633-17,275,419)</t>
  </si>
  <si>
    <t>132,599 (82,426-208,685)</t>
  </si>
  <si>
    <t>69,134 (41,693-106,148)</t>
  </si>
  <si>
    <t>5,461 (3,365-8,688)</t>
  </si>
  <si>
    <t>11,617,072 (7,159,318-18,483,872)</t>
  </si>
  <si>
    <t>20 (14-30)</t>
  </si>
  <si>
    <t>447,734 (297,901-657,368)</t>
  </si>
  <si>
    <t>159 (96-246)</t>
  </si>
  <si>
    <t>11,259,749 (6,818,214-17,485,568)</t>
  </si>
  <si>
    <t>162 (102-239)</t>
  </si>
  <si>
    <t>15,174,238 (9,571,385-22,449,879)</t>
  </si>
  <si>
    <t>894 (580-1,334)</t>
  </si>
  <si>
    <t>4,158,677 (2,695,802-6,203,047)</t>
  </si>
  <si>
    <t>710 (445-1,116)</t>
  </si>
  <si>
    <t>3,838,570 (2,406,256-6,030,911)</t>
  </si>
  <si>
    <t>5,349 (2,260-12,584)</t>
  </si>
  <si>
    <t>22,577,291 (9,539,505-53,114,623)</t>
  </si>
  <si>
    <t>2,573 (1,551-3,904)</t>
  </si>
  <si>
    <t>63,584,926 (38,311,114-96,458,745)</t>
  </si>
  <si>
    <t>247 (108-647)</t>
  </si>
  <si>
    <t>1,175,085 (514,620-3,078,537)</t>
  </si>
  <si>
    <t>581 (251-1,601)</t>
  </si>
  <si>
    <t>1,881,815 (813,012-5,186,821)</t>
  </si>
  <si>
    <t>32,432 (17,276-59,053)</t>
  </si>
  <si>
    <t>46 (30-69)</t>
  </si>
  <si>
    <t>1,646,886 (1,066,946-2,474,652)</t>
  </si>
  <si>
    <t>720 (469-1,056)</t>
  </si>
  <si>
    <t>10,401,576 (6,770,989-15,256,185)</t>
  </si>
  <si>
    <t>4,511 (3,163-6,384)</t>
  </si>
  <si>
    <t>198,156,965 (138,943,550-280,477,336)</t>
  </si>
  <si>
    <t>264 (166-415)</t>
  </si>
  <si>
    <t>5,383,169 (3,380,144-8,466,584)</t>
  </si>
  <si>
    <t>4,552 (2,030-8,796)</t>
  </si>
  <si>
    <t>118,009 (74,192-180,749)</t>
  </si>
  <si>
    <t>2,487 (1,138-5,879)</t>
  </si>
  <si>
    <t>8,147,510 (3,727,622-19,258,800)</t>
  </si>
  <si>
    <t>768 (471-1,219)</t>
  </si>
  <si>
    <t>14,244,713 (8,738,751-22,617,648)</t>
  </si>
  <si>
    <t>381 (232-595)</t>
  </si>
  <si>
    <t>29,731,186 (18,116,869-46,387,105)</t>
  </si>
  <si>
    <t>1,474 (898-2,252)</t>
  </si>
  <si>
    <t>89,380,507 (54,465,593-136,505,578)</t>
  </si>
  <si>
    <t>4,230 (2,550-6,570)</t>
  </si>
  <si>
    <t>362,939,837 (218,806,664-563,746,158)</t>
  </si>
  <si>
    <t>32 (20-49)</t>
  </si>
  <si>
    <t>1,166,829 (734,548-1,789,938)</t>
  </si>
  <si>
    <t>1,987 (1,329-2,909)</t>
  </si>
  <si>
    <t>23,608,262 (15,789,444-34,549,951)</t>
  </si>
  <si>
    <t>24 (8-62)</t>
  </si>
  <si>
    <t>85,845 (27,883-222,629)</t>
  </si>
  <si>
    <t>1,188 (797-1,748)</t>
  </si>
  <si>
    <t>20,609,288 (13,825,924-30,318,941)</t>
  </si>
  <si>
    <t>1,928 (1,231-2,956)</t>
  </si>
  <si>
    <t>31,586,839 (20,177,609-48,431,963)</t>
  </si>
  <si>
    <t>8,534 (2,984-29,975)</t>
  </si>
  <si>
    <t>27,003,851 (9,441,448-94,850,019)</t>
  </si>
  <si>
    <t>1,654 (708-4,013)</t>
  </si>
  <si>
    <t>6,985,569 (2,988,825-16,949,022)</t>
  </si>
  <si>
    <t>2,549 (1,419-4,551)</t>
  </si>
  <si>
    <t>9,995,428 (5,565,713-17,848,471)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</si>
</sst>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"/>
    <numFmt numFmtId="165" formatCode="&quot;$&quot;#,##0.00"/>
  </numFmts>
  <fonts count="10">
    <font>
      <sz val="10.0"/>
      <color rgb="FF000000"/>
      <name val="Arial"/>
      <scheme val="minor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Times New Roman"/>
    </font>
    <font>
      <color theme="1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164" xfId="0" applyAlignment="1" applyBorder="1" applyFont="1" applyNumberFormat="1">
      <alignment horizontal="left" readingOrder="0" shrinkToFit="0" vertical="bottom" wrapText="1"/>
    </xf>
    <xf borderId="1" fillId="3" fontId="1" numFmtId="164" xfId="0" applyAlignment="1" applyBorder="1" applyFill="1" applyFont="1" applyNumberFormat="1">
      <alignment horizontal="left" readingOrder="0" shrinkToFit="0" vertical="bottom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vertical="bottom"/>
    </xf>
    <xf borderId="0" fillId="4" fontId="1" numFmtId="164" xfId="0" applyAlignment="1" applyFill="1" applyFont="1" applyNumberFormat="1">
      <alignment horizontal="right"/>
    </xf>
    <xf borderId="0" fillId="4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4" fontId="1" numFmtId="4" xfId="0" applyAlignment="1" applyFont="1" applyNumberFormat="1">
      <alignment horizontal="right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 vertical="bottom"/>
    </xf>
    <xf borderId="0" fillId="0" fontId="2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4" numFmtId="164" xfId="0" applyAlignment="1" applyFont="1" applyNumberFormat="1">
      <alignment readingOrder="0" shrinkToFit="0" wrapText="1"/>
    </xf>
    <xf borderId="1" fillId="5" fontId="5" numFmtId="0" xfId="0" applyAlignment="1" applyBorder="1" applyFill="1" applyFont="1">
      <alignment horizontal="center" readingOrder="0" shrinkToFit="0" wrapText="1"/>
    </xf>
    <xf borderId="0" fillId="0" fontId="1" numFmtId="164" xfId="0" applyAlignment="1" applyFont="1" applyNumberFormat="1">
      <alignment horizontal="right" shrinkToFit="0" vertical="bottom" wrapText="0"/>
    </xf>
    <xf borderId="0" fillId="0" fontId="4" numFmtId="164" xfId="0" applyFont="1" applyNumberFormat="1"/>
    <xf borderId="0" fillId="0" fontId="4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1" fillId="6" fontId="8" numFmtId="0" xfId="0" applyAlignment="1" applyBorder="1" applyFill="1" applyFont="1">
      <alignment horizontal="center" readingOrder="0" shrinkToFit="0" vertical="bottom" wrapText="1"/>
    </xf>
    <xf borderId="1" fillId="6" fontId="5" numFmtId="0" xfId="0" applyAlignment="1" applyBorder="1" applyFont="1">
      <alignment horizontal="center" readingOrder="0" shrinkToFit="0" wrapText="1"/>
    </xf>
    <xf borderId="0" fillId="0" fontId="5" numFmtId="0" xfId="0" applyFont="1"/>
    <xf borderId="1" fillId="5" fontId="8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0"/>
    </xf>
    <xf borderId="0" fillId="0" fontId="7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2" fillId="5" fontId="1" numFmtId="164" xfId="0" applyAlignment="1" applyBorder="1" applyFont="1" applyNumberFormat="1">
      <alignment horizontal="left" readingOrder="0" shrinkToFit="0" vertical="top" wrapText="0"/>
    </xf>
    <xf borderId="0" fillId="5" fontId="2" numFmtId="164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165" xfId="0" applyAlignment="1" applyFont="1" applyNumberFormat="1">
      <alignment horizontal="right" readingOrder="0"/>
    </xf>
    <xf borderId="0" fillId="5" fontId="2" numFmtId="4" xfId="0" applyAlignment="1" applyFont="1" applyNumberFormat="1">
      <alignment horizontal="right" readingOrder="0"/>
    </xf>
    <xf borderId="0" fillId="5" fontId="2" numFmtId="165" xfId="0" applyAlignment="1" applyFont="1" applyNumberFormat="1">
      <alignment horizontal="right" readingOrder="0"/>
    </xf>
    <xf borderId="0" fillId="5" fontId="2" numFmtId="164" xfId="0" applyFont="1" applyNumberFormat="1"/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horizontal="right"/>
    </xf>
    <xf borderId="0" fillId="0" fontId="2" numFmtId="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2" numFmtId="4" xfId="0" applyAlignment="1" applyFont="1" applyNumberFormat="1">
      <alignment horizontal="right"/>
    </xf>
    <xf borderId="1" fillId="6" fontId="8" numFmtId="164" xfId="0" applyAlignment="1" applyBorder="1" applyFont="1" applyNumberFormat="1">
      <alignment horizontal="center" readingOrder="0" shrinkToFit="0" vertical="top" wrapText="0"/>
    </xf>
    <xf borderId="1" fillId="6" fontId="5" numFmtId="4" xfId="0" applyAlignment="1" applyBorder="1" applyFont="1" applyNumberFormat="1">
      <alignment horizontal="center" readingOrder="0"/>
    </xf>
    <xf borderId="1" fillId="6" fontId="5" numFmtId="165" xfId="0" applyAlignment="1" applyBorder="1" applyFont="1" applyNumberFormat="1">
      <alignment horizontal="center" readingOrder="0"/>
    </xf>
    <xf borderId="0" fillId="0" fontId="6" numFmtId="0" xfId="0" applyFont="1"/>
    <xf borderId="0" fillId="0" fontId="9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left" readingOrder="0"/>
    </xf>
    <xf borderId="0" fillId="0" fontId="7" numFmtId="4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9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25"/>
    <col customWidth="1" min="3" max="3" width="4.63"/>
    <col customWidth="1" min="4" max="4" width="15.88"/>
    <col customWidth="1" min="5" max="6" width="13.88"/>
    <col customWidth="1" min="7" max="7" width="10.0"/>
    <col customWidth="1" min="8" max="8" width="8.13"/>
    <col customWidth="1" min="9" max="9" width="12.88"/>
    <col customWidth="1" min="10" max="10" width="8.13"/>
    <col customWidth="1" min="15" max="15" width="15.75"/>
    <col customWidth="1" min="16" max="17" width="11.13"/>
    <col customWidth="1" min="18" max="19" width="11.0"/>
    <col customWidth="1" min="20" max="20" width="14.25"/>
    <col customWidth="1" min="21" max="21" width="20.25"/>
    <col customWidth="1" min="22" max="24" width="18.0"/>
    <col customWidth="1" min="26" max="26" width="14.0"/>
    <col customWidth="1" min="27" max="27" width="20.25"/>
    <col customWidth="1" min="29" max="29" width="19.38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2" t="s">
        <v>13</v>
      </c>
      <c r="P1" s="3" t="s">
        <v>14</v>
      </c>
      <c r="Q1" s="2" t="s">
        <v>15</v>
      </c>
      <c r="R1" s="3" t="s">
        <v>16</v>
      </c>
      <c r="S1" s="2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2" t="s">
        <v>22</v>
      </c>
      <c r="Y1" s="5"/>
      <c r="Z1" s="6"/>
      <c r="AA1" s="6"/>
      <c r="AB1" s="6"/>
      <c r="AC1" s="6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7" t="s">
        <v>23</v>
      </c>
      <c r="B2" s="7" t="s">
        <v>24</v>
      </c>
      <c r="C2" s="7">
        <v>2021.0</v>
      </c>
      <c r="D2" s="8">
        <f>674131.5+704952.5</f>
        <v>1379084</v>
      </c>
      <c r="E2" s="8">
        <v>4.0000412E7</v>
      </c>
      <c r="F2" s="9">
        <v>6.21</v>
      </c>
      <c r="G2" s="10">
        <f t="shared" ref="G2:G797" si="1">(F2/100000)*E2</f>
        <v>2484.025585</v>
      </c>
      <c r="H2" s="9">
        <v>4.66</v>
      </c>
      <c r="I2" s="8">
        <f t="shared" ref="I2:I797" si="2">(H2/100000)*E2</f>
        <v>1864.019199</v>
      </c>
      <c r="J2" s="9">
        <v>8.25</v>
      </c>
      <c r="K2" s="11">
        <f t="shared" ref="K2:K797" si="3">(J2/100000)*E2</f>
        <v>3300.03399</v>
      </c>
      <c r="L2" s="11">
        <f>(G2/D2)*100000</f>
        <v>180.1214129</v>
      </c>
      <c r="M2" s="12">
        <f>(I2/D2)*100000</f>
        <v>135.1635723</v>
      </c>
      <c r="N2" s="11">
        <f>(K2/D2)*100000</f>
        <v>239.291732</v>
      </c>
      <c r="O2" s="9">
        <v>37.21</v>
      </c>
      <c r="P2" s="8">
        <f>(O2/100000)*E2</f>
        <v>14884.15331</v>
      </c>
      <c r="Q2" s="9">
        <v>7.14</v>
      </c>
      <c r="R2" s="8">
        <f>(Q2/100000)*E2</f>
        <v>2856.029417</v>
      </c>
      <c r="S2" s="9">
        <v>186.55</v>
      </c>
      <c r="T2" s="11">
        <f>(S2/100000)*E2</f>
        <v>74620.76859</v>
      </c>
      <c r="U2" s="11">
        <f>(P2/D2)*100000</f>
        <v>1079.278224</v>
      </c>
      <c r="V2" s="11">
        <f>(R2/D2)*100000</f>
        <v>207.0961172</v>
      </c>
      <c r="W2" s="11">
        <f>(T2/D2)*100000</f>
        <v>5410.89365</v>
      </c>
      <c r="X2" s="7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hidden="1">
      <c r="A3" s="7" t="s">
        <v>25</v>
      </c>
      <c r="B3" s="7" t="s">
        <v>24</v>
      </c>
      <c r="C3" s="7">
        <v>2030.0</v>
      </c>
      <c r="D3" s="8">
        <v>1521091.0</v>
      </c>
      <c r="E3" s="10">
        <v>5.0039402E7</v>
      </c>
      <c r="F3" s="9">
        <v>6.21</v>
      </c>
      <c r="G3" s="10">
        <f t="shared" si="1"/>
        <v>3107.446864</v>
      </c>
      <c r="H3" s="9">
        <v>4.66</v>
      </c>
      <c r="I3" s="8">
        <f t="shared" si="2"/>
        <v>2331.836133</v>
      </c>
      <c r="J3" s="9">
        <v>8.25</v>
      </c>
      <c r="K3" s="11">
        <f t="shared" si="3"/>
        <v>4128.250665</v>
      </c>
      <c r="L3" s="11">
        <f>(L2/100000)*D3</f>
        <v>2739.8106</v>
      </c>
      <c r="M3" s="11">
        <f t="shared" ref="M3:M5" si="4">(I3*D3)/100000</f>
        <v>35469.34956</v>
      </c>
      <c r="N3" s="11">
        <f t="shared" ref="N3:N5" si="5">(K3*D3)/100000</f>
        <v>62794.44932</v>
      </c>
      <c r="O3" s="9">
        <v>37.21</v>
      </c>
      <c r="P3" s="9"/>
      <c r="Q3" s="9">
        <v>7.14</v>
      </c>
      <c r="R3" s="9"/>
      <c r="S3" s="9">
        <v>186.55</v>
      </c>
      <c r="T3" s="14"/>
      <c r="U3" s="14">
        <f t="shared" ref="U3:U5" si="6">(O3*D3)/100000</f>
        <v>565.9979611</v>
      </c>
      <c r="V3" s="14">
        <f t="shared" ref="V3:V5" si="7">(Q3*D3)/100000</f>
        <v>108.6058974</v>
      </c>
      <c r="W3" s="14">
        <f t="shared" ref="W3:W5" si="8">(S3*D3)/100000</f>
        <v>2837.595261</v>
      </c>
      <c r="X3" s="7" t="s">
        <v>26</v>
      </c>
      <c r="Y3" s="13"/>
      <c r="Z3" s="13" t="str">
        <f t="shared" ref="Z3:Z4" si="9">ROUND(F3, 0) &amp; " (" &amp; ROUND(H3, 0) &amp; "-" &amp; ROUND(J3, 0) &amp; ")"</f>
        <v>6 (5-8)</v>
      </c>
      <c r="AA3" s="13" t="str">
        <f t="shared" ref="AA3:AA4" si="10">ROUND(L3, 0) &amp; " (" &amp; ROUND(M3, 0) &amp; "-" &amp; ROUND(N3, 0) &amp; ")"</f>
        <v>2740 (35469-62794)</v>
      </c>
      <c r="AB3" s="13" t="str">
        <f t="shared" ref="AB3:AB4" si="11">ROUND(O3, 0) &amp; " (" &amp; ROUND(Q3, 0) &amp; "-" &amp; ROUND(S3, 0) &amp; ")"</f>
        <v>37 (7-187)</v>
      </c>
      <c r="AC3" s="13" t="str">
        <f t="shared" ref="AC3:AC4" si="12">ROUND(U3, 0) &amp; " (" &amp; ROUND(V3, 0) &amp; "-" &amp; ROUND(W3, 0) &amp; ")"</f>
        <v>566 (109-2838)</v>
      </c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hidden="1">
      <c r="A4" s="7" t="s">
        <v>27</v>
      </c>
      <c r="B4" s="7" t="s">
        <v>24</v>
      </c>
      <c r="C4" s="7">
        <v>2040.0</v>
      </c>
      <c r="D4" s="8">
        <v>1653659.0</v>
      </c>
      <c r="E4" s="10">
        <v>6.334787E7</v>
      </c>
      <c r="F4" s="9">
        <v>6.21</v>
      </c>
      <c r="G4" s="10">
        <f t="shared" si="1"/>
        <v>3933.902727</v>
      </c>
      <c r="H4" s="9">
        <v>4.66</v>
      </c>
      <c r="I4" s="8">
        <f t="shared" si="2"/>
        <v>2952.010742</v>
      </c>
      <c r="J4" s="9">
        <v>8.25</v>
      </c>
      <c r="K4" s="11">
        <f t="shared" si="3"/>
        <v>5226.199275</v>
      </c>
      <c r="L4" s="11">
        <f t="shared" ref="L4:L797" si="13">(G4/D4)*100000</f>
        <v>237.8908062</v>
      </c>
      <c r="M4" s="11">
        <f t="shared" si="4"/>
        <v>48816.19132</v>
      </c>
      <c r="N4" s="11">
        <f t="shared" si="5"/>
        <v>86423.51467</v>
      </c>
      <c r="O4" s="9">
        <v>37.21</v>
      </c>
      <c r="P4" s="9"/>
      <c r="Q4" s="9">
        <v>7.14</v>
      </c>
      <c r="R4" s="9"/>
      <c r="S4" s="9">
        <v>186.55</v>
      </c>
      <c r="T4" s="14"/>
      <c r="U4" s="14">
        <f t="shared" si="6"/>
        <v>615.3265139</v>
      </c>
      <c r="V4" s="14">
        <f t="shared" si="7"/>
        <v>118.0712526</v>
      </c>
      <c r="W4" s="14">
        <f t="shared" si="8"/>
        <v>3084.900865</v>
      </c>
      <c r="X4" s="7" t="s">
        <v>28</v>
      </c>
      <c r="Y4" s="13"/>
      <c r="Z4" s="13" t="str">
        <f t="shared" si="9"/>
        <v>6 (5-8)</v>
      </c>
      <c r="AA4" s="13" t="str">
        <f t="shared" si="10"/>
        <v>238 (48816-86424)</v>
      </c>
      <c r="AB4" s="13" t="str">
        <f t="shared" si="11"/>
        <v>37 (7-187)</v>
      </c>
      <c r="AC4" s="13" t="str">
        <f t="shared" si="12"/>
        <v>615 (118-3085)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hidden="1">
      <c r="A5" s="7" t="s">
        <v>29</v>
      </c>
      <c r="B5" s="7" t="s">
        <v>24</v>
      </c>
      <c r="C5" s="7">
        <v>2050.0</v>
      </c>
      <c r="D5" s="8">
        <v>1771185.0</v>
      </c>
      <c r="E5" s="10">
        <v>7.6885135E7</v>
      </c>
      <c r="F5" s="9">
        <v>6.21</v>
      </c>
      <c r="G5" s="10">
        <f t="shared" si="1"/>
        <v>4774.566884</v>
      </c>
      <c r="H5" s="9">
        <v>4.66</v>
      </c>
      <c r="I5" s="8">
        <f t="shared" si="2"/>
        <v>3582.847291</v>
      </c>
      <c r="J5" s="9">
        <v>8.25</v>
      </c>
      <c r="K5" s="11">
        <f t="shared" si="3"/>
        <v>6343.023638</v>
      </c>
      <c r="L5" s="11">
        <f t="shared" si="13"/>
        <v>269.5690672</v>
      </c>
      <c r="M5" s="11">
        <f t="shared" si="4"/>
        <v>63458.85379</v>
      </c>
      <c r="N5" s="11">
        <f t="shared" si="5"/>
        <v>112346.6832</v>
      </c>
      <c r="O5" s="9">
        <v>37.21</v>
      </c>
      <c r="P5" s="8">
        <f t="shared" ref="P5:P6" si="14">(O5/100000)*E5</f>
        <v>28608.95873</v>
      </c>
      <c r="Q5" s="9">
        <v>7.14</v>
      </c>
      <c r="R5" s="8">
        <f t="shared" ref="R5:R6" si="15">(Q5/100000)*E5</f>
        <v>5489.598639</v>
      </c>
      <c r="S5" s="9">
        <v>186.55</v>
      </c>
      <c r="T5" s="11">
        <f t="shared" ref="T5:T6" si="16">(S5/100000)*E5</f>
        <v>143429.2193</v>
      </c>
      <c r="U5" s="14">
        <f t="shared" si="6"/>
        <v>659.0579385</v>
      </c>
      <c r="V5" s="14">
        <f t="shared" si="7"/>
        <v>126.462609</v>
      </c>
      <c r="W5" s="14">
        <f t="shared" si="8"/>
        <v>3304.145618</v>
      </c>
      <c r="X5" s="15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>
      <c r="A6" s="7" t="s">
        <v>23</v>
      </c>
      <c r="B6" s="16" t="s">
        <v>30</v>
      </c>
      <c r="C6" s="16">
        <v>2021.0</v>
      </c>
      <c r="D6" s="17">
        <f>468124.5+488067</f>
        <v>956191.5</v>
      </c>
      <c r="E6" s="18">
        <v>4.4761099E7</v>
      </c>
      <c r="F6" s="19">
        <v>3.0</v>
      </c>
      <c r="G6" s="10">
        <f t="shared" si="1"/>
        <v>1342.83297</v>
      </c>
      <c r="H6" s="19">
        <v>2.24</v>
      </c>
      <c r="I6" s="8">
        <f t="shared" si="2"/>
        <v>1002.648618</v>
      </c>
      <c r="J6" s="19">
        <v>4.04</v>
      </c>
      <c r="K6" s="11">
        <f t="shared" si="3"/>
        <v>1808.3484</v>
      </c>
      <c r="L6" s="11">
        <f t="shared" si="13"/>
        <v>140.4355686</v>
      </c>
      <c r="M6" s="12">
        <f>(I6/D6)*100000</f>
        <v>104.8585579</v>
      </c>
      <c r="N6" s="11">
        <f>(K6/D6)*100000</f>
        <v>189.1198991</v>
      </c>
      <c r="O6" s="19">
        <v>7.31</v>
      </c>
      <c r="P6" s="8">
        <f t="shared" si="14"/>
        <v>3272.036337</v>
      </c>
      <c r="Q6" s="19">
        <v>5.04</v>
      </c>
      <c r="R6" s="8">
        <f t="shared" si="15"/>
        <v>2255.95939</v>
      </c>
      <c r="S6" s="19">
        <v>10.72</v>
      </c>
      <c r="T6" s="11">
        <f t="shared" si="16"/>
        <v>4798.389813</v>
      </c>
      <c r="U6" s="11">
        <f>(P6/D6)*100000</f>
        <v>342.1946688</v>
      </c>
      <c r="V6" s="11">
        <f>(R6/D6)*100000</f>
        <v>235.9317553</v>
      </c>
      <c r="W6" s="11">
        <f>(T6/D6)*100000</f>
        <v>501.8230985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hidden="1">
      <c r="A7" s="7" t="s">
        <v>25</v>
      </c>
      <c r="B7" s="16" t="s">
        <v>30</v>
      </c>
      <c r="C7" s="16">
        <v>2030.0</v>
      </c>
      <c r="D7" s="17">
        <f>374961+391323</f>
        <v>766284</v>
      </c>
      <c r="E7" s="10">
        <v>5.0154166E7</v>
      </c>
      <c r="F7" s="19">
        <v>3.0</v>
      </c>
      <c r="G7" s="10">
        <f t="shared" si="1"/>
        <v>1504.62498</v>
      </c>
      <c r="H7" s="19">
        <v>2.24</v>
      </c>
      <c r="I7" s="8">
        <f t="shared" si="2"/>
        <v>1123.453318</v>
      </c>
      <c r="J7" s="19">
        <v>4.04</v>
      </c>
      <c r="K7" s="11">
        <f t="shared" si="3"/>
        <v>2026.228306</v>
      </c>
      <c r="L7" s="11">
        <f t="shared" si="13"/>
        <v>196.3534382</v>
      </c>
      <c r="M7" s="11">
        <f t="shared" ref="M7:M9" si="17">(I7*D7)/100000</f>
        <v>8608.843026</v>
      </c>
      <c r="N7" s="11">
        <f t="shared" ref="N7:N9" si="18">(K7*D7)/100000</f>
        <v>15526.66332</v>
      </c>
      <c r="O7" s="19">
        <v>7.31</v>
      </c>
      <c r="P7" s="19"/>
      <c r="Q7" s="19">
        <v>5.04</v>
      </c>
      <c r="R7" s="19"/>
      <c r="S7" s="19">
        <v>10.72</v>
      </c>
      <c r="T7" s="14"/>
      <c r="U7" s="14">
        <f t="shared" ref="U7:U9" si="19">(O7*D7)/100000</f>
        <v>56.0153604</v>
      </c>
      <c r="V7" s="14">
        <f t="shared" ref="V7:V9" si="20">(Q7*D7)/100000</f>
        <v>38.6207136</v>
      </c>
      <c r="W7" s="14">
        <f t="shared" ref="W7:W9" si="21">(S7*D7)/100000</f>
        <v>82.1456448</v>
      </c>
      <c r="X7" s="13"/>
      <c r="Y7" s="13"/>
      <c r="Z7" s="13" t="str">
        <f t="shared" ref="Z7:Z8" si="22">ROUND(F7, 0) &amp; " (" &amp; ROUND(H7, 0) &amp; "-" &amp; ROUND(J7, 0) &amp; ")"</f>
        <v>3 (2-4)</v>
      </c>
      <c r="AA7" s="13" t="str">
        <f t="shared" ref="AA7:AA8" si="23">ROUND(L7, 0) &amp; " (" &amp; ROUND(M7, 0) &amp; "-" &amp; ROUND(N7, 0) &amp; ")"</f>
        <v>196 (8609-15527)</v>
      </c>
      <c r="AB7" s="13" t="str">
        <f t="shared" ref="AB7:AB8" si="24">ROUND(O7, 0) &amp; " (" &amp; ROUND(Q7, 0) &amp; "-" &amp; ROUND(S7, 0) &amp; ")"</f>
        <v>7 (5-11)</v>
      </c>
      <c r="AC7" s="13" t="str">
        <f t="shared" ref="AC7:AC8" si="25">ROUND(U7, 0) &amp; " (" &amp; ROUND(V7, 0) &amp; "-" &amp; ROUND(W7, 0) &amp; ")"</f>
        <v>56 (39-82)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hidden="1">
      <c r="A8" s="7" t="s">
        <v>27</v>
      </c>
      <c r="B8" s="16" t="s">
        <v>30</v>
      </c>
      <c r="C8" s="16">
        <v>2040.0</v>
      </c>
      <c r="D8" s="17">
        <f>401278+419330</f>
        <v>820608</v>
      </c>
      <c r="E8" s="10">
        <v>5.4873476E7</v>
      </c>
      <c r="F8" s="19">
        <v>3.0</v>
      </c>
      <c r="G8" s="10">
        <f t="shared" si="1"/>
        <v>1646.20428</v>
      </c>
      <c r="H8" s="19">
        <v>2.24</v>
      </c>
      <c r="I8" s="8">
        <f t="shared" si="2"/>
        <v>1229.165862</v>
      </c>
      <c r="J8" s="19">
        <v>4.04</v>
      </c>
      <c r="K8" s="11">
        <f t="shared" si="3"/>
        <v>2216.88843</v>
      </c>
      <c r="L8" s="11">
        <f t="shared" si="13"/>
        <v>200.6078761</v>
      </c>
      <c r="M8" s="11">
        <f t="shared" si="17"/>
        <v>10086.6334</v>
      </c>
      <c r="N8" s="11">
        <f t="shared" si="18"/>
        <v>18191.96381</v>
      </c>
      <c r="O8" s="19">
        <v>7.31</v>
      </c>
      <c r="P8" s="19"/>
      <c r="Q8" s="19">
        <v>5.04</v>
      </c>
      <c r="R8" s="19"/>
      <c r="S8" s="19">
        <v>10.72</v>
      </c>
      <c r="T8" s="14"/>
      <c r="U8" s="14">
        <f t="shared" si="19"/>
        <v>59.9864448</v>
      </c>
      <c r="V8" s="14">
        <f t="shared" si="20"/>
        <v>41.3586432</v>
      </c>
      <c r="W8" s="14">
        <f t="shared" si="21"/>
        <v>87.9691776</v>
      </c>
      <c r="X8" s="13"/>
      <c r="Y8" s="13"/>
      <c r="Z8" s="13" t="str">
        <f t="shared" si="22"/>
        <v>3 (2-4)</v>
      </c>
      <c r="AA8" s="13" t="str">
        <f t="shared" si="23"/>
        <v>201 (10087-18192)</v>
      </c>
      <c r="AB8" s="13" t="str">
        <f t="shared" si="24"/>
        <v>7 (5-11)</v>
      </c>
      <c r="AC8" s="13" t="str">
        <f t="shared" si="25"/>
        <v>60 (41-88)</v>
      </c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hidden="1">
      <c r="A9" s="7" t="s">
        <v>29</v>
      </c>
      <c r="B9" s="16" t="s">
        <v>30</v>
      </c>
      <c r="C9" s="16">
        <v>2050.0</v>
      </c>
      <c r="D9" s="17">
        <f>419100+438415</f>
        <v>857515</v>
      </c>
      <c r="E9" s="10">
        <v>5.9565554E7</v>
      </c>
      <c r="F9" s="19">
        <v>3.0</v>
      </c>
      <c r="G9" s="10">
        <f t="shared" si="1"/>
        <v>1786.96662</v>
      </c>
      <c r="H9" s="19">
        <v>2.24</v>
      </c>
      <c r="I9" s="8">
        <f t="shared" si="2"/>
        <v>1334.26841</v>
      </c>
      <c r="J9" s="19">
        <v>4.04</v>
      </c>
      <c r="K9" s="11">
        <f t="shared" si="3"/>
        <v>2406.448382</v>
      </c>
      <c r="L9" s="11">
        <f t="shared" si="13"/>
        <v>208.3889635</v>
      </c>
      <c r="M9" s="11">
        <f t="shared" si="17"/>
        <v>11441.55175</v>
      </c>
      <c r="N9" s="11">
        <f t="shared" si="18"/>
        <v>20635.65584</v>
      </c>
      <c r="O9" s="19">
        <v>7.31</v>
      </c>
      <c r="P9" s="8">
        <f t="shared" ref="P9:P10" si="26">(O9/100000)*E9</f>
        <v>4354.241997</v>
      </c>
      <c r="Q9" s="19">
        <v>5.04</v>
      </c>
      <c r="R9" s="8">
        <f t="shared" ref="R9:R10" si="27">(Q9/100000)*E9</f>
        <v>3002.103922</v>
      </c>
      <c r="S9" s="19">
        <v>10.72</v>
      </c>
      <c r="T9" s="11">
        <f t="shared" ref="T9:T10" si="28">(S9/100000)*E9</f>
        <v>6385.427389</v>
      </c>
      <c r="U9" s="14">
        <f t="shared" si="19"/>
        <v>62.6843465</v>
      </c>
      <c r="V9" s="14">
        <f t="shared" si="20"/>
        <v>43.218756</v>
      </c>
      <c r="W9" s="14">
        <f t="shared" si="21"/>
        <v>91.925608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>
      <c r="A10" s="7" t="s">
        <v>23</v>
      </c>
      <c r="B10" s="16" t="s">
        <v>31</v>
      </c>
      <c r="C10" s="16">
        <v>2021.0</v>
      </c>
      <c r="D10" s="17">
        <f>9267.5+9565.5</f>
        <v>18833</v>
      </c>
      <c r="E10" s="18">
        <v>1504365.0</v>
      </c>
      <c r="F10" s="19">
        <v>1.67</v>
      </c>
      <c r="G10" s="10">
        <f t="shared" si="1"/>
        <v>25.1228955</v>
      </c>
      <c r="H10" s="19">
        <v>1.25</v>
      </c>
      <c r="I10" s="8">
        <f t="shared" si="2"/>
        <v>18.8045625</v>
      </c>
      <c r="J10" s="19">
        <v>2.24</v>
      </c>
      <c r="K10" s="11">
        <f t="shared" si="3"/>
        <v>33.697776</v>
      </c>
      <c r="L10" s="11">
        <f t="shared" si="13"/>
        <v>133.3982663</v>
      </c>
      <c r="M10" s="12">
        <f>(I10/D10)*100000</f>
        <v>99.84900175</v>
      </c>
      <c r="N10" s="11">
        <f>(K10/D10)*100000</f>
        <v>178.9294111</v>
      </c>
      <c r="O10" s="19">
        <v>5.52</v>
      </c>
      <c r="P10" s="8">
        <f t="shared" si="26"/>
        <v>83.040948</v>
      </c>
      <c r="Q10" s="19">
        <v>3.42</v>
      </c>
      <c r="R10" s="8">
        <f t="shared" si="27"/>
        <v>51.449283</v>
      </c>
      <c r="S10" s="19">
        <v>8.22</v>
      </c>
      <c r="T10" s="11">
        <f t="shared" si="28"/>
        <v>123.658803</v>
      </c>
      <c r="U10" s="11">
        <f>(P10/D10)*100000</f>
        <v>440.9331917</v>
      </c>
      <c r="V10" s="11">
        <f>(R10/D10)*100000</f>
        <v>273.1868688</v>
      </c>
      <c r="W10" s="11">
        <f>(T10/D10)*100000</f>
        <v>656.6070355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hidden="1">
      <c r="A11" s="7" t="s">
        <v>25</v>
      </c>
      <c r="B11" s="16" t="s">
        <v>31</v>
      </c>
      <c r="C11" s="16">
        <v>2030.0</v>
      </c>
      <c r="D11" s="17">
        <f>10331+10695</f>
        <v>21026</v>
      </c>
      <c r="E11" s="10">
        <v>1733610.0</v>
      </c>
      <c r="F11" s="19">
        <v>1.67</v>
      </c>
      <c r="G11" s="10">
        <f t="shared" si="1"/>
        <v>28.951287</v>
      </c>
      <c r="H11" s="19">
        <v>1.25</v>
      </c>
      <c r="I11" s="8">
        <f t="shared" si="2"/>
        <v>21.670125</v>
      </c>
      <c r="J11" s="19">
        <v>2.24</v>
      </c>
      <c r="K11" s="11">
        <f t="shared" si="3"/>
        <v>38.832864</v>
      </c>
      <c r="L11" s="11">
        <f t="shared" si="13"/>
        <v>137.6927946</v>
      </c>
      <c r="M11" s="11">
        <f t="shared" ref="M11:M13" si="29">(I11*D11)/100000</f>
        <v>4.556360483</v>
      </c>
      <c r="N11" s="11">
        <f t="shared" ref="N11:N13" si="30">(K11*D11)/100000</f>
        <v>8.164997985</v>
      </c>
      <c r="O11" s="19">
        <v>5.52</v>
      </c>
      <c r="P11" s="19"/>
      <c r="Q11" s="19">
        <v>3.42</v>
      </c>
      <c r="R11" s="19"/>
      <c r="S11" s="19">
        <v>8.22</v>
      </c>
      <c r="T11" s="14"/>
      <c r="U11" s="14">
        <f t="shared" ref="U11:U13" si="31">(O11*D11)/100000</f>
        <v>1.1606352</v>
      </c>
      <c r="V11" s="14">
        <f t="shared" ref="V11:V13" si="32">(Q11*D11)/100000</f>
        <v>0.7190892</v>
      </c>
      <c r="W11" s="14">
        <f t="shared" ref="W11:W13" si="33">(S11*D11)/100000</f>
        <v>1.7283372</v>
      </c>
      <c r="X11" s="13"/>
      <c r="Y11" s="13"/>
      <c r="Z11" s="13" t="str">
        <f t="shared" ref="Z11:Z12" si="34">ROUND(F11, 0) &amp; " (" &amp; ROUND(H11, 0) &amp; "-" &amp; ROUND(J11, 0) &amp; ")"</f>
        <v>2 (1-2)</v>
      </c>
      <c r="AA11" s="13" t="str">
        <f t="shared" ref="AA11:AA12" si="35">ROUND(L11, 0) &amp; " (" &amp; ROUND(M11, 0) &amp; "-" &amp; ROUND(N11, 0) &amp; ")"</f>
        <v>138 (5-8)</v>
      </c>
      <c r="AB11" s="13" t="str">
        <f t="shared" ref="AB11:AB12" si="36">ROUND(O11, 0) &amp; " (" &amp; ROUND(Q11, 0) &amp; "-" &amp; ROUND(S11, 0) &amp; ")"</f>
        <v>6 (3-8)</v>
      </c>
      <c r="AC11" s="13" t="str">
        <f t="shared" ref="AC11:AC12" si="37">ROUND(U11, 0) &amp; " (" &amp; ROUND(V11, 0) &amp; "-" &amp; ROUND(W11, 0) &amp; ")"</f>
        <v>1 (1-2)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hidden="1">
      <c r="A12" s="7" t="s">
        <v>27</v>
      </c>
      <c r="B12" s="16" t="s">
        <v>31</v>
      </c>
      <c r="C12" s="16">
        <v>2040.0</v>
      </c>
      <c r="D12" s="17">
        <f>11484+11875</f>
        <v>23359</v>
      </c>
      <c r="E12" s="10">
        <v>1914988.0</v>
      </c>
      <c r="F12" s="19">
        <v>1.67</v>
      </c>
      <c r="G12" s="10">
        <f t="shared" si="1"/>
        <v>31.9802996</v>
      </c>
      <c r="H12" s="19">
        <v>1.25</v>
      </c>
      <c r="I12" s="8">
        <f t="shared" si="2"/>
        <v>23.93735</v>
      </c>
      <c r="J12" s="19">
        <v>2.24</v>
      </c>
      <c r="K12" s="11">
        <f t="shared" si="3"/>
        <v>42.8957312</v>
      </c>
      <c r="L12" s="11">
        <f t="shared" si="13"/>
        <v>136.9078282</v>
      </c>
      <c r="M12" s="11">
        <f t="shared" si="29"/>
        <v>5.591525587</v>
      </c>
      <c r="N12" s="11">
        <f t="shared" si="30"/>
        <v>10.02001385</v>
      </c>
      <c r="O12" s="19">
        <v>5.52</v>
      </c>
      <c r="P12" s="19"/>
      <c r="Q12" s="19">
        <v>3.42</v>
      </c>
      <c r="R12" s="19"/>
      <c r="S12" s="19">
        <v>8.22</v>
      </c>
      <c r="T12" s="14"/>
      <c r="U12" s="14">
        <f t="shared" si="31"/>
        <v>1.2894168</v>
      </c>
      <c r="V12" s="14">
        <f t="shared" si="32"/>
        <v>0.7988778</v>
      </c>
      <c r="W12" s="14">
        <f t="shared" si="33"/>
        <v>1.9201098</v>
      </c>
      <c r="X12" s="13"/>
      <c r="Y12" s="13"/>
      <c r="Z12" s="13" t="str">
        <f t="shared" si="34"/>
        <v>2 (1-2)</v>
      </c>
      <c r="AA12" s="13" t="str">
        <f t="shared" si="35"/>
        <v>137 (6-10)</v>
      </c>
      <c r="AB12" s="13" t="str">
        <f t="shared" si="36"/>
        <v>6 (3-8)</v>
      </c>
      <c r="AC12" s="13" t="str">
        <f t="shared" si="37"/>
        <v>1 (1-2)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hidden="1">
      <c r="A13" s="7" t="s">
        <v>29</v>
      </c>
      <c r="B13" s="16" t="s">
        <v>31</v>
      </c>
      <c r="C13" s="16">
        <v>2050.0</v>
      </c>
      <c r="D13" s="17">
        <f>11965+12358</f>
        <v>24323</v>
      </c>
      <c r="E13" s="10">
        <v>2098576.0</v>
      </c>
      <c r="F13" s="19">
        <v>1.67</v>
      </c>
      <c r="G13" s="10">
        <f t="shared" si="1"/>
        <v>35.0462192</v>
      </c>
      <c r="H13" s="19">
        <v>1.25</v>
      </c>
      <c r="I13" s="8">
        <f t="shared" si="2"/>
        <v>26.2322</v>
      </c>
      <c r="J13" s="19">
        <v>2.24</v>
      </c>
      <c r="K13" s="11">
        <f t="shared" si="3"/>
        <v>47.0081024</v>
      </c>
      <c r="L13" s="11">
        <f t="shared" si="13"/>
        <v>144.0867459</v>
      </c>
      <c r="M13" s="11">
        <f t="shared" si="29"/>
        <v>6.380458006</v>
      </c>
      <c r="N13" s="11">
        <f t="shared" si="30"/>
        <v>11.43378075</v>
      </c>
      <c r="O13" s="19">
        <v>5.52</v>
      </c>
      <c r="P13" s="8">
        <f t="shared" ref="P13:P14" si="38">(O13/100000)*E13</f>
        <v>115.8413952</v>
      </c>
      <c r="Q13" s="19">
        <v>3.42</v>
      </c>
      <c r="R13" s="8">
        <f t="shared" ref="R13:R14" si="39">(Q13/100000)*E13</f>
        <v>71.7712992</v>
      </c>
      <c r="S13" s="19">
        <v>8.22</v>
      </c>
      <c r="T13" s="11">
        <f t="shared" ref="T13:T14" si="40">(S13/100000)*E13</f>
        <v>172.5029472</v>
      </c>
      <c r="U13" s="14">
        <f t="shared" si="31"/>
        <v>1.3426296</v>
      </c>
      <c r="V13" s="14">
        <f t="shared" si="32"/>
        <v>0.8318466</v>
      </c>
      <c r="W13" s="14">
        <f t="shared" si="33"/>
        <v>1.9993506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>
      <c r="A14" s="7" t="s">
        <v>23</v>
      </c>
      <c r="B14" s="16" t="s">
        <v>32</v>
      </c>
      <c r="C14" s="16">
        <v>2021.0</v>
      </c>
      <c r="D14" s="17">
        <f>1142649+1200963</f>
        <v>2343612</v>
      </c>
      <c r="E14" s="18">
        <v>1.10957008E8</v>
      </c>
      <c r="F14" s="19">
        <v>3.43</v>
      </c>
      <c r="G14" s="10">
        <f t="shared" si="1"/>
        <v>3805.825374</v>
      </c>
      <c r="H14" s="19">
        <v>2.63</v>
      </c>
      <c r="I14" s="8">
        <f t="shared" si="2"/>
        <v>2918.16931</v>
      </c>
      <c r="J14" s="19">
        <v>4.59</v>
      </c>
      <c r="K14" s="11">
        <f t="shared" si="3"/>
        <v>5092.926667</v>
      </c>
      <c r="L14" s="11">
        <f t="shared" si="13"/>
        <v>162.3914442</v>
      </c>
      <c r="M14" s="12">
        <f>(I14/D14)*100000</f>
        <v>124.5158887</v>
      </c>
      <c r="N14" s="11">
        <f>(K14/D14)*100000</f>
        <v>217.3109997</v>
      </c>
      <c r="O14" s="19">
        <v>7.86</v>
      </c>
      <c r="P14" s="8">
        <f t="shared" si="38"/>
        <v>8721.220829</v>
      </c>
      <c r="Q14" s="19">
        <v>5.28</v>
      </c>
      <c r="R14" s="8">
        <f t="shared" si="39"/>
        <v>5858.530022</v>
      </c>
      <c r="S14" s="19">
        <v>11.15</v>
      </c>
      <c r="T14" s="11">
        <f t="shared" si="40"/>
        <v>12371.70639</v>
      </c>
      <c r="U14" s="11">
        <f>(P14/D14)*100000</f>
        <v>372.1273329</v>
      </c>
      <c r="V14" s="11">
        <f>(R14/D14)*100000</f>
        <v>249.9786664</v>
      </c>
      <c r="W14" s="11">
        <f>(T14/D14)*100000</f>
        <v>527.8905549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hidden="1">
      <c r="A15" s="7" t="s">
        <v>25</v>
      </c>
      <c r="B15" s="16" t="s">
        <v>32</v>
      </c>
      <c r="C15" s="16">
        <v>2030.0</v>
      </c>
      <c r="D15" s="17">
        <f>1213206+1278324</f>
        <v>2491530</v>
      </c>
      <c r="E15" s="10">
        <v>1.27139322E8</v>
      </c>
      <c r="F15" s="19">
        <v>3.43</v>
      </c>
      <c r="G15" s="10">
        <f t="shared" si="1"/>
        <v>4360.878745</v>
      </c>
      <c r="H15" s="19">
        <v>2.63</v>
      </c>
      <c r="I15" s="8">
        <f t="shared" si="2"/>
        <v>3343.764169</v>
      </c>
      <c r="J15" s="19">
        <v>4.59</v>
      </c>
      <c r="K15" s="11">
        <f t="shared" si="3"/>
        <v>5835.69488</v>
      </c>
      <c r="L15" s="11">
        <f t="shared" si="13"/>
        <v>175.0281451</v>
      </c>
      <c r="M15" s="11">
        <f t="shared" ref="M15:M17" si="41">(I15*D15)/100000</f>
        <v>83310.88739</v>
      </c>
      <c r="N15" s="11">
        <f t="shared" ref="N15:N17" si="42">(K15*D15)/100000</f>
        <v>145398.0886</v>
      </c>
      <c r="O15" s="19">
        <v>7.86</v>
      </c>
      <c r="P15" s="19"/>
      <c r="Q15" s="19">
        <v>5.28</v>
      </c>
      <c r="R15" s="19"/>
      <c r="S15" s="19">
        <v>11.15</v>
      </c>
      <c r="T15" s="14"/>
      <c r="U15" s="14">
        <f t="shared" ref="U15:U17" si="43">(O15*D15)/100000</f>
        <v>195.834258</v>
      </c>
      <c r="V15" s="14">
        <f t="shared" ref="V15:V17" si="44">(Q15*D15)/100000</f>
        <v>131.552784</v>
      </c>
      <c r="W15" s="14">
        <f t="shared" ref="W15:W17" si="45">(S15*D15)/100000</f>
        <v>277.805595</v>
      </c>
      <c r="X15" s="13"/>
      <c r="Y15" s="13"/>
      <c r="Z15" s="13" t="str">
        <f t="shared" ref="Z15:Z16" si="46">ROUND(F15, 0) &amp; " (" &amp; ROUND(H15, 0) &amp; "-" &amp; ROUND(J15, 0) &amp; ")"</f>
        <v>3 (3-5)</v>
      </c>
      <c r="AA15" s="13" t="str">
        <f t="shared" ref="AA15:AA16" si="47">ROUND(L15, 0) &amp; " (" &amp; ROUND(M15, 0) &amp; "-" &amp; ROUND(N15, 0) &amp; ")"</f>
        <v>175 (83311-145398)</v>
      </c>
      <c r="AB15" s="13" t="str">
        <f t="shared" ref="AB15:AB16" si="48">ROUND(O15, 0) &amp; " (" &amp; ROUND(Q15, 0) &amp; "-" &amp; ROUND(S15, 0) &amp; ")"</f>
        <v>8 (5-11)</v>
      </c>
      <c r="AC15" s="13" t="str">
        <f t="shared" ref="AC15:AC16" si="49">ROUND(U15, 0) &amp; " (" &amp; ROUND(V15, 0) &amp; "-" &amp; ROUND(W15, 0) &amp; ")"</f>
        <v>196 (132-278)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hidden="1">
      <c r="A16" s="7" t="s">
        <v>27</v>
      </c>
      <c r="B16" s="16" t="s">
        <v>32</v>
      </c>
      <c r="C16" s="16">
        <v>2040.0</v>
      </c>
      <c r="D16" s="17">
        <f>1327238+1399803</f>
        <v>2727041</v>
      </c>
      <c r="E16" s="10">
        <v>1.45213654E8</v>
      </c>
      <c r="F16" s="19">
        <v>3.43</v>
      </c>
      <c r="G16" s="10">
        <f t="shared" si="1"/>
        <v>4980.828332</v>
      </c>
      <c r="H16" s="19">
        <v>2.63</v>
      </c>
      <c r="I16" s="8">
        <f t="shared" si="2"/>
        <v>3819.1191</v>
      </c>
      <c r="J16" s="19">
        <v>4.59</v>
      </c>
      <c r="K16" s="11">
        <f t="shared" si="3"/>
        <v>6665.306719</v>
      </c>
      <c r="L16" s="11">
        <f t="shared" si="13"/>
        <v>182.645891</v>
      </c>
      <c r="M16" s="11">
        <f t="shared" si="41"/>
        <v>104148.9437</v>
      </c>
      <c r="N16" s="11">
        <f t="shared" si="42"/>
        <v>181765.647</v>
      </c>
      <c r="O16" s="19">
        <v>7.86</v>
      </c>
      <c r="P16" s="19"/>
      <c r="Q16" s="19">
        <v>5.28</v>
      </c>
      <c r="R16" s="19"/>
      <c r="S16" s="19">
        <v>11.15</v>
      </c>
      <c r="T16" s="14"/>
      <c r="U16" s="14">
        <f t="shared" si="43"/>
        <v>214.3454226</v>
      </c>
      <c r="V16" s="14">
        <f t="shared" si="44"/>
        <v>143.9877648</v>
      </c>
      <c r="W16" s="14">
        <f t="shared" si="45"/>
        <v>304.0650715</v>
      </c>
      <c r="X16" s="13"/>
      <c r="Y16" s="13"/>
      <c r="Z16" s="13" t="str">
        <f t="shared" si="46"/>
        <v>3 (3-5)</v>
      </c>
      <c r="AA16" s="13" t="str">
        <f t="shared" si="47"/>
        <v>183 (104149-181766)</v>
      </c>
      <c r="AB16" s="13" t="str">
        <f t="shared" si="48"/>
        <v>8 (5-11)</v>
      </c>
      <c r="AC16" s="13" t="str">
        <f t="shared" si="49"/>
        <v>214 (144-304)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hidden="1">
      <c r="A17" s="7" t="s">
        <v>29</v>
      </c>
      <c r="B17" s="16" t="s">
        <v>32</v>
      </c>
      <c r="C17" s="16">
        <v>2050.0</v>
      </c>
      <c r="D17" s="17">
        <f>1250892+1319902</f>
        <v>2570794</v>
      </c>
      <c r="E17" s="10">
        <v>1.61630192E8</v>
      </c>
      <c r="F17" s="19">
        <v>3.43</v>
      </c>
      <c r="G17" s="10">
        <f t="shared" si="1"/>
        <v>5543.915586</v>
      </c>
      <c r="H17" s="19">
        <v>2.63</v>
      </c>
      <c r="I17" s="8">
        <f t="shared" si="2"/>
        <v>4250.87405</v>
      </c>
      <c r="J17" s="19">
        <v>4.59</v>
      </c>
      <c r="K17" s="11">
        <f t="shared" si="3"/>
        <v>7418.825813</v>
      </c>
      <c r="L17" s="11">
        <f t="shared" si="13"/>
        <v>215.6499348</v>
      </c>
      <c r="M17" s="11">
        <f t="shared" si="41"/>
        <v>109281.215</v>
      </c>
      <c r="N17" s="11">
        <f t="shared" si="42"/>
        <v>190722.7289</v>
      </c>
      <c r="O17" s="19">
        <v>7.86</v>
      </c>
      <c r="P17" s="8">
        <f t="shared" ref="P17:P18" si="50">(O17/100000)*E17</f>
        <v>12704.13309</v>
      </c>
      <c r="Q17" s="19">
        <v>5.28</v>
      </c>
      <c r="R17" s="8">
        <f t="shared" ref="R17:R18" si="51">(Q17/100000)*E17</f>
        <v>8534.074138</v>
      </c>
      <c r="S17" s="19">
        <v>11.15</v>
      </c>
      <c r="T17" s="11">
        <f t="shared" ref="T17:T18" si="52">(S17/100000)*E17</f>
        <v>18021.76641</v>
      </c>
      <c r="U17" s="14">
        <f t="shared" si="43"/>
        <v>202.0644084</v>
      </c>
      <c r="V17" s="14">
        <f t="shared" si="44"/>
        <v>135.7379232</v>
      </c>
      <c r="W17" s="14">
        <f t="shared" si="45"/>
        <v>286.643531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>
      <c r="A18" s="7" t="s">
        <v>23</v>
      </c>
      <c r="B18" s="16" t="s">
        <v>33</v>
      </c>
      <c r="C18" s="16">
        <v>2021.0</v>
      </c>
      <c r="D18" s="18">
        <f>589147+620407</f>
        <v>1209554</v>
      </c>
      <c r="E18" s="18">
        <v>8.8455488E7</v>
      </c>
      <c r="F18" s="19">
        <v>1.48</v>
      </c>
      <c r="G18" s="10">
        <f t="shared" si="1"/>
        <v>1309.141222</v>
      </c>
      <c r="H18" s="19">
        <v>1.12</v>
      </c>
      <c r="I18" s="8">
        <f t="shared" si="2"/>
        <v>990.7014656</v>
      </c>
      <c r="J18" s="19">
        <v>2.03</v>
      </c>
      <c r="K18" s="11">
        <f t="shared" si="3"/>
        <v>1795.646406</v>
      </c>
      <c r="L18" s="11">
        <f t="shared" si="13"/>
        <v>108.2333837</v>
      </c>
      <c r="M18" s="12">
        <f>(I18/D18)*100000</f>
        <v>81.90634445</v>
      </c>
      <c r="N18" s="11">
        <f>(K18/D18)*100000</f>
        <v>148.4552493</v>
      </c>
      <c r="O18" s="19">
        <v>5.26</v>
      </c>
      <c r="P18" s="8">
        <f t="shared" si="50"/>
        <v>4652.758669</v>
      </c>
      <c r="Q18" s="19">
        <v>3.5</v>
      </c>
      <c r="R18" s="8">
        <f t="shared" si="51"/>
        <v>3095.94208</v>
      </c>
      <c r="S18" s="19">
        <v>7.55</v>
      </c>
      <c r="T18" s="11">
        <f t="shared" si="52"/>
        <v>6678.389344</v>
      </c>
      <c r="U18" s="11">
        <f>(P18/D18)*100000</f>
        <v>384.6672963</v>
      </c>
      <c r="V18" s="11">
        <f>(R18/D18)*100000</f>
        <v>255.9573264</v>
      </c>
      <c r="W18" s="11">
        <f>(T18/D18)*100000</f>
        <v>552.1365184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hidden="1">
      <c r="A19" s="7" t="s">
        <v>25</v>
      </c>
      <c r="B19" s="16" t="s">
        <v>33</v>
      </c>
      <c r="C19" s="16">
        <v>2030.0</v>
      </c>
      <c r="D19" s="17">
        <f>505962+530579</f>
        <v>1036541</v>
      </c>
      <c r="E19" s="10">
        <v>9.5486667E7</v>
      </c>
      <c r="F19" s="19">
        <v>1.48</v>
      </c>
      <c r="G19" s="10">
        <f t="shared" si="1"/>
        <v>1413.202672</v>
      </c>
      <c r="H19" s="19">
        <v>1.12</v>
      </c>
      <c r="I19" s="8">
        <f t="shared" si="2"/>
        <v>1069.45067</v>
      </c>
      <c r="J19" s="19">
        <v>2.03</v>
      </c>
      <c r="K19" s="11">
        <f t="shared" si="3"/>
        <v>1938.37934</v>
      </c>
      <c r="L19" s="11">
        <f t="shared" si="13"/>
        <v>136.3383283</v>
      </c>
      <c r="M19" s="11">
        <f t="shared" ref="M19:M21" si="53">(I19*D19)/100000</f>
        <v>11085.29467</v>
      </c>
      <c r="N19" s="11">
        <f t="shared" ref="N19:N21" si="54">(K19*D19)/100000</f>
        <v>20092.0966</v>
      </c>
      <c r="O19" s="19">
        <v>5.26</v>
      </c>
      <c r="P19" s="19"/>
      <c r="Q19" s="19">
        <v>3.5</v>
      </c>
      <c r="R19" s="19"/>
      <c r="S19" s="19">
        <v>7.55</v>
      </c>
      <c r="T19" s="14"/>
      <c r="U19" s="14">
        <f t="shared" ref="U19:U21" si="55">(O19*D19)/100000</f>
        <v>54.5220566</v>
      </c>
      <c r="V19" s="14">
        <f t="shared" ref="V19:V21" si="56">(Q19*D19)/100000</f>
        <v>36.278935</v>
      </c>
      <c r="W19" s="14">
        <f t="shared" ref="W19:W21" si="57">(S19*D19)/100000</f>
        <v>78.2588455</v>
      </c>
      <c r="X19" s="13"/>
      <c r="Y19" s="13"/>
      <c r="Z19" s="13" t="str">
        <f t="shared" ref="Z19:Z20" si="58">ROUND(F19, 0) &amp; " (" &amp; ROUND(H19, 0) &amp; "-" &amp; ROUND(J19, 0) &amp; ")"</f>
        <v>1 (1-2)</v>
      </c>
      <c r="AA19" s="13" t="str">
        <f t="shared" ref="AA19:AA20" si="59">ROUND(L19, 0) &amp; " (" &amp; ROUND(M19, 0) &amp; "-" &amp; ROUND(N19, 0) &amp; ")"</f>
        <v>136 (11085-20092)</v>
      </c>
      <c r="AB19" s="13" t="str">
        <f t="shared" ref="AB19:AB20" si="60">ROUND(O19, 0) &amp; " (" &amp; ROUND(Q19, 0) &amp; "-" &amp; ROUND(S19, 0) &amp; ")"</f>
        <v>5 (4-8)</v>
      </c>
      <c r="AC19" s="13" t="str">
        <f t="shared" ref="AC19:AC20" si="61">ROUND(U19, 0) &amp; " (" &amp; ROUND(V19, 0) &amp; "-" &amp; ROUND(W19, 0) &amp; ")"</f>
        <v>55 (36-78)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hidden="1">
      <c r="A20" s="7" t="s">
        <v>27</v>
      </c>
      <c r="B20" s="16" t="s">
        <v>33</v>
      </c>
      <c r="C20" s="16">
        <v>2040.0</v>
      </c>
      <c r="D20" s="17">
        <f>508605+533053</f>
        <v>1041658</v>
      </c>
      <c r="E20" s="10">
        <v>9.9524277E7</v>
      </c>
      <c r="F20" s="19">
        <v>1.48</v>
      </c>
      <c r="G20" s="10">
        <f t="shared" si="1"/>
        <v>1472.9593</v>
      </c>
      <c r="H20" s="19">
        <v>1.12</v>
      </c>
      <c r="I20" s="8">
        <f t="shared" si="2"/>
        <v>1114.671902</v>
      </c>
      <c r="J20" s="19">
        <v>2.03</v>
      </c>
      <c r="K20" s="11">
        <f t="shared" si="3"/>
        <v>2020.342823</v>
      </c>
      <c r="L20" s="11">
        <f t="shared" si="13"/>
        <v>141.4052693</v>
      </c>
      <c r="M20" s="11">
        <f t="shared" si="53"/>
        <v>11611.06905</v>
      </c>
      <c r="N20" s="11">
        <f t="shared" si="54"/>
        <v>21045.06264</v>
      </c>
      <c r="O20" s="19">
        <v>5.26</v>
      </c>
      <c r="P20" s="19"/>
      <c r="Q20" s="19">
        <v>3.5</v>
      </c>
      <c r="R20" s="19"/>
      <c r="S20" s="19">
        <v>7.55</v>
      </c>
      <c r="T20" s="14"/>
      <c r="U20" s="14">
        <f t="shared" si="55"/>
        <v>54.7912108</v>
      </c>
      <c r="V20" s="14">
        <f t="shared" si="56"/>
        <v>36.45803</v>
      </c>
      <c r="W20" s="14">
        <f t="shared" si="57"/>
        <v>78.645179</v>
      </c>
      <c r="X20" s="13"/>
      <c r="Y20" s="13"/>
      <c r="Z20" s="13" t="str">
        <f t="shared" si="58"/>
        <v>1 (1-2)</v>
      </c>
      <c r="AA20" s="13" t="str">
        <f t="shared" si="59"/>
        <v>141 (11611-21045)</v>
      </c>
      <c r="AB20" s="13" t="str">
        <f t="shared" si="60"/>
        <v>5 (4-8)</v>
      </c>
      <c r="AC20" s="13" t="str">
        <f t="shared" si="61"/>
        <v>55 (36-79)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hidden="1">
      <c r="A21" s="7" t="s">
        <v>29</v>
      </c>
      <c r="B21" s="16" t="s">
        <v>33</v>
      </c>
      <c r="C21" s="16">
        <v>2050.0</v>
      </c>
      <c r="D21" s="17">
        <f>482638+505938</f>
        <v>988576</v>
      </c>
      <c r="E21" s="10">
        <v>1.01861993E8</v>
      </c>
      <c r="F21" s="19">
        <v>1.48</v>
      </c>
      <c r="G21" s="10">
        <f t="shared" si="1"/>
        <v>1507.557496</v>
      </c>
      <c r="H21" s="19">
        <v>1.12</v>
      </c>
      <c r="I21" s="8">
        <f t="shared" si="2"/>
        <v>1140.854322</v>
      </c>
      <c r="J21" s="19">
        <v>2.03</v>
      </c>
      <c r="K21" s="11">
        <f t="shared" si="3"/>
        <v>2067.798458</v>
      </c>
      <c r="L21" s="11">
        <f t="shared" si="13"/>
        <v>152.4978855</v>
      </c>
      <c r="M21" s="11">
        <f t="shared" si="53"/>
        <v>11278.21202</v>
      </c>
      <c r="N21" s="11">
        <f t="shared" si="54"/>
        <v>20441.75928</v>
      </c>
      <c r="O21" s="19">
        <v>5.26</v>
      </c>
      <c r="P21" s="8">
        <f t="shared" ref="P21:P22" si="62">(O21/100000)*E21</f>
        <v>5357.940832</v>
      </c>
      <c r="Q21" s="19">
        <v>3.5</v>
      </c>
      <c r="R21" s="8">
        <f t="shared" ref="R21:R22" si="63">(Q21/100000)*E21</f>
        <v>3565.169755</v>
      </c>
      <c r="S21" s="19">
        <v>7.55</v>
      </c>
      <c r="T21" s="11">
        <f t="shared" ref="T21:T22" si="64">(S21/100000)*E21</f>
        <v>7690.580472</v>
      </c>
      <c r="U21" s="14">
        <f t="shared" si="55"/>
        <v>51.9990976</v>
      </c>
      <c r="V21" s="14">
        <f t="shared" si="56"/>
        <v>34.60016</v>
      </c>
      <c r="W21" s="14">
        <f t="shared" si="57"/>
        <v>74.637488</v>
      </c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>
      <c r="A22" s="7" t="s">
        <v>23</v>
      </c>
      <c r="B22" s="16" t="s">
        <v>34</v>
      </c>
      <c r="C22" s="16">
        <v>2021.0</v>
      </c>
      <c r="D22" s="17">
        <f>542916+571526.5</f>
        <v>1114442.5</v>
      </c>
      <c r="E22" s="18">
        <v>4.3071211E7</v>
      </c>
      <c r="F22" s="19">
        <v>3.53</v>
      </c>
      <c r="G22" s="10">
        <f t="shared" si="1"/>
        <v>1520.413748</v>
      </c>
      <c r="H22" s="19">
        <v>2.61</v>
      </c>
      <c r="I22" s="8">
        <f t="shared" si="2"/>
        <v>1124.158607</v>
      </c>
      <c r="J22" s="19">
        <v>4.87</v>
      </c>
      <c r="K22" s="11">
        <f t="shared" si="3"/>
        <v>2097.567976</v>
      </c>
      <c r="L22" s="11">
        <f t="shared" si="13"/>
        <v>136.4281915</v>
      </c>
      <c r="M22" s="12">
        <f>(I22/D22)*100000</f>
        <v>100.8718357</v>
      </c>
      <c r="N22" s="11">
        <f>(K22/D22)*100000</f>
        <v>188.2167968</v>
      </c>
      <c r="O22" s="19">
        <v>6.58</v>
      </c>
      <c r="P22" s="8">
        <f t="shared" si="62"/>
        <v>2834.085684</v>
      </c>
      <c r="Q22" s="19">
        <v>4.35</v>
      </c>
      <c r="R22" s="8">
        <f t="shared" si="63"/>
        <v>1873.597679</v>
      </c>
      <c r="S22" s="19">
        <v>9.6</v>
      </c>
      <c r="T22" s="11">
        <f t="shared" si="64"/>
        <v>4134.836256</v>
      </c>
      <c r="U22" s="11">
        <f>(P22/D22)*100000</f>
        <v>254.3052409</v>
      </c>
      <c r="V22" s="11">
        <f>(R22/D22)*100000</f>
        <v>168.1197261</v>
      </c>
      <c r="W22" s="11">
        <f>(T22/D22)*100000</f>
        <v>371.0228438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hidden="1">
      <c r="A23" s="7" t="s">
        <v>25</v>
      </c>
      <c r="B23" s="16" t="s">
        <v>34</v>
      </c>
      <c r="C23" s="16">
        <v>2030.0</v>
      </c>
      <c r="D23" s="17">
        <f>597042+627808</f>
        <v>1224850</v>
      </c>
      <c r="E23" s="10">
        <v>5.1937208E7</v>
      </c>
      <c r="F23" s="19">
        <v>3.53</v>
      </c>
      <c r="G23" s="10">
        <f t="shared" si="1"/>
        <v>1833.383442</v>
      </c>
      <c r="H23" s="19">
        <v>2.61</v>
      </c>
      <c r="I23" s="8">
        <f t="shared" si="2"/>
        <v>1355.561129</v>
      </c>
      <c r="J23" s="19">
        <v>4.87</v>
      </c>
      <c r="K23" s="11">
        <f t="shared" si="3"/>
        <v>2529.34203</v>
      </c>
      <c r="L23" s="11">
        <f t="shared" si="13"/>
        <v>149.6822829</v>
      </c>
      <c r="M23" s="11">
        <f t="shared" ref="M23:M25" si="65">(I23*D23)/100000</f>
        <v>16603.59049</v>
      </c>
      <c r="N23" s="11">
        <f t="shared" ref="N23:N25" si="66">(K23*D23)/100000</f>
        <v>30980.64585</v>
      </c>
      <c r="O23" s="19">
        <v>6.58</v>
      </c>
      <c r="P23" s="19"/>
      <c r="Q23" s="19">
        <v>4.35</v>
      </c>
      <c r="R23" s="19"/>
      <c r="S23" s="19">
        <v>9.6</v>
      </c>
      <c r="T23" s="14"/>
      <c r="U23" s="14">
        <f t="shared" ref="U23:U25" si="67">(O23*D23)/100000</f>
        <v>80.59513</v>
      </c>
      <c r="V23" s="14">
        <f t="shared" ref="V23:V25" si="68">(Q23*D23)/100000</f>
        <v>53.280975</v>
      </c>
      <c r="W23" s="14">
        <f t="shared" ref="W23:W25" si="69">(S23*D23)/100000</f>
        <v>117.5856</v>
      </c>
      <c r="X23" s="13"/>
      <c r="Y23" s="13"/>
      <c r="Z23" s="13" t="str">
        <f t="shared" ref="Z23:Z24" si="70">ROUND(F23, 0) &amp; " (" &amp; ROUND(H23, 0) &amp; "-" &amp; ROUND(J23, 0) &amp; ")"</f>
        <v>4 (3-5)</v>
      </c>
      <c r="AA23" s="13" t="str">
        <f t="shared" ref="AA23:AA24" si="71">ROUND(L23, 0) &amp; " (" &amp; ROUND(M23, 0) &amp; "-" &amp; ROUND(N23, 0) &amp; ")"</f>
        <v>150 (16604-30981)</v>
      </c>
      <c r="AB23" s="13" t="str">
        <f t="shared" ref="AB23:AB24" si="72">ROUND(O23, 0) &amp; " (" &amp; ROUND(Q23, 0) &amp; "-" &amp; ROUND(S23, 0) &amp; ")"</f>
        <v>7 (4-10)</v>
      </c>
      <c r="AC23" s="13" t="str">
        <f t="shared" ref="AC23:AC24" si="73">ROUND(U23, 0) &amp; " (" &amp; ROUND(V23, 0) &amp; "-" &amp; ROUND(W23, 0) &amp; ")"</f>
        <v>81 (53-118)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hidden="1">
      <c r="A24" s="7" t="s">
        <v>27</v>
      </c>
      <c r="B24" s="16" t="s">
        <v>34</v>
      </c>
      <c r="C24" s="16">
        <v>2040.0</v>
      </c>
      <c r="D24" s="17">
        <f>644831+677866</f>
        <v>1322697</v>
      </c>
      <c r="E24" s="10">
        <v>6.2223211E7</v>
      </c>
      <c r="F24" s="19">
        <v>3.53</v>
      </c>
      <c r="G24" s="10">
        <f t="shared" si="1"/>
        <v>2196.479348</v>
      </c>
      <c r="H24" s="19">
        <v>2.61</v>
      </c>
      <c r="I24" s="8">
        <f t="shared" si="2"/>
        <v>1624.025807</v>
      </c>
      <c r="J24" s="19">
        <v>4.87</v>
      </c>
      <c r="K24" s="11">
        <f t="shared" si="3"/>
        <v>3030.270376</v>
      </c>
      <c r="L24" s="11">
        <f t="shared" si="13"/>
        <v>166.0606585</v>
      </c>
      <c r="M24" s="11">
        <f t="shared" si="65"/>
        <v>21480.94063</v>
      </c>
      <c r="N24" s="11">
        <f t="shared" si="66"/>
        <v>40081.29535</v>
      </c>
      <c r="O24" s="19">
        <v>6.58</v>
      </c>
      <c r="P24" s="19"/>
      <c r="Q24" s="19">
        <v>4.35</v>
      </c>
      <c r="R24" s="19"/>
      <c r="S24" s="19">
        <v>9.6</v>
      </c>
      <c r="T24" s="14"/>
      <c r="U24" s="14">
        <f t="shared" si="67"/>
        <v>87.0334626</v>
      </c>
      <c r="V24" s="14">
        <f t="shared" si="68"/>
        <v>57.5373195</v>
      </c>
      <c r="W24" s="14">
        <f t="shared" si="69"/>
        <v>126.978912</v>
      </c>
      <c r="X24" s="13"/>
      <c r="Y24" s="13"/>
      <c r="Z24" s="13" t="str">
        <f t="shared" si="70"/>
        <v>4 (3-5)</v>
      </c>
      <c r="AA24" s="13" t="str">
        <f t="shared" si="71"/>
        <v>166 (21481-40081)</v>
      </c>
      <c r="AB24" s="13" t="str">
        <f t="shared" si="72"/>
        <v>7 (4-10)</v>
      </c>
      <c r="AC24" s="13" t="str">
        <f t="shared" si="73"/>
        <v>87 (58-127)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hidden="1">
      <c r="A25" s="7" t="s">
        <v>29</v>
      </c>
      <c r="B25" s="16" t="s">
        <v>34</v>
      </c>
      <c r="C25" s="16">
        <v>2050.0</v>
      </c>
      <c r="D25" s="17">
        <f>644321+677667</f>
        <v>1321988</v>
      </c>
      <c r="E25" s="10">
        <v>7.192875E7</v>
      </c>
      <c r="F25" s="19">
        <v>3.53</v>
      </c>
      <c r="G25" s="10">
        <f t="shared" si="1"/>
        <v>2539.084875</v>
      </c>
      <c r="H25" s="19">
        <v>2.61</v>
      </c>
      <c r="I25" s="8">
        <f t="shared" si="2"/>
        <v>1877.340375</v>
      </c>
      <c r="J25" s="19">
        <v>4.87</v>
      </c>
      <c r="K25" s="11">
        <f t="shared" si="3"/>
        <v>3502.930125</v>
      </c>
      <c r="L25" s="11">
        <f t="shared" si="13"/>
        <v>192.0656523</v>
      </c>
      <c r="M25" s="11">
        <f t="shared" si="65"/>
        <v>24818.21448</v>
      </c>
      <c r="N25" s="11">
        <f t="shared" si="66"/>
        <v>46308.3159</v>
      </c>
      <c r="O25" s="19">
        <v>6.58</v>
      </c>
      <c r="P25" s="8">
        <f t="shared" ref="P25:P26" si="74">(O25/100000)*E25</f>
        <v>4732.91175</v>
      </c>
      <c r="Q25" s="19">
        <v>4.35</v>
      </c>
      <c r="R25" s="8">
        <f t="shared" ref="R25:R26" si="75">(Q25/100000)*E25</f>
        <v>3128.900625</v>
      </c>
      <c r="S25" s="19">
        <v>9.6</v>
      </c>
      <c r="T25" s="11">
        <f t="shared" ref="T25:T26" si="76">(S25/100000)*E25</f>
        <v>6905.16</v>
      </c>
      <c r="U25" s="14">
        <f t="shared" si="67"/>
        <v>86.9868104</v>
      </c>
      <c r="V25" s="14">
        <f t="shared" si="68"/>
        <v>57.506478</v>
      </c>
      <c r="W25" s="14">
        <f t="shared" si="69"/>
        <v>126.910848</v>
      </c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>
      <c r="A26" s="7" t="s">
        <v>23</v>
      </c>
      <c r="B26" s="16" t="s">
        <v>35</v>
      </c>
      <c r="C26" s="16">
        <v>2021.0</v>
      </c>
      <c r="D26" s="17">
        <f>114030+119316.5</f>
        <v>233346.5</v>
      </c>
      <c r="E26" s="18">
        <v>1.1066356E7</v>
      </c>
      <c r="F26" s="19">
        <v>3.48</v>
      </c>
      <c r="G26" s="10">
        <f t="shared" si="1"/>
        <v>385.1091888</v>
      </c>
      <c r="H26" s="19">
        <v>2.57</v>
      </c>
      <c r="I26" s="8">
        <f t="shared" si="2"/>
        <v>284.4053492</v>
      </c>
      <c r="J26" s="19">
        <v>4.67</v>
      </c>
      <c r="K26" s="11">
        <f t="shared" si="3"/>
        <v>516.7988252</v>
      </c>
      <c r="L26" s="11">
        <f t="shared" si="13"/>
        <v>165.0374824</v>
      </c>
      <c r="M26" s="12">
        <f>(I26/D26)*100000</f>
        <v>121.8811292</v>
      </c>
      <c r="N26" s="11">
        <f>(K26/D26)*100000</f>
        <v>221.4727134</v>
      </c>
      <c r="O26" s="19">
        <v>6.98</v>
      </c>
      <c r="P26" s="8">
        <f t="shared" si="74"/>
        <v>772.4316488</v>
      </c>
      <c r="Q26" s="19">
        <v>4.49</v>
      </c>
      <c r="R26" s="8">
        <f t="shared" si="75"/>
        <v>496.8793844</v>
      </c>
      <c r="S26" s="19">
        <v>10.42</v>
      </c>
      <c r="T26" s="11">
        <f t="shared" si="76"/>
        <v>1153.114295</v>
      </c>
      <c r="U26" s="11">
        <f>(P26/D26)*100000</f>
        <v>331.023456</v>
      </c>
      <c r="V26" s="11">
        <f>(R26/D26)*100000</f>
        <v>212.9362919</v>
      </c>
      <c r="W26" s="11">
        <f>(T26/D26)*100000</f>
        <v>494.1639558</v>
      </c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hidden="1">
      <c r="A27" s="7" t="s">
        <v>25</v>
      </c>
      <c r="B27" s="16" t="s">
        <v>35</v>
      </c>
      <c r="C27" s="16">
        <v>2030.0</v>
      </c>
      <c r="D27" s="17">
        <f>112693+117975</f>
        <v>230668</v>
      </c>
      <c r="E27" s="10">
        <v>1.2448776E7</v>
      </c>
      <c r="F27" s="19">
        <v>3.48</v>
      </c>
      <c r="G27" s="10">
        <f t="shared" si="1"/>
        <v>433.2174048</v>
      </c>
      <c r="H27" s="19">
        <v>2.57</v>
      </c>
      <c r="I27" s="8">
        <f t="shared" si="2"/>
        <v>319.9335432</v>
      </c>
      <c r="J27" s="19">
        <v>4.67</v>
      </c>
      <c r="K27" s="11">
        <f t="shared" si="3"/>
        <v>581.3578392</v>
      </c>
      <c r="L27" s="11">
        <f t="shared" si="13"/>
        <v>187.809928</v>
      </c>
      <c r="M27" s="11">
        <f t="shared" ref="M27:M29" si="77">(I27*D27)/100000</f>
        <v>737.9843054</v>
      </c>
      <c r="N27" s="11">
        <f t="shared" ref="N27:N29" si="78">(K27*D27)/100000</f>
        <v>1341.006501</v>
      </c>
      <c r="O27" s="19">
        <v>6.98</v>
      </c>
      <c r="P27" s="19"/>
      <c r="Q27" s="19">
        <v>4.49</v>
      </c>
      <c r="R27" s="19"/>
      <c r="S27" s="19">
        <v>10.42</v>
      </c>
      <c r="T27" s="14"/>
      <c r="U27" s="14">
        <f t="shared" ref="U27:U29" si="79">(O27*D27)/100000</f>
        <v>16.1006264</v>
      </c>
      <c r="V27" s="14">
        <f t="shared" ref="V27:V29" si="80">(Q27*D27)/100000</f>
        <v>10.3569932</v>
      </c>
      <c r="W27" s="14">
        <f t="shared" ref="W27:W29" si="81">(S27*D27)/100000</f>
        <v>24.0356056</v>
      </c>
      <c r="X27" s="13"/>
      <c r="Y27" s="13"/>
      <c r="Z27" s="13" t="str">
        <f t="shared" ref="Z27:Z28" si="82">ROUND(F27, 0) &amp; " (" &amp; ROUND(H27, 0) &amp; "-" &amp; ROUND(J27, 0) &amp; ")"</f>
        <v>3 (3-5)</v>
      </c>
      <c r="AA27" s="13" t="str">
        <f t="shared" ref="AA27:AA28" si="83">ROUND(L27, 0) &amp; " (" &amp; ROUND(M27, 0) &amp; "-" &amp; ROUND(N27, 0) &amp; ")"</f>
        <v>188 (738-1341)</v>
      </c>
      <c r="AB27" s="13" t="str">
        <f t="shared" ref="AB27:AB28" si="84">ROUND(O27, 0) &amp; " (" &amp; ROUND(Q27, 0) &amp; "-" &amp; ROUND(S27, 0) &amp; ")"</f>
        <v>7 (4-10)</v>
      </c>
      <c r="AC27" s="13" t="str">
        <f t="shared" ref="AC27:AC28" si="85">ROUND(U27, 0) &amp; " (" &amp; ROUND(V27, 0) &amp; "-" &amp; ROUND(W27, 0) &amp; ")"</f>
        <v>16 (10-24)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hidden="1">
      <c r="A28" s="7" t="s">
        <v>27</v>
      </c>
      <c r="B28" s="16" t="s">
        <v>35</v>
      </c>
      <c r="C28" s="16">
        <v>2040.0</v>
      </c>
      <c r="D28" s="17">
        <f>122859+128721</f>
        <v>251580</v>
      </c>
      <c r="E28" s="10">
        <v>1.4471297E7</v>
      </c>
      <c r="F28" s="19">
        <v>3.48</v>
      </c>
      <c r="G28" s="10">
        <f t="shared" si="1"/>
        <v>503.6011356</v>
      </c>
      <c r="H28" s="19">
        <v>2.57</v>
      </c>
      <c r="I28" s="8">
        <f t="shared" si="2"/>
        <v>371.9123329</v>
      </c>
      <c r="J28" s="19">
        <v>4.67</v>
      </c>
      <c r="K28" s="11">
        <f t="shared" si="3"/>
        <v>675.8095699</v>
      </c>
      <c r="L28" s="11">
        <f t="shared" si="13"/>
        <v>200.1753461</v>
      </c>
      <c r="M28" s="11">
        <f t="shared" si="77"/>
        <v>935.6570471</v>
      </c>
      <c r="N28" s="11">
        <f t="shared" si="78"/>
        <v>1700.201716</v>
      </c>
      <c r="O28" s="19">
        <v>6.98</v>
      </c>
      <c r="P28" s="19"/>
      <c r="Q28" s="19">
        <v>4.49</v>
      </c>
      <c r="R28" s="19"/>
      <c r="S28" s="19">
        <v>10.42</v>
      </c>
      <c r="T28" s="14"/>
      <c r="U28" s="14">
        <f t="shared" si="79"/>
        <v>17.560284</v>
      </c>
      <c r="V28" s="14">
        <f t="shared" si="80"/>
        <v>11.295942</v>
      </c>
      <c r="W28" s="14">
        <f t="shared" si="81"/>
        <v>26.214636</v>
      </c>
      <c r="X28" s="13"/>
      <c r="Y28" s="13"/>
      <c r="Z28" s="13" t="str">
        <f t="shared" si="82"/>
        <v>3 (3-5)</v>
      </c>
      <c r="AA28" s="13" t="str">
        <f t="shared" si="83"/>
        <v>200 (936-1700)</v>
      </c>
      <c r="AB28" s="13" t="str">
        <f t="shared" si="84"/>
        <v>7 (4-10)</v>
      </c>
      <c r="AC28" s="13" t="str">
        <f t="shared" si="85"/>
        <v>18 (11-26)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hidden="1">
      <c r="A29" s="7" t="s">
        <v>29</v>
      </c>
      <c r="B29" s="16" t="s">
        <v>35</v>
      </c>
      <c r="C29" s="16">
        <v>2050.0</v>
      </c>
      <c r="D29" s="17">
        <f>116857+122500</f>
        <v>239357</v>
      </c>
      <c r="E29" s="10">
        <v>1.6367354E7</v>
      </c>
      <c r="F29" s="19">
        <v>3.48</v>
      </c>
      <c r="G29" s="10">
        <f t="shared" si="1"/>
        <v>569.5839192</v>
      </c>
      <c r="H29" s="19">
        <v>2.57</v>
      </c>
      <c r="I29" s="8">
        <f t="shared" si="2"/>
        <v>420.6409978</v>
      </c>
      <c r="J29" s="19">
        <v>4.67</v>
      </c>
      <c r="K29" s="11">
        <f t="shared" si="3"/>
        <v>764.3554318</v>
      </c>
      <c r="L29" s="11">
        <f t="shared" si="13"/>
        <v>237.9641787</v>
      </c>
      <c r="M29" s="11">
        <f t="shared" si="77"/>
        <v>1006.833673</v>
      </c>
      <c r="N29" s="11">
        <f t="shared" si="78"/>
        <v>1829.538231</v>
      </c>
      <c r="O29" s="19">
        <v>6.98</v>
      </c>
      <c r="P29" s="8">
        <f t="shared" ref="P29:P30" si="86">(O29/100000)*E29</f>
        <v>1142.441309</v>
      </c>
      <c r="Q29" s="19">
        <v>4.49</v>
      </c>
      <c r="R29" s="8">
        <f t="shared" ref="R29:R30" si="87">(Q29/100000)*E29</f>
        <v>734.8941946</v>
      </c>
      <c r="S29" s="19">
        <v>10.42</v>
      </c>
      <c r="T29" s="11">
        <f t="shared" ref="T29:T30" si="88">(S29/100000)*E29</f>
        <v>1705.478287</v>
      </c>
      <c r="U29" s="14">
        <f t="shared" si="79"/>
        <v>16.7071186</v>
      </c>
      <c r="V29" s="14">
        <f t="shared" si="80"/>
        <v>10.7471293</v>
      </c>
      <c r="W29" s="14">
        <f t="shared" si="81"/>
        <v>24.9409994</v>
      </c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>
      <c r="A30" s="7" t="s">
        <v>23</v>
      </c>
      <c r="B30" s="16" t="s">
        <v>36</v>
      </c>
      <c r="C30" s="16">
        <v>2021.0</v>
      </c>
      <c r="D30" s="17">
        <f>27288.5+27818.5</f>
        <v>55107</v>
      </c>
      <c r="E30" s="18">
        <v>4360865.0</v>
      </c>
      <c r="F30" s="19">
        <v>1.64</v>
      </c>
      <c r="G30" s="10">
        <f t="shared" si="1"/>
        <v>71.518186</v>
      </c>
      <c r="H30" s="19">
        <v>1.2</v>
      </c>
      <c r="I30" s="8">
        <f t="shared" si="2"/>
        <v>52.33038</v>
      </c>
      <c r="J30" s="19">
        <v>2.36</v>
      </c>
      <c r="K30" s="11">
        <f t="shared" si="3"/>
        <v>102.916414</v>
      </c>
      <c r="L30" s="11">
        <f t="shared" si="13"/>
        <v>129.7805832</v>
      </c>
      <c r="M30" s="12">
        <f>(I30/D30)*100000</f>
        <v>94.96140236</v>
      </c>
      <c r="N30" s="11">
        <f>(K30/D30)*100000</f>
        <v>186.7574246</v>
      </c>
      <c r="O30" s="19">
        <v>5.6</v>
      </c>
      <c r="P30" s="8">
        <f t="shared" si="86"/>
        <v>244.20844</v>
      </c>
      <c r="Q30" s="19">
        <v>3.43</v>
      </c>
      <c r="R30" s="8">
        <f t="shared" si="87"/>
        <v>149.5776695</v>
      </c>
      <c r="S30" s="19">
        <v>8.6</v>
      </c>
      <c r="T30" s="11">
        <f t="shared" si="88"/>
        <v>375.03439</v>
      </c>
      <c r="U30" s="11">
        <f>(P30/D30)*100000</f>
        <v>443.153211</v>
      </c>
      <c r="V30" s="11">
        <f>(R30/D30)*100000</f>
        <v>271.4313418</v>
      </c>
      <c r="W30" s="11">
        <f>(T30/D30)*100000</f>
        <v>680.5567169</v>
      </c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hidden="1">
      <c r="A31" s="7" t="s">
        <v>25</v>
      </c>
      <c r="B31" s="16" t="s">
        <v>36</v>
      </c>
      <c r="C31" s="16">
        <v>2030.0</v>
      </c>
      <c r="D31" s="17">
        <f>26186+27312</f>
        <v>53498</v>
      </c>
      <c r="E31" s="10">
        <v>5335372.0</v>
      </c>
      <c r="F31" s="19">
        <v>1.64</v>
      </c>
      <c r="G31" s="10">
        <f t="shared" si="1"/>
        <v>87.5001008</v>
      </c>
      <c r="H31" s="19">
        <v>1.2</v>
      </c>
      <c r="I31" s="8">
        <f t="shared" si="2"/>
        <v>64.024464</v>
      </c>
      <c r="J31" s="19">
        <v>2.36</v>
      </c>
      <c r="K31" s="11">
        <f t="shared" si="3"/>
        <v>125.9147792</v>
      </c>
      <c r="L31" s="11">
        <f t="shared" si="13"/>
        <v>163.5577046</v>
      </c>
      <c r="M31" s="11">
        <f t="shared" ref="M31:M33" si="89">(I31*D31)/100000</f>
        <v>34.25180775</v>
      </c>
      <c r="N31" s="11">
        <f t="shared" ref="N31:N33" si="90">(K31*D31)/100000</f>
        <v>67.36188858</v>
      </c>
      <c r="O31" s="19">
        <v>5.6</v>
      </c>
      <c r="P31" s="19"/>
      <c r="Q31" s="19">
        <v>3.43</v>
      </c>
      <c r="R31" s="19"/>
      <c r="S31" s="19">
        <v>8.6</v>
      </c>
      <c r="T31" s="14"/>
      <c r="U31" s="14">
        <f t="shared" ref="U31:U33" si="91">(O31*D31)/100000</f>
        <v>2.995888</v>
      </c>
      <c r="V31" s="14">
        <f t="shared" ref="V31:V33" si="92">(Q31*D31)/100000</f>
        <v>1.8349814</v>
      </c>
      <c r="W31" s="14">
        <f t="shared" ref="W31:W33" si="93">(S31*D31)/100000</f>
        <v>4.600828</v>
      </c>
      <c r="X31" s="13"/>
      <c r="Y31" s="13"/>
      <c r="Z31" s="13" t="str">
        <f t="shared" ref="Z31:Z32" si="94">ROUND(F31, 0) &amp; " (" &amp; ROUND(H31, 0) &amp; "-" &amp; ROUND(J31, 0) &amp; ")"</f>
        <v>2 (1-2)</v>
      </c>
      <c r="AA31" s="13" t="str">
        <f t="shared" ref="AA31:AA32" si="95">ROUND(L31, 0) &amp; " (" &amp; ROUND(M31, 0) &amp; "-" &amp; ROUND(N31, 0) &amp; ")"</f>
        <v>164 (34-67)</v>
      </c>
      <c r="AB31" s="13" t="str">
        <f t="shared" ref="AB31:AB32" si="96">ROUND(O31, 0) &amp; " (" &amp; ROUND(Q31, 0) &amp; "-" &amp; ROUND(S31, 0) &amp; ")"</f>
        <v>6 (3-9)</v>
      </c>
      <c r="AC31" s="13" t="str">
        <f t="shared" ref="AC31:AC32" si="97">ROUND(U31, 0) &amp; " (" &amp; ROUND(V31, 0) &amp; "-" &amp; ROUND(W31, 0) &amp; ")"</f>
        <v>3 (2-5)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hidden="1">
      <c r="A32" s="7" t="s">
        <v>27</v>
      </c>
      <c r="B32" s="16" t="s">
        <v>36</v>
      </c>
      <c r="C32" s="16">
        <v>2040.0</v>
      </c>
      <c r="D32" s="18">
        <f>30100+31364</f>
        <v>61464</v>
      </c>
      <c r="E32" s="10">
        <v>5839862.0</v>
      </c>
      <c r="F32" s="19">
        <v>1.64</v>
      </c>
      <c r="G32" s="10">
        <f t="shared" si="1"/>
        <v>95.7737368</v>
      </c>
      <c r="H32" s="19">
        <v>1.2</v>
      </c>
      <c r="I32" s="8">
        <f t="shared" si="2"/>
        <v>70.078344</v>
      </c>
      <c r="J32" s="19">
        <v>2.36</v>
      </c>
      <c r="K32" s="11">
        <f t="shared" si="3"/>
        <v>137.8207432</v>
      </c>
      <c r="L32" s="11">
        <f t="shared" si="13"/>
        <v>155.8208655</v>
      </c>
      <c r="M32" s="11">
        <f t="shared" si="89"/>
        <v>43.07295336</v>
      </c>
      <c r="N32" s="11">
        <f t="shared" si="90"/>
        <v>84.7101416</v>
      </c>
      <c r="O32" s="19">
        <v>5.6</v>
      </c>
      <c r="P32" s="19"/>
      <c r="Q32" s="19">
        <v>3.43</v>
      </c>
      <c r="R32" s="19"/>
      <c r="S32" s="19">
        <v>8.6</v>
      </c>
      <c r="T32" s="14"/>
      <c r="U32" s="14">
        <f t="shared" si="91"/>
        <v>3.441984</v>
      </c>
      <c r="V32" s="14">
        <f t="shared" si="92"/>
        <v>2.1082152</v>
      </c>
      <c r="W32" s="14">
        <f t="shared" si="93"/>
        <v>5.285904</v>
      </c>
      <c r="X32" s="13"/>
      <c r="Y32" s="13"/>
      <c r="Z32" s="13" t="str">
        <f t="shared" si="94"/>
        <v>2 (1-2)</v>
      </c>
      <c r="AA32" s="13" t="str">
        <f t="shared" si="95"/>
        <v>156 (43-85)</v>
      </c>
      <c r="AB32" s="13" t="str">
        <f t="shared" si="96"/>
        <v>6 (3-9)</v>
      </c>
      <c r="AC32" s="13" t="str">
        <f t="shared" si="97"/>
        <v>3 (2-5)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hidden="1">
      <c r="A33" s="7" t="s">
        <v>29</v>
      </c>
      <c r="B33" s="16" t="s">
        <v>36</v>
      </c>
      <c r="C33" s="16">
        <v>2050.0</v>
      </c>
      <c r="D33" s="17">
        <f>31797+33113</f>
        <v>64910</v>
      </c>
      <c r="E33" s="10">
        <v>6371108.0</v>
      </c>
      <c r="F33" s="19">
        <v>1.64</v>
      </c>
      <c r="G33" s="10">
        <f t="shared" si="1"/>
        <v>104.4861712</v>
      </c>
      <c r="H33" s="19">
        <v>1.2</v>
      </c>
      <c r="I33" s="8">
        <f t="shared" si="2"/>
        <v>76.453296</v>
      </c>
      <c r="J33" s="19">
        <v>2.36</v>
      </c>
      <c r="K33" s="11">
        <f t="shared" si="3"/>
        <v>150.3581488</v>
      </c>
      <c r="L33" s="11">
        <f t="shared" si="13"/>
        <v>160.9708384</v>
      </c>
      <c r="M33" s="11">
        <f t="shared" si="89"/>
        <v>49.62583443</v>
      </c>
      <c r="N33" s="11">
        <f t="shared" si="90"/>
        <v>97.59747439</v>
      </c>
      <c r="O33" s="19">
        <v>5.6</v>
      </c>
      <c r="P33" s="8">
        <f t="shared" ref="P33:P34" si="98">(O33/100000)*E33</f>
        <v>356.782048</v>
      </c>
      <c r="Q33" s="19">
        <v>3.43</v>
      </c>
      <c r="R33" s="8">
        <f t="shared" ref="R33:R34" si="99">(Q33/100000)*E33</f>
        <v>218.5290044</v>
      </c>
      <c r="S33" s="19">
        <v>8.6</v>
      </c>
      <c r="T33" s="11">
        <f t="shared" ref="T33:T34" si="100">(S33/100000)*E33</f>
        <v>547.915288</v>
      </c>
      <c r="U33" s="14">
        <f t="shared" si="91"/>
        <v>3.63496</v>
      </c>
      <c r="V33" s="14">
        <f t="shared" si="92"/>
        <v>2.226413</v>
      </c>
      <c r="W33" s="14">
        <f t="shared" si="93"/>
        <v>5.58226</v>
      </c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>
      <c r="A34" s="7" t="s">
        <v>23</v>
      </c>
      <c r="B34" s="16" t="s">
        <v>37</v>
      </c>
      <c r="C34" s="16">
        <v>2021.0</v>
      </c>
      <c r="D34" s="17">
        <f>45698.5+47988.5</f>
        <v>93687</v>
      </c>
      <c r="E34" s="18">
        <v>5718122.0</v>
      </c>
      <c r="F34" s="19">
        <v>2.01</v>
      </c>
      <c r="G34" s="10">
        <f t="shared" si="1"/>
        <v>114.9342522</v>
      </c>
      <c r="H34" s="19">
        <v>1.55</v>
      </c>
      <c r="I34" s="8">
        <f t="shared" si="2"/>
        <v>88.630891</v>
      </c>
      <c r="J34" s="19">
        <v>2.73</v>
      </c>
      <c r="K34" s="11">
        <f t="shared" si="3"/>
        <v>156.1047306</v>
      </c>
      <c r="L34" s="11">
        <f t="shared" si="13"/>
        <v>122.678976</v>
      </c>
      <c r="M34" s="12">
        <f>(I34/D34)*100000</f>
        <v>94.60319041</v>
      </c>
      <c r="N34" s="11">
        <f>(K34/D34)*100000</f>
        <v>166.6236838</v>
      </c>
      <c r="O34" s="19">
        <v>6.24</v>
      </c>
      <c r="P34" s="8">
        <f t="shared" si="98"/>
        <v>356.8108128</v>
      </c>
      <c r="Q34" s="19">
        <v>4.06</v>
      </c>
      <c r="R34" s="8">
        <f t="shared" si="99"/>
        <v>232.1557532</v>
      </c>
      <c r="S34" s="19">
        <v>9.05</v>
      </c>
      <c r="T34" s="11">
        <f t="shared" si="100"/>
        <v>517.490041</v>
      </c>
      <c r="U34" s="11">
        <f>(P34/D34)*100000</f>
        <v>380.8541343</v>
      </c>
      <c r="V34" s="11">
        <f>(R34/D34)*100000</f>
        <v>247.7993246</v>
      </c>
      <c r="W34" s="11">
        <f>(T34/D34)*100000</f>
        <v>552.3605634</v>
      </c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hidden="1">
      <c r="A35" s="7" t="s">
        <v>25</v>
      </c>
      <c r="B35" s="16" t="s">
        <v>37</v>
      </c>
      <c r="C35" s="16">
        <v>2030.0</v>
      </c>
      <c r="D35" s="17">
        <f>45471+47792</f>
        <v>93263</v>
      </c>
      <c r="E35" s="10">
        <v>6103808.0</v>
      </c>
      <c r="F35" s="19">
        <v>2.01</v>
      </c>
      <c r="G35" s="10">
        <f t="shared" si="1"/>
        <v>122.6865408</v>
      </c>
      <c r="H35" s="19">
        <v>1.55</v>
      </c>
      <c r="I35" s="8">
        <f t="shared" si="2"/>
        <v>94.609024</v>
      </c>
      <c r="J35" s="19">
        <v>2.73</v>
      </c>
      <c r="K35" s="11">
        <f t="shared" si="3"/>
        <v>166.6339584</v>
      </c>
      <c r="L35" s="11">
        <f t="shared" si="13"/>
        <v>131.5489967</v>
      </c>
      <c r="M35" s="11">
        <f t="shared" ref="M35:M37" si="101">(I35*D35)/100000</f>
        <v>88.23521405</v>
      </c>
      <c r="N35" s="11">
        <f t="shared" ref="N35:N37" si="102">(K35*D35)/100000</f>
        <v>155.4078286</v>
      </c>
      <c r="O35" s="19">
        <v>6.24</v>
      </c>
      <c r="P35" s="19"/>
      <c r="Q35" s="19">
        <v>4.06</v>
      </c>
      <c r="R35" s="19"/>
      <c r="S35" s="19">
        <v>9.05</v>
      </c>
      <c r="T35" s="14"/>
      <c r="U35" s="14">
        <f t="shared" ref="U35:U37" si="103">(O35*D35)/100000</f>
        <v>5.8196112</v>
      </c>
      <c r="V35" s="14">
        <f t="shared" ref="V35:V37" si="104">(Q35*D35)/100000</f>
        <v>3.7864778</v>
      </c>
      <c r="W35" s="14">
        <f t="shared" ref="W35:W37" si="105">(S35*D35)/100000</f>
        <v>8.4403015</v>
      </c>
      <c r="X35" s="13"/>
      <c r="Y35" s="13"/>
      <c r="Z35" s="13" t="str">
        <f t="shared" ref="Z35:Z36" si="106">ROUND(F35, 0) &amp; " (" &amp; ROUND(H35, 0) &amp; "-" &amp; ROUND(J35, 0) &amp; ")"</f>
        <v>2 (2-3)</v>
      </c>
      <c r="AA35" s="13" t="str">
        <f t="shared" ref="AA35:AA36" si="107">ROUND(L35, 0) &amp; " (" &amp; ROUND(M35, 0) &amp; "-" &amp; ROUND(N35, 0) &amp; ")"</f>
        <v>132 (88-155)</v>
      </c>
      <c r="AB35" s="13" t="str">
        <f t="shared" ref="AB35:AB36" si="108">ROUND(O35, 0) &amp; " (" &amp; ROUND(Q35, 0) &amp; "-" &amp; ROUND(S35, 0) &amp; ")"</f>
        <v>6 (4-9)</v>
      </c>
      <c r="AC35" s="13" t="str">
        <f t="shared" ref="AC35:AC36" si="109">ROUND(U35, 0) &amp; " (" &amp; ROUND(V35, 0) &amp; "-" &amp; ROUND(W35, 0) &amp; ")"</f>
        <v>6 (4-8)</v>
      </c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hidden="1">
      <c r="A36" s="7" t="s">
        <v>27</v>
      </c>
      <c r="B36" s="16" t="s">
        <v>37</v>
      </c>
      <c r="C36" s="16">
        <v>2040.0</v>
      </c>
      <c r="D36" s="17">
        <f>47586+50064</f>
        <v>97650</v>
      </c>
      <c r="E36" s="10">
        <v>6620329.0</v>
      </c>
      <c r="F36" s="19">
        <v>2.01</v>
      </c>
      <c r="G36" s="10">
        <f t="shared" si="1"/>
        <v>133.0686129</v>
      </c>
      <c r="H36" s="19">
        <v>1.55</v>
      </c>
      <c r="I36" s="8">
        <f t="shared" si="2"/>
        <v>102.6150995</v>
      </c>
      <c r="J36" s="19">
        <v>2.73</v>
      </c>
      <c r="K36" s="11">
        <f t="shared" si="3"/>
        <v>180.7349817</v>
      </c>
      <c r="L36" s="11">
        <f t="shared" si="13"/>
        <v>136.270981</v>
      </c>
      <c r="M36" s="11">
        <f t="shared" si="101"/>
        <v>100.2036447</v>
      </c>
      <c r="N36" s="11">
        <f t="shared" si="102"/>
        <v>176.4877096</v>
      </c>
      <c r="O36" s="19">
        <v>6.24</v>
      </c>
      <c r="P36" s="19"/>
      <c r="Q36" s="19">
        <v>4.06</v>
      </c>
      <c r="R36" s="19"/>
      <c r="S36" s="19">
        <v>9.05</v>
      </c>
      <c r="T36" s="14"/>
      <c r="U36" s="14">
        <f t="shared" si="103"/>
        <v>6.09336</v>
      </c>
      <c r="V36" s="14">
        <f t="shared" si="104"/>
        <v>3.96459</v>
      </c>
      <c r="W36" s="14">
        <f t="shared" si="105"/>
        <v>8.837325</v>
      </c>
      <c r="X36" s="13"/>
      <c r="Y36" s="13"/>
      <c r="Z36" s="13" t="str">
        <f t="shared" si="106"/>
        <v>2 (2-3)</v>
      </c>
      <c r="AA36" s="13" t="str">
        <f t="shared" si="107"/>
        <v>136 (100-176)</v>
      </c>
      <c r="AB36" s="13" t="str">
        <f t="shared" si="108"/>
        <v>6 (4-9)</v>
      </c>
      <c r="AC36" s="13" t="str">
        <f t="shared" si="109"/>
        <v>6 (4-9)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hidden="1">
      <c r="A37" s="7" t="s">
        <v>29</v>
      </c>
      <c r="B37" s="16" t="s">
        <v>37</v>
      </c>
      <c r="C37" s="16">
        <v>2050.0</v>
      </c>
      <c r="D37" s="17">
        <f>42076+44309</f>
        <v>86385</v>
      </c>
      <c r="E37" s="10">
        <v>6999260.0</v>
      </c>
      <c r="F37" s="19">
        <v>2.01</v>
      </c>
      <c r="G37" s="10">
        <f t="shared" si="1"/>
        <v>140.685126</v>
      </c>
      <c r="H37" s="19">
        <v>1.55</v>
      </c>
      <c r="I37" s="8">
        <f t="shared" si="2"/>
        <v>108.48853</v>
      </c>
      <c r="J37" s="19">
        <v>2.73</v>
      </c>
      <c r="K37" s="11">
        <f t="shared" si="3"/>
        <v>191.079798</v>
      </c>
      <c r="L37" s="11">
        <f t="shared" si="13"/>
        <v>162.858281</v>
      </c>
      <c r="M37" s="11">
        <f t="shared" si="101"/>
        <v>93.71781664</v>
      </c>
      <c r="N37" s="11">
        <f t="shared" si="102"/>
        <v>165.0642835</v>
      </c>
      <c r="O37" s="19">
        <v>6.24</v>
      </c>
      <c r="P37" s="8">
        <f t="shared" ref="P37:P38" si="110">(O37/100000)*E37</f>
        <v>436.753824</v>
      </c>
      <c r="Q37" s="19">
        <v>4.06</v>
      </c>
      <c r="R37" s="8">
        <f t="shared" ref="R37:R38" si="111">(Q37/100000)*E37</f>
        <v>284.169956</v>
      </c>
      <c r="S37" s="19">
        <v>9.05</v>
      </c>
      <c r="T37" s="11">
        <f t="shared" ref="T37:T38" si="112">(S37/100000)*E37</f>
        <v>633.43303</v>
      </c>
      <c r="U37" s="14">
        <f t="shared" si="103"/>
        <v>5.390424</v>
      </c>
      <c r="V37" s="14">
        <f t="shared" si="104"/>
        <v>3.507231</v>
      </c>
      <c r="W37" s="14">
        <f t="shared" si="105"/>
        <v>7.8178425</v>
      </c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>
      <c r="A38" s="7" t="s">
        <v>23</v>
      </c>
      <c r="B38" s="16" t="s">
        <v>38</v>
      </c>
      <c r="C38" s="16">
        <v>2021.0</v>
      </c>
      <c r="D38" s="17">
        <f>63144.5+66637</f>
        <v>129781.5</v>
      </c>
      <c r="E38" s="18">
        <v>7135175.0</v>
      </c>
      <c r="F38" s="19">
        <v>1.5</v>
      </c>
      <c r="G38" s="10">
        <f t="shared" si="1"/>
        <v>107.027625</v>
      </c>
      <c r="H38" s="19">
        <v>1.15</v>
      </c>
      <c r="I38" s="8">
        <f t="shared" si="2"/>
        <v>82.0545125</v>
      </c>
      <c r="J38" s="19">
        <v>1.98</v>
      </c>
      <c r="K38" s="11">
        <f t="shared" si="3"/>
        <v>141.276465</v>
      </c>
      <c r="L38" s="11">
        <f t="shared" si="13"/>
        <v>82.46755123</v>
      </c>
      <c r="M38" s="12">
        <f>(I38/D38)*100000</f>
        <v>63.22512261</v>
      </c>
      <c r="N38" s="11">
        <f>(K38/D38)*100000</f>
        <v>108.8571676</v>
      </c>
      <c r="O38" s="19">
        <v>6.37</v>
      </c>
      <c r="P38" s="8">
        <f t="shared" si="110"/>
        <v>454.5106475</v>
      </c>
      <c r="Q38" s="19">
        <v>4.19</v>
      </c>
      <c r="R38" s="8">
        <f t="shared" si="111"/>
        <v>298.9638325</v>
      </c>
      <c r="S38" s="19">
        <v>9.13</v>
      </c>
      <c r="T38" s="11">
        <f t="shared" si="112"/>
        <v>651.4414775</v>
      </c>
      <c r="U38" s="11">
        <f>(P38/D38)*100000</f>
        <v>350.2122009</v>
      </c>
      <c r="V38" s="11">
        <f>(R38/D38)*100000</f>
        <v>230.3593598</v>
      </c>
      <c r="W38" s="11">
        <f>(T38/D38)*100000</f>
        <v>501.9524952</v>
      </c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hidden="1">
      <c r="A39" s="7" t="s">
        <v>25</v>
      </c>
      <c r="B39" s="16" t="s">
        <v>38</v>
      </c>
      <c r="C39" s="16">
        <v>2030.0</v>
      </c>
      <c r="D39" s="17">
        <f>57121+60361</f>
        <v>117482</v>
      </c>
      <c r="E39" s="10">
        <v>7885806.0</v>
      </c>
      <c r="F39" s="19">
        <v>1.5</v>
      </c>
      <c r="G39" s="10">
        <f t="shared" si="1"/>
        <v>118.28709</v>
      </c>
      <c r="H39" s="19">
        <v>1.15</v>
      </c>
      <c r="I39" s="8">
        <f t="shared" si="2"/>
        <v>90.686769</v>
      </c>
      <c r="J39" s="19">
        <v>1.98</v>
      </c>
      <c r="K39" s="11">
        <f t="shared" si="3"/>
        <v>156.1389588</v>
      </c>
      <c r="L39" s="11">
        <f t="shared" si="13"/>
        <v>100.685288</v>
      </c>
      <c r="M39" s="11">
        <f t="shared" ref="M39:M41" si="113">(I39*D39)/100000</f>
        <v>106.54063</v>
      </c>
      <c r="N39" s="11">
        <f t="shared" ref="N39:N41" si="114">(K39*D39)/100000</f>
        <v>183.4351716</v>
      </c>
      <c r="O39" s="19">
        <v>6.37</v>
      </c>
      <c r="P39" s="19"/>
      <c r="Q39" s="19">
        <v>4.19</v>
      </c>
      <c r="R39" s="19"/>
      <c r="S39" s="19">
        <v>9.13</v>
      </c>
      <c r="T39" s="14"/>
      <c r="U39" s="14">
        <f t="shared" ref="U39:U41" si="115">(O39*D39)/100000</f>
        <v>7.4836034</v>
      </c>
      <c r="V39" s="14">
        <f t="shared" ref="V39:V41" si="116">(Q39*D39)/100000</f>
        <v>4.9224958</v>
      </c>
      <c r="W39" s="14">
        <f t="shared" ref="W39:W41" si="117">(S39*D39)/100000</f>
        <v>10.7261066</v>
      </c>
      <c r="X39" s="13"/>
      <c r="Y39" s="13"/>
      <c r="Z39" s="13" t="str">
        <f t="shared" ref="Z39:Z40" si="118">ROUND(F39, 0) &amp; " (" &amp; ROUND(H39, 0) &amp; "-" &amp; ROUND(J39, 0) &amp; ")"</f>
        <v>2 (1-2)</v>
      </c>
      <c r="AA39" s="13" t="str">
        <f t="shared" ref="AA39:AA40" si="119">ROUND(L39, 0) &amp; " (" &amp; ROUND(M39, 0) &amp; "-" &amp; ROUND(N39, 0) &amp; ")"</f>
        <v>101 (107-183)</v>
      </c>
      <c r="AB39" s="13" t="str">
        <f t="shared" ref="AB39:AB40" si="120">ROUND(O39, 0) &amp; " (" &amp; ROUND(Q39, 0) &amp; "-" &amp; ROUND(S39, 0) &amp; ")"</f>
        <v>6 (4-9)</v>
      </c>
      <c r="AC39" s="13" t="str">
        <f t="shared" ref="AC39:AC40" si="121">ROUND(U39, 0) &amp; " (" &amp; ROUND(V39, 0) &amp; "-" &amp; ROUND(W39, 0) &amp; ")"</f>
        <v>7 (5-11)</v>
      </c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hidden="1">
      <c r="A40" s="7" t="s">
        <v>27</v>
      </c>
      <c r="B40" s="16" t="s">
        <v>38</v>
      </c>
      <c r="C40" s="16">
        <v>2040.0</v>
      </c>
      <c r="D40" s="17">
        <f>59613+62994</f>
        <v>122607</v>
      </c>
      <c r="E40" s="10">
        <v>8651417.0</v>
      </c>
      <c r="F40" s="19">
        <v>1.5</v>
      </c>
      <c r="G40" s="10">
        <f t="shared" si="1"/>
        <v>129.771255</v>
      </c>
      <c r="H40" s="19">
        <v>1.15</v>
      </c>
      <c r="I40" s="8">
        <f t="shared" si="2"/>
        <v>99.4912955</v>
      </c>
      <c r="J40" s="19">
        <v>1.98</v>
      </c>
      <c r="K40" s="11">
        <f t="shared" si="3"/>
        <v>171.2980566</v>
      </c>
      <c r="L40" s="11">
        <f t="shared" si="13"/>
        <v>105.8432675</v>
      </c>
      <c r="M40" s="11">
        <f t="shared" si="113"/>
        <v>121.9832927</v>
      </c>
      <c r="N40" s="11">
        <f t="shared" si="114"/>
        <v>210.0234083</v>
      </c>
      <c r="O40" s="19">
        <v>6.37</v>
      </c>
      <c r="P40" s="19"/>
      <c r="Q40" s="19">
        <v>4.19</v>
      </c>
      <c r="R40" s="19"/>
      <c r="S40" s="19">
        <v>9.13</v>
      </c>
      <c r="T40" s="14"/>
      <c r="U40" s="14">
        <f t="shared" si="115"/>
        <v>7.8100659</v>
      </c>
      <c r="V40" s="14">
        <f t="shared" si="116"/>
        <v>5.1372333</v>
      </c>
      <c r="W40" s="14">
        <f t="shared" si="117"/>
        <v>11.1940191</v>
      </c>
      <c r="X40" s="13"/>
      <c r="Y40" s="13"/>
      <c r="Z40" s="13" t="str">
        <f t="shared" si="118"/>
        <v>2 (1-2)</v>
      </c>
      <c r="AA40" s="13" t="str">
        <f t="shared" si="119"/>
        <v>106 (122-210)</v>
      </c>
      <c r="AB40" s="13" t="str">
        <f t="shared" si="120"/>
        <v>6 (4-9)</v>
      </c>
      <c r="AC40" s="13" t="str">
        <f t="shared" si="121"/>
        <v>8 (5-11)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hidden="1">
      <c r="A41" s="7" t="s">
        <v>29</v>
      </c>
      <c r="B41" s="16" t="s">
        <v>38</v>
      </c>
      <c r="C41" s="16">
        <v>2050.0</v>
      </c>
      <c r="D41" s="17">
        <f>56799+60046</f>
        <v>116845</v>
      </c>
      <c r="E41" s="10">
        <v>9260505.0</v>
      </c>
      <c r="F41" s="19">
        <v>1.5</v>
      </c>
      <c r="G41" s="10">
        <f t="shared" si="1"/>
        <v>138.907575</v>
      </c>
      <c r="H41" s="19">
        <v>1.15</v>
      </c>
      <c r="I41" s="8">
        <f t="shared" si="2"/>
        <v>106.4958075</v>
      </c>
      <c r="J41" s="19">
        <v>1.98</v>
      </c>
      <c r="K41" s="11">
        <f t="shared" si="3"/>
        <v>183.357999</v>
      </c>
      <c r="L41" s="11">
        <f t="shared" si="13"/>
        <v>118.8819162</v>
      </c>
      <c r="M41" s="11">
        <f t="shared" si="113"/>
        <v>124.4350263</v>
      </c>
      <c r="N41" s="11">
        <f t="shared" si="114"/>
        <v>214.2446539</v>
      </c>
      <c r="O41" s="19">
        <v>6.37</v>
      </c>
      <c r="P41" s="8">
        <f t="shared" ref="P41:P42" si="122">(O41/100000)*E41</f>
        <v>589.8941685</v>
      </c>
      <c r="Q41" s="19">
        <v>4.19</v>
      </c>
      <c r="R41" s="8">
        <f t="shared" ref="R41:R42" si="123">(Q41/100000)*E41</f>
        <v>388.0151595</v>
      </c>
      <c r="S41" s="19">
        <v>9.13</v>
      </c>
      <c r="T41" s="11">
        <f t="shared" ref="T41:T42" si="124">(S41/100000)*E41</f>
        <v>845.4841065</v>
      </c>
      <c r="U41" s="14">
        <f t="shared" si="115"/>
        <v>7.4430265</v>
      </c>
      <c r="V41" s="14">
        <f t="shared" si="116"/>
        <v>4.8958055</v>
      </c>
      <c r="W41" s="14">
        <f t="shared" si="117"/>
        <v>10.6679485</v>
      </c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>
      <c r="A42" s="7" t="s">
        <v>23</v>
      </c>
      <c r="B42" s="16" t="s">
        <v>39</v>
      </c>
      <c r="C42" s="16">
        <v>2021.0</v>
      </c>
      <c r="D42" s="17">
        <f>312849.5+326350.5</f>
        <v>639200</v>
      </c>
      <c r="E42" s="18">
        <v>3.6954442E7</v>
      </c>
      <c r="F42" s="19">
        <v>2.31</v>
      </c>
      <c r="G42" s="10">
        <f t="shared" si="1"/>
        <v>853.6476102</v>
      </c>
      <c r="H42" s="19">
        <v>1.78</v>
      </c>
      <c r="I42" s="8">
        <f t="shared" si="2"/>
        <v>657.7890676</v>
      </c>
      <c r="J42" s="19">
        <v>3.06</v>
      </c>
      <c r="K42" s="11">
        <f t="shared" si="3"/>
        <v>1130.805925</v>
      </c>
      <c r="L42" s="11">
        <f t="shared" si="13"/>
        <v>133.5493758</v>
      </c>
      <c r="M42" s="12">
        <f>(I42/D42)*100000</f>
        <v>102.908177</v>
      </c>
      <c r="N42" s="11">
        <f>(K42/D42)*100000</f>
        <v>176.9095628</v>
      </c>
      <c r="O42" s="19">
        <v>5.83</v>
      </c>
      <c r="P42" s="8">
        <f t="shared" si="122"/>
        <v>2154.443969</v>
      </c>
      <c r="Q42" s="19">
        <v>3.66</v>
      </c>
      <c r="R42" s="8">
        <f t="shared" si="123"/>
        <v>1352.532577</v>
      </c>
      <c r="S42" s="19">
        <v>8.96</v>
      </c>
      <c r="T42" s="11">
        <f t="shared" si="124"/>
        <v>3311.118003</v>
      </c>
      <c r="U42" s="11">
        <f>(P42/D42)*100000</f>
        <v>337.0531866</v>
      </c>
      <c r="V42" s="11">
        <f>(R42/D42)*100000</f>
        <v>211.5977123</v>
      </c>
      <c r="W42" s="11">
        <f>(T42/D42)*100000</f>
        <v>518.0097001</v>
      </c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hidden="1">
      <c r="A43" s="7" t="s">
        <v>25</v>
      </c>
      <c r="B43" s="16" t="s">
        <v>39</v>
      </c>
      <c r="C43" s="16">
        <v>2030.0</v>
      </c>
      <c r="D43" s="17">
        <f>289365+302361</f>
        <v>591726</v>
      </c>
      <c r="E43" s="10">
        <v>3.995346E7</v>
      </c>
      <c r="F43" s="19">
        <v>2.31</v>
      </c>
      <c r="G43" s="10">
        <f t="shared" si="1"/>
        <v>922.924926</v>
      </c>
      <c r="H43" s="19">
        <v>1.78</v>
      </c>
      <c r="I43" s="8">
        <f t="shared" si="2"/>
        <v>711.171588</v>
      </c>
      <c r="J43" s="19">
        <v>3.06</v>
      </c>
      <c r="K43" s="11">
        <f t="shared" si="3"/>
        <v>1222.575876</v>
      </c>
      <c r="L43" s="11">
        <f t="shared" si="13"/>
        <v>155.9716703</v>
      </c>
      <c r="M43" s="11">
        <f t="shared" ref="M43:M45" si="125">(I43*D43)/100000</f>
        <v>4208.187191</v>
      </c>
      <c r="N43" s="11">
        <f t="shared" ref="N43:N45" si="126">(K43*D43)/100000</f>
        <v>7234.299328</v>
      </c>
      <c r="O43" s="19">
        <v>5.83</v>
      </c>
      <c r="P43" s="19"/>
      <c r="Q43" s="19">
        <v>3.66</v>
      </c>
      <c r="R43" s="19"/>
      <c r="S43" s="19">
        <v>8.96</v>
      </c>
      <c r="T43" s="14"/>
      <c r="U43" s="14">
        <f t="shared" ref="U43:U45" si="127">(O43*D43)/100000</f>
        <v>34.4976258</v>
      </c>
      <c r="V43" s="14">
        <f t="shared" ref="V43:V45" si="128">(Q43*D43)/100000</f>
        <v>21.6571716</v>
      </c>
      <c r="W43" s="14">
        <f t="shared" ref="W43:W45" si="129">(S43*D43)/100000</f>
        <v>53.0186496</v>
      </c>
      <c r="X43" s="13"/>
      <c r="Y43" s="13"/>
      <c r="Z43" s="13" t="str">
        <f t="shared" ref="Z43:Z44" si="130">ROUND(F43, 0) &amp; " (" &amp; ROUND(H43, 0) &amp; "-" &amp; ROUND(J43, 0) &amp; ")"</f>
        <v>2 (2-3)</v>
      </c>
      <c r="AA43" s="13" t="str">
        <f t="shared" ref="AA43:AA44" si="131">ROUND(L43, 0) &amp; " (" &amp; ROUND(M43, 0) &amp; "-" &amp; ROUND(N43, 0) &amp; ")"</f>
        <v>156 (4208-7234)</v>
      </c>
      <c r="AB43" s="13" t="str">
        <f t="shared" ref="AB43:AB44" si="132">ROUND(O43, 0) &amp; " (" &amp; ROUND(Q43, 0) &amp; "-" &amp; ROUND(S43, 0) &amp; ")"</f>
        <v>6 (4-9)</v>
      </c>
      <c r="AC43" s="13" t="str">
        <f t="shared" ref="AC43:AC44" si="133">ROUND(U43, 0) &amp; " (" &amp; ROUND(V43, 0) &amp; "-" &amp; ROUND(W43, 0) &amp; ")"</f>
        <v>34 (22-53)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hidden="1">
      <c r="A44" s="7" t="s">
        <v>27</v>
      </c>
      <c r="B44" s="16" t="s">
        <v>39</v>
      </c>
      <c r="C44" s="16">
        <v>2040.0</v>
      </c>
      <c r="D44" s="17">
        <f>277438+290105</f>
        <v>567543</v>
      </c>
      <c r="E44" s="10">
        <v>4.2168205E7</v>
      </c>
      <c r="F44" s="19">
        <v>2.31</v>
      </c>
      <c r="G44" s="10">
        <f t="shared" si="1"/>
        <v>974.0855355</v>
      </c>
      <c r="H44" s="19">
        <v>1.78</v>
      </c>
      <c r="I44" s="8">
        <f t="shared" si="2"/>
        <v>750.594049</v>
      </c>
      <c r="J44" s="19">
        <v>3.06</v>
      </c>
      <c r="K44" s="11">
        <f t="shared" si="3"/>
        <v>1290.347073</v>
      </c>
      <c r="L44" s="11">
        <f t="shared" si="13"/>
        <v>171.6320236</v>
      </c>
      <c r="M44" s="11">
        <f t="shared" si="125"/>
        <v>4259.943984</v>
      </c>
      <c r="N44" s="11">
        <f t="shared" si="126"/>
        <v>7323.274489</v>
      </c>
      <c r="O44" s="19">
        <v>5.83</v>
      </c>
      <c r="P44" s="19"/>
      <c r="Q44" s="19">
        <v>3.66</v>
      </c>
      <c r="R44" s="19"/>
      <c r="S44" s="19">
        <v>8.96</v>
      </c>
      <c r="T44" s="14"/>
      <c r="U44" s="14">
        <f t="shared" si="127"/>
        <v>33.0877569</v>
      </c>
      <c r="V44" s="14">
        <f t="shared" si="128"/>
        <v>20.7720738</v>
      </c>
      <c r="W44" s="14">
        <f t="shared" si="129"/>
        <v>50.8518528</v>
      </c>
      <c r="X44" s="13"/>
      <c r="Y44" s="13"/>
      <c r="Z44" s="13" t="str">
        <f t="shared" si="130"/>
        <v>2 (2-3)</v>
      </c>
      <c r="AA44" s="13" t="str">
        <f t="shared" si="131"/>
        <v>172 (4260-7323)</v>
      </c>
      <c r="AB44" s="13" t="str">
        <f t="shared" si="132"/>
        <v>6 (4-9)</v>
      </c>
      <c r="AC44" s="13" t="str">
        <f t="shared" si="133"/>
        <v>33 (21-51)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hidden="1">
      <c r="A45" s="7" t="s">
        <v>29</v>
      </c>
      <c r="B45" s="16" t="s">
        <v>39</v>
      </c>
      <c r="C45" s="16">
        <v>2050.0</v>
      </c>
      <c r="D45" s="17">
        <f>257893+269957</f>
        <v>527850</v>
      </c>
      <c r="E45" s="10">
        <v>4.3440431E7</v>
      </c>
      <c r="F45" s="19">
        <v>2.31</v>
      </c>
      <c r="G45" s="10">
        <f t="shared" si="1"/>
        <v>1003.473956</v>
      </c>
      <c r="H45" s="19">
        <v>1.78</v>
      </c>
      <c r="I45" s="8">
        <f t="shared" si="2"/>
        <v>773.2396718</v>
      </c>
      <c r="J45" s="19">
        <v>3.06</v>
      </c>
      <c r="K45" s="11">
        <f t="shared" si="3"/>
        <v>1329.277189</v>
      </c>
      <c r="L45" s="11">
        <f t="shared" si="13"/>
        <v>190.105893</v>
      </c>
      <c r="M45" s="11">
        <f t="shared" si="125"/>
        <v>4081.545608</v>
      </c>
      <c r="N45" s="11">
        <f t="shared" si="126"/>
        <v>7016.58964</v>
      </c>
      <c r="O45" s="19">
        <v>5.83</v>
      </c>
      <c r="P45" s="8">
        <f t="shared" ref="P45:P46" si="134">(O45/100000)*E45</f>
        <v>2532.577127</v>
      </c>
      <c r="Q45" s="19">
        <v>3.66</v>
      </c>
      <c r="R45" s="8">
        <f t="shared" ref="R45:R46" si="135">(Q45/100000)*E45</f>
        <v>1589.919775</v>
      </c>
      <c r="S45" s="19">
        <v>8.96</v>
      </c>
      <c r="T45" s="11">
        <f t="shared" ref="T45:T46" si="136">(S45/100000)*E45</f>
        <v>3892.262618</v>
      </c>
      <c r="U45" s="14">
        <f t="shared" si="127"/>
        <v>30.773655</v>
      </c>
      <c r="V45" s="14">
        <f t="shared" si="128"/>
        <v>19.31931</v>
      </c>
      <c r="W45" s="14">
        <f t="shared" si="129"/>
        <v>47.29536</v>
      </c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>
      <c r="A46" s="7" t="s">
        <v>23</v>
      </c>
      <c r="B46" s="16" t="s">
        <v>40</v>
      </c>
      <c r="C46" s="16">
        <v>2021.0</v>
      </c>
      <c r="D46" s="17">
        <f>37655+39235.5</f>
        <v>76890.5</v>
      </c>
      <c r="E46" s="18">
        <v>4500424.0</v>
      </c>
      <c r="F46" s="19">
        <v>2.8</v>
      </c>
      <c r="G46" s="10">
        <f t="shared" si="1"/>
        <v>126.011872</v>
      </c>
      <c r="H46" s="19">
        <v>2.05</v>
      </c>
      <c r="I46" s="8">
        <f t="shared" si="2"/>
        <v>92.258692</v>
      </c>
      <c r="J46" s="19">
        <v>3.96</v>
      </c>
      <c r="K46" s="11">
        <f t="shared" si="3"/>
        <v>178.2167904</v>
      </c>
      <c r="L46" s="11">
        <f t="shared" si="13"/>
        <v>163.8848388</v>
      </c>
      <c r="M46" s="12">
        <f>(I46/D46)*100000</f>
        <v>119.9871141</v>
      </c>
      <c r="N46" s="11">
        <f>(K46/D46)*100000</f>
        <v>231.7799863</v>
      </c>
      <c r="O46" s="19">
        <v>6.16</v>
      </c>
      <c r="P46" s="8">
        <f t="shared" si="134"/>
        <v>277.2261184</v>
      </c>
      <c r="Q46" s="19">
        <v>3.9</v>
      </c>
      <c r="R46" s="8">
        <f t="shared" si="135"/>
        <v>175.516536</v>
      </c>
      <c r="S46" s="19">
        <v>9.35</v>
      </c>
      <c r="T46" s="11">
        <f t="shared" si="136"/>
        <v>420.789644</v>
      </c>
      <c r="U46" s="11">
        <f>(P46/D46)*100000</f>
        <v>360.5466454</v>
      </c>
      <c r="V46" s="11">
        <f>(R46/D46)*100000</f>
        <v>228.2681684</v>
      </c>
      <c r="W46" s="11">
        <f>(T46/D46)*100000</f>
        <v>547.2583011</v>
      </c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hidden="1">
      <c r="A47" s="7" t="s">
        <v>25</v>
      </c>
      <c r="B47" s="16" t="s">
        <v>40</v>
      </c>
      <c r="C47" s="16">
        <v>2030.0</v>
      </c>
      <c r="D47" s="17">
        <f>43819+45684</f>
        <v>89503</v>
      </c>
      <c r="E47" s="10">
        <v>6112706.0</v>
      </c>
      <c r="F47" s="19">
        <v>2.8</v>
      </c>
      <c r="G47" s="10">
        <f t="shared" si="1"/>
        <v>171.155768</v>
      </c>
      <c r="H47" s="19">
        <v>2.05</v>
      </c>
      <c r="I47" s="8">
        <f t="shared" si="2"/>
        <v>125.310473</v>
      </c>
      <c r="J47" s="19">
        <v>3.96</v>
      </c>
      <c r="K47" s="11">
        <f t="shared" si="3"/>
        <v>242.0631576</v>
      </c>
      <c r="L47" s="11">
        <f t="shared" si="13"/>
        <v>191.2290851</v>
      </c>
      <c r="M47" s="11">
        <f t="shared" ref="M47:M49" si="137">(I47*D47)/100000</f>
        <v>112.1566326</v>
      </c>
      <c r="N47" s="11">
        <f t="shared" ref="N47:N49" si="138">(K47*D47)/100000</f>
        <v>216.6537879</v>
      </c>
      <c r="O47" s="19">
        <v>6.16</v>
      </c>
      <c r="P47" s="19"/>
      <c r="Q47" s="19">
        <v>3.9</v>
      </c>
      <c r="R47" s="19"/>
      <c r="S47" s="19">
        <v>9.35</v>
      </c>
      <c r="T47" s="14"/>
      <c r="U47" s="14">
        <f t="shared" ref="U47:U49" si="139">(O47*D47)/100000</f>
        <v>5.5133848</v>
      </c>
      <c r="V47" s="14">
        <f t="shared" ref="V47:V49" si="140">(Q47*D47)/100000</f>
        <v>3.490617</v>
      </c>
      <c r="W47" s="14">
        <f t="shared" ref="W47:W49" si="141">(S47*D47)/100000</f>
        <v>8.3685305</v>
      </c>
      <c r="X47" s="13"/>
      <c r="Y47" s="13"/>
      <c r="Z47" s="13" t="str">
        <f t="shared" ref="Z47:Z48" si="142">ROUND(F47, 0) &amp; " (" &amp; ROUND(H47, 0) &amp; "-" &amp; ROUND(J47, 0) &amp; ")"</f>
        <v>3 (2-4)</v>
      </c>
      <c r="AA47" s="13" t="str">
        <f t="shared" ref="AA47:AA48" si="143">ROUND(L47, 0) &amp; " (" &amp; ROUND(M47, 0) &amp; "-" &amp; ROUND(N47, 0) &amp; ")"</f>
        <v>191 (112-217)</v>
      </c>
      <c r="AB47" s="13" t="str">
        <f t="shared" ref="AB47:AB48" si="144">ROUND(O47, 0) &amp; " (" &amp; ROUND(Q47, 0) &amp; "-" &amp; ROUND(S47, 0) &amp; ")"</f>
        <v>6 (4-9)</v>
      </c>
      <c r="AC47" s="13" t="str">
        <f t="shared" ref="AC47:AC48" si="145">ROUND(U47, 0) &amp; " (" &amp; ROUND(V47, 0) &amp; "-" &amp; ROUND(W47, 0) &amp; ")"</f>
        <v>6 (3-8)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hidden="1">
      <c r="A48" s="7" t="s">
        <v>27</v>
      </c>
      <c r="B48" s="16" t="s">
        <v>40</v>
      </c>
      <c r="C48" s="16">
        <v>2040.0</v>
      </c>
      <c r="D48" s="17">
        <f>45562+47538</f>
        <v>93100</v>
      </c>
      <c r="E48" s="10">
        <v>6931974.0</v>
      </c>
      <c r="F48" s="19">
        <v>2.8</v>
      </c>
      <c r="G48" s="10">
        <f t="shared" si="1"/>
        <v>194.095272</v>
      </c>
      <c r="H48" s="19">
        <v>2.05</v>
      </c>
      <c r="I48" s="8">
        <f t="shared" si="2"/>
        <v>142.105467</v>
      </c>
      <c r="J48" s="19">
        <v>3.96</v>
      </c>
      <c r="K48" s="11">
        <f t="shared" si="3"/>
        <v>274.5061704</v>
      </c>
      <c r="L48" s="11">
        <f t="shared" si="13"/>
        <v>208.4804211</v>
      </c>
      <c r="M48" s="11">
        <f t="shared" si="137"/>
        <v>132.3001898</v>
      </c>
      <c r="N48" s="11">
        <f t="shared" si="138"/>
        <v>255.5652446</v>
      </c>
      <c r="O48" s="19">
        <v>6.16</v>
      </c>
      <c r="P48" s="19"/>
      <c r="Q48" s="19">
        <v>3.9</v>
      </c>
      <c r="R48" s="19"/>
      <c r="S48" s="19">
        <v>9.35</v>
      </c>
      <c r="T48" s="14"/>
      <c r="U48" s="14">
        <f t="shared" si="139"/>
        <v>5.73496</v>
      </c>
      <c r="V48" s="14">
        <f t="shared" si="140"/>
        <v>3.6309</v>
      </c>
      <c r="W48" s="14">
        <f t="shared" si="141"/>
        <v>8.70485</v>
      </c>
      <c r="X48" s="13"/>
      <c r="Y48" s="13"/>
      <c r="Z48" s="13" t="str">
        <f t="shared" si="142"/>
        <v>3 (2-4)</v>
      </c>
      <c r="AA48" s="13" t="str">
        <f t="shared" si="143"/>
        <v>208 (132-256)</v>
      </c>
      <c r="AB48" s="13" t="str">
        <f t="shared" si="144"/>
        <v>6 (4-9)</v>
      </c>
      <c r="AC48" s="13" t="str">
        <f t="shared" si="145"/>
        <v>6 (4-9)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hidden="1">
      <c r="A49" s="7" t="s">
        <v>29</v>
      </c>
      <c r="B49" s="16" t="s">
        <v>40</v>
      </c>
      <c r="C49" s="16">
        <v>2050.0</v>
      </c>
      <c r="D49" s="17">
        <f>51089+53324</f>
        <v>104413</v>
      </c>
      <c r="E49" s="10">
        <v>7827002.0</v>
      </c>
      <c r="F49" s="19">
        <v>2.8</v>
      </c>
      <c r="G49" s="10">
        <f t="shared" si="1"/>
        <v>219.156056</v>
      </c>
      <c r="H49" s="19">
        <v>2.05</v>
      </c>
      <c r="I49" s="8">
        <f t="shared" si="2"/>
        <v>160.453541</v>
      </c>
      <c r="J49" s="19">
        <v>3.96</v>
      </c>
      <c r="K49" s="11">
        <f t="shared" si="3"/>
        <v>309.9492792</v>
      </c>
      <c r="L49" s="11">
        <f t="shared" si="13"/>
        <v>209.8934577</v>
      </c>
      <c r="M49" s="11">
        <f t="shared" si="137"/>
        <v>167.5343558</v>
      </c>
      <c r="N49" s="11">
        <f t="shared" si="138"/>
        <v>323.6273409</v>
      </c>
      <c r="O49" s="19">
        <v>6.16</v>
      </c>
      <c r="P49" s="8">
        <f t="shared" ref="P49:P50" si="146">(O49/100000)*E49</f>
        <v>482.1433232</v>
      </c>
      <c r="Q49" s="19">
        <v>3.9</v>
      </c>
      <c r="R49" s="8">
        <f t="shared" ref="R49:R50" si="147">(Q49/100000)*E49</f>
        <v>305.253078</v>
      </c>
      <c r="S49" s="19">
        <v>9.35</v>
      </c>
      <c r="T49" s="11">
        <f t="shared" ref="T49:T50" si="148">(S49/100000)*E49</f>
        <v>731.824687</v>
      </c>
      <c r="U49" s="14">
        <f t="shared" si="139"/>
        <v>6.4318408</v>
      </c>
      <c r="V49" s="14">
        <f t="shared" si="140"/>
        <v>4.072107</v>
      </c>
      <c r="W49" s="14">
        <f t="shared" si="141"/>
        <v>9.7626155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>
      <c r="A50" s="7" t="s">
        <v>23</v>
      </c>
      <c r="B50" s="16" t="s">
        <v>41</v>
      </c>
      <c r="C50" s="16">
        <v>2021.0</v>
      </c>
      <c r="D50" s="17">
        <f>14385+15259</f>
        <v>29644</v>
      </c>
      <c r="E50" s="18">
        <v>2504910.0</v>
      </c>
      <c r="F50" s="19">
        <v>2.91</v>
      </c>
      <c r="G50" s="10">
        <f t="shared" si="1"/>
        <v>72.892881</v>
      </c>
      <c r="H50" s="19">
        <v>2.09</v>
      </c>
      <c r="I50" s="8">
        <f t="shared" si="2"/>
        <v>52.352619</v>
      </c>
      <c r="J50" s="19">
        <v>4.15</v>
      </c>
      <c r="K50" s="11">
        <f t="shared" si="3"/>
        <v>103.953765</v>
      </c>
      <c r="L50" s="11">
        <f t="shared" si="13"/>
        <v>245.8942147</v>
      </c>
      <c r="M50" s="12">
        <f>(I50/D50)*100000</f>
        <v>176.604436</v>
      </c>
      <c r="N50" s="11">
        <f>(K50/D50)*100000</f>
        <v>350.67388</v>
      </c>
      <c r="O50" s="19">
        <v>8.76</v>
      </c>
      <c r="P50" s="8">
        <f t="shared" si="146"/>
        <v>219.430116</v>
      </c>
      <c r="Q50" s="19">
        <v>5.23</v>
      </c>
      <c r="R50" s="8">
        <f t="shared" si="147"/>
        <v>131.006793</v>
      </c>
      <c r="S50" s="19">
        <v>13.53</v>
      </c>
      <c r="T50" s="11">
        <f t="shared" si="148"/>
        <v>338.914323</v>
      </c>
      <c r="U50" s="11">
        <f>(P50/D50)*100000</f>
        <v>740.2176359</v>
      </c>
      <c r="V50" s="11">
        <f>(R50/D50)*100000</f>
        <v>441.9335886</v>
      </c>
      <c r="W50" s="11">
        <f>(T50/D50)*100000</f>
        <v>1143.281349</v>
      </c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hidden="1">
      <c r="A51" s="7" t="s">
        <v>25</v>
      </c>
      <c r="B51" s="16" t="s">
        <v>41</v>
      </c>
      <c r="C51" s="16">
        <v>2030.0</v>
      </c>
      <c r="D51" s="17">
        <f>16972+17539</f>
        <v>34511</v>
      </c>
      <c r="E51" s="10">
        <v>3110328.0</v>
      </c>
      <c r="F51" s="19">
        <v>2.91</v>
      </c>
      <c r="G51" s="10">
        <f t="shared" si="1"/>
        <v>90.5105448</v>
      </c>
      <c r="H51" s="19">
        <v>2.09</v>
      </c>
      <c r="I51" s="8">
        <f t="shared" si="2"/>
        <v>65.0058552</v>
      </c>
      <c r="J51" s="19">
        <v>4.15</v>
      </c>
      <c r="K51" s="11">
        <f t="shared" si="3"/>
        <v>129.078612</v>
      </c>
      <c r="L51" s="11">
        <f t="shared" si="13"/>
        <v>262.2657842</v>
      </c>
      <c r="M51" s="11">
        <f t="shared" ref="M51:M53" si="149">(I51*D51)/100000</f>
        <v>22.43417069</v>
      </c>
      <c r="N51" s="11">
        <f t="shared" ref="N51:N53" si="150">(K51*D51)/100000</f>
        <v>44.54631979</v>
      </c>
      <c r="O51" s="19">
        <v>8.76</v>
      </c>
      <c r="P51" s="19"/>
      <c r="Q51" s="19">
        <v>5.23</v>
      </c>
      <c r="R51" s="19"/>
      <c r="S51" s="19">
        <v>13.53</v>
      </c>
      <c r="T51" s="14"/>
      <c r="U51" s="14">
        <f t="shared" ref="U51:U53" si="151">(O51*D51)/100000</f>
        <v>3.0231636</v>
      </c>
      <c r="V51" s="14">
        <f t="shared" ref="V51:V53" si="152">(Q51*D51)/100000</f>
        <v>1.8049253</v>
      </c>
      <c r="W51" s="14">
        <f t="shared" ref="W51:W53" si="153">(S51*D51)/100000</f>
        <v>4.6693383</v>
      </c>
      <c r="X51" s="13"/>
      <c r="Y51" s="13"/>
      <c r="Z51" s="13" t="str">
        <f t="shared" ref="Z51:Z52" si="154">ROUND(F51, 0) &amp; " (" &amp; ROUND(H51, 0) &amp; "-" &amp; ROUND(J51, 0) &amp; ")"</f>
        <v>3 (2-4)</v>
      </c>
      <c r="AA51" s="13" t="str">
        <f t="shared" ref="AA51:AA52" si="155">ROUND(L51, 0) &amp; " (" &amp; ROUND(M51, 0) &amp; "-" &amp; ROUND(N51, 0) &amp; ")"</f>
        <v>262 (22-45)</v>
      </c>
      <c r="AB51" s="13" t="str">
        <f t="shared" ref="AB51:AB52" si="156">ROUND(O51, 0) &amp; " (" &amp; ROUND(Q51, 0) &amp; "-" &amp; ROUND(S51, 0) &amp; ")"</f>
        <v>9 (5-14)</v>
      </c>
      <c r="AC51" s="13" t="str">
        <f t="shared" ref="AC51:AC52" si="157">ROUND(U51, 0) &amp; " (" &amp; ROUND(V51, 0) &amp; "-" &amp; ROUND(W51, 0) &amp; ")"</f>
        <v>3 (2-5)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hidden="1">
      <c r="A52" s="7" t="s">
        <v>27</v>
      </c>
      <c r="B52" s="16" t="s">
        <v>41</v>
      </c>
      <c r="C52" s="16">
        <v>2040.0</v>
      </c>
      <c r="D52" s="17">
        <f>21321+22069</f>
        <v>43390</v>
      </c>
      <c r="E52" s="10">
        <v>3474059.0</v>
      </c>
      <c r="F52" s="19">
        <v>2.91</v>
      </c>
      <c r="G52" s="10">
        <f t="shared" si="1"/>
        <v>101.0951169</v>
      </c>
      <c r="H52" s="19">
        <v>2.09</v>
      </c>
      <c r="I52" s="8">
        <f t="shared" si="2"/>
        <v>72.6078331</v>
      </c>
      <c r="J52" s="19">
        <v>4.15</v>
      </c>
      <c r="K52" s="11">
        <f t="shared" si="3"/>
        <v>144.1734485</v>
      </c>
      <c r="L52" s="11">
        <f t="shared" si="13"/>
        <v>232.9917421</v>
      </c>
      <c r="M52" s="11">
        <f t="shared" si="149"/>
        <v>31.50453878</v>
      </c>
      <c r="N52" s="11">
        <f t="shared" si="150"/>
        <v>62.5568593</v>
      </c>
      <c r="O52" s="19">
        <v>8.76</v>
      </c>
      <c r="P52" s="19"/>
      <c r="Q52" s="19">
        <v>5.23</v>
      </c>
      <c r="R52" s="19"/>
      <c r="S52" s="19">
        <v>13.53</v>
      </c>
      <c r="T52" s="14"/>
      <c r="U52" s="14">
        <f t="shared" si="151"/>
        <v>3.800964</v>
      </c>
      <c r="V52" s="14">
        <f t="shared" si="152"/>
        <v>2.269297</v>
      </c>
      <c r="W52" s="14">
        <f t="shared" si="153"/>
        <v>5.870667</v>
      </c>
      <c r="X52" s="13"/>
      <c r="Y52" s="13"/>
      <c r="Z52" s="13" t="str">
        <f t="shared" si="154"/>
        <v>3 (2-4)</v>
      </c>
      <c r="AA52" s="13" t="str">
        <f t="shared" si="155"/>
        <v>233 (32-63)</v>
      </c>
      <c r="AB52" s="13" t="str">
        <f t="shared" si="156"/>
        <v>9 (5-14)</v>
      </c>
      <c r="AC52" s="13" t="str">
        <f t="shared" si="157"/>
        <v>4 (2-6)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hidden="1">
      <c r="A53" s="7" t="s">
        <v>29</v>
      </c>
      <c r="B53" s="16" t="s">
        <v>41</v>
      </c>
      <c r="C53" s="16">
        <v>2050.0</v>
      </c>
      <c r="D53" s="17">
        <f>24429+25294</f>
        <v>49723</v>
      </c>
      <c r="E53" s="10">
        <v>3917517.0</v>
      </c>
      <c r="F53" s="19">
        <v>2.91</v>
      </c>
      <c r="G53" s="10">
        <f t="shared" si="1"/>
        <v>113.9997447</v>
      </c>
      <c r="H53" s="19">
        <v>2.09</v>
      </c>
      <c r="I53" s="8">
        <f t="shared" si="2"/>
        <v>81.8761053</v>
      </c>
      <c r="J53" s="19">
        <v>4.15</v>
      </c>
      <c r="K53" s="11">
        <f t="shared" si="3"/>
        <v>162.5769555</v>
      </c>
      <c r="L53" s="11">
        <f t="shared" si="13"/>
        <v>229.2696432</v>
      </c>
      <c r="M53" s="11">
        <f t="shared" si="149"/>
        <v>40.71125584</v>
      </c>
      <c r="N53" s="11">
        <f t="shared" si="150"/>
        <v>80.83813958</v>
      </c>
      <c r="O53" s="19">
        <v>8.76</v>
      </c>
      <c r="P53" s="8">
        <f t="shared" ref="P53:P54" si="158">(O53/100000)*E53</f>
        <v>343.1744892</v>
      </c>
      <c r="Q53" s="19">
        <v>5.23</v>
      </c>
      <c r="R53" s="8">
        <f t="shared" ref="R53:R54" si="159">(Q53/100000)*E53</f>
        <v>204.8861391</v>
      </c>
      <c r="S53" s="19">
        <v>13.53</v>
      </c>
      <c r="T53" s="11">
        <f t="shared" ref="T53:T54" si="160">(S53/100000)*E53</f>
        <v>530.0400501</v>
      </c>
      <c r="U53" s="14">
        <f t="shared" si="151"/>
        <v>4.3557348</v>
      </c>
      <c r="V53" s="14">
        <f t="shared" si="152"/>
        <v>2.6005129</v>
      </c>
      <c r="W53" s="14">
        <f t="shared" si="153"/>
        <v>6.7275219</v>
      </c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>
      <c r="A54" s="7" t="s">
        <v>23</v>
      </c>
      <c r="B54" s="16" t="s">
        <v>42</v>
      </c>
      <c r="C54" s="16">
        <v>2021.0</v>
      </c>
      <c r="D54" s="17">
        <f>251498+261992</f>
        <v>513490</v>
      </c>
      <c r="E54" s="18">
        <v>3.0784383E7</v>
      </c>
      <c r="F54" s="19">
        <v>2.1</v>
      </c>
      <c r="G54" s="10">
        <f t="shared" si="1"/>
        <v>646.472043</v>
      </c>
      <c r="H54" s="19">
        <v>1.53</v>
      </c>
      <c r="I54" s="8">
        <f t="shared" si="2"/>
        <v>471.0010599</v>
      </c>
      <c r="J54" s="19">
        <v>2.9</v>
      </c>
      <c r="K54" s="11">
        <f t="shared" si="3"/>
        <v>892.747107</v>
      </c>
      <c r="L54" s="11">
        <f t="shared" si="13"/>
        <v>125.897689</v>
      </c>
      <c r="M54" s="12">
        <f>(I54/D54)*100000</f>
        <v>91.72545909</v>
      </c>
      <c r="N54" s="11">
        <f>(K54/D54)*100000</f>
        <v>173.8587133</v>
      </c>
      <c r="O54" s="19">
        <v>6.25</v>
      </c>
      <c r="P54" s="8">
        <f t="shared" si="158"/>
        <v>1924.023938</v>
      </c>
      <c r="Q54" s="19">
        <v>3.84</v>
      </c>
      <c r="R54" s="8">
        <f t="shared" si="159"/>
        <v>1182.120307</v>
      </c>
      <c r="S54" s="19">
        <v>9.68</v>
      </c>
      <c r="T54" s="11">
        <f t="shared" si="160"/>
        <v>2979.928274</v>
      </c>
      <c r="U54" s="11">
        <f>(P54/D54)*100000</f>
        <v>374.6955028</v>
      </c>
      <c r="V54" s="11">
        <f>(R54/D54)*100000</f>
        <v>230.2129169</v>
      </c>
      <c r="W54" s="11">
        <f>(T54/D54)*100000</f>
        <v>580.3283948</v>
      </c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hidden="1">
      <c r="A55" s="7" t="s">
        <v>25</v>
      </c>
      <c r="B55" s="16" t="s">
        <v>42</v>
      </c>
      <c r="C55" s="16">
        <v>2030.0</v>
      </c>
      <c r="D55" s="17">
        <f>281853+295603</f>
        <v>577456</v>
      </c>
      <c r="E55" s="10">
        <v>3.8805216E7</v>
      </c>
      <c r="F55" s="19">
        <v>2.1</v>
      </c>
      <c r="G55" s="10">
        <f t="shared" si="1"/>
        <v>814.909536</v>
      </c>
      <c r="H55" s="19">
        <v>1.53</v>
      </c>
      <c r="I55" s="8">
        <f t="shared" si="2"/>
        <v>593.7198048</v>
      </c>
      <c r="J55" s="19">
        <v>2.9</v>
      </c>
      <c r="K55" s="11">
        <f t="shared" si="3"/>
        <v>1125.351264</v>
      </c>
      <c r="L55" s="11">
        <f t="shared" si="13"/>
        <v>141.1206284</v>
      </c>
      <c r="M55" s="11">
        <f t="shared" ref="M55:M57" si="161">(I55*D55)/100000</f>
        <v>3428.470636</v>
      </c>
      <c r="N55" s="11">
        <f t="shared" ref="N55:N57" si="162">(K55*D55)/100000</f>
        <v>6498.408395</v>
      </c>
      <c r="O55" s="19">
        <v>6.25</v>
      </c>
      <c r="P55" s="19"/>
      <c r="Q55" s="19">
        <v>3.84</v>
      </c>
      <c r="R55" s="19"/>
      <c r="S55" s="19">
        <v>9.68</v>
      </c>
      <c r="T55" s="14"/>
      <c r="U55" s="14">
        <f t="shared" ref="U55:U57" si="163">(O55*D55)/100000</f>
        <v>36.091</v>
      </c>
      <c r="V55" s="14">
        <f t="shared" ref="V55:V57" si="164">(Q55*D55)/100000</f>
        <v>22.1743104</v>
      </c>
      <c r="W55" s="14">
        <f t="shared" ref="W55:W57" si="165">(S55*D55)/100000</f>
        <v>55.8977408</v>
      </c>
      <c r="X55" s="13"/>
      <c r="Y55" s="13"/>
      <c r="Z55" s="13" t="str">
        <f t="shared" ref="Z55:Z56" si="166">ROUND(F55, 0) &amp; " (" &amp; ROUND(H55, 0) &amp; "-" &amp; ROUND(J55, 0) &amp; ")"</f>
        <v>2 (2-3)</v>
      </c>
      <c r="AA55" s="13" t="str">
        <f t="shared" ref="AA55:AA56" si="167">ROUND(L55, 0) &amp; " (" &amp; ROUND(M55, 0) &amp; "-" &amp; ROUND(N55, 0) &amp; ")"</f>
        <v>141 (3428-6498)</v>
      </c>
      <c r="AB55" s="13" t="str">
        <f t="shared" ref="AB55:AB56" si="168">ROUND(O55, 0) &amp; " (" &amp; ROUND(Q55, 0) &amp; "-" &amp; ROUND(S55, 0) &amp; ")"</f>
        <v>6 (4-10)</v>
      </c>
      <c r="AC55" s="13" t="str">
        <f t="shared" ref="AC55:AC56" si="169">ROUND(U55, 0) &amp; " (" &amp; ROUND(V55, 0) &amp; "-" &amp; ROUND(W55, 0) &amp; ")"</f>
        <v>36 (22-56)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hidden="1">
      <c r="A56" s="7" t="s">
        <v>27</v>
      </c>
      <c r="B56" s="16" t="s">
        <v>42</v>
      </c>
      <c r="C56" s="16">
        <v>2040.0</v>
      </c>
      <c r="D56" s="17">
        <f>291532+305791</f>
        <v>597323</v>
      </c>
      <c r="E56" s="10">
        <v>4.4045372E7</v>
      </c>
      <c r="F56" s="19">
        <v>2.1</v>
      </c>
      <c r="G56" s="10">
        <f t="shared" si="1"/>
        <v>924.952812</v>
      </c>
      <c r="H56" s="19">
        <v>1.53</v>
      </c>
      <c r="I56" s="8">
        <f t="shared" si="2"/>
        <v>673.8941916</v>
      </c>
      <c r="J56" s="19">
        <v>2.9</v>
      </c>
      <c r="K56" s="11">
        <f t="shared" si="3"/>
        <v>1277.315788</v>
      </c>
      <c r="L56" s="11">
        <f t="shared" si="13"/>
        <v>154.8496897</v>
      </c>
      <c r="M56" s="11">
        <f t="shared" si="161"/>
        <v>4025.325002</v>
      </c>
      <c r="N56" s="11">
        <f t="shared" si="162"/>
        <v>7629.700984</v>
      </c>
      <c r="O56" s="19">
        <v>6.25</v>
      </c>
      <c r="P56" s="19"/>
      <c r="Q56" s="19">
        <v>3.84</v>
      </c>
      <c r="R56" s="19"/>
      <c r="S56" s="19">
        <v>9.68</v>
      </c>
      <c r="T56" s="14"/>
      <c r="U56" s="14">
        <f t="shared" si="163"/>
        <v>37.3326875</v>
      </c>
      <c r="V56" s="14">
        <f t="shared" si="164"/>
        <v>22.9372032</v>
      </c>
      <c r="W56" s="14">
        <f t="shared" si="165"/>
        <v>57.8208664</v>
      </c>
      <c r="X56" s="13"/>
      <c r="Y56" s="13"/>
      <c r="Z56" s="13" t="str">
        <f t="shared" si="166"/>
        <v>2 (2-3)</v>
      </c>
      <c r="AA56" s="13" t="str">
        <f t="shared" si="167"/>
        <v>155 (4025-7630)</v>
      </c>
      <c r="AB56" s="13" t="str">
        <f t="shared" si="168"/>
        <v>6 (4-10)</v>
      </c>
      <c r="AC56" s="13" t="str">
        <f t="shared" si="169"/>
        <v>37 (23-58)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hidden="1">
      <c r="A57" s="7" t="s">
        <v>29</v>
      </c>
      <c r="B57" s="16" t="s">
        <v>42</v>
      </c>
      <c r="C57" s="16">
        <v>2050.0</v>
      </c>
      <c r="D57" s="17">
        <f>302075+316779</f>
        <v>618854</v>
      </c>
      <c r="E57" s="10">
        <v>4.9185488E7</v>
      </c>
      <c r="F57" s="19">
        <v>2.1</v>
      </c>
      <c r="G57" s="10">
        <f t="shared" si="1"/>
        <v>1032.895248</v>
      </c>
      <c r="H57" s="19">
        <v>1.53</v>
      </c>
      <c r="I57" s="8">
        <f t="shared" si="2"/>
        <v>752.5379664</v>
      </c>
      <c r="J57" s="19">
        <v>2.9</v>
      </c>
      <c r="K57" s="11">
        <f t="shared" si="3"/>
        <v>1426.379152</v>
      </c>
      <c r="L57" s="11">
        <f t="shared" si="13"/>
        <v>166.9045119</v>
      </c>
      <c r="M57" s="11">
        <f t="shared" si="161"/>
        <v>4657.111307</v>
      </c>
      <c r="N57" s="11">
        <f t="shared" si="162"/>
        <v>8827.204437</v>
      </c>
      <c r="O57" s="19">
        <v>6.25</v>
      </c>
      <c r="P57" s="8">
        <f t="shared" ref="P57:P58" si="170">(O57/100000)*E57</f>
        <v>3074.093</v>
      </c>
      <c r="Q57" s="19">
        <v>3.84</v>
      </c>
      <c r="R57" s="8">
        <f t="shared" ref="R57:R58" si="171">(Q57/100000)*E57</f>
        <v>1888.722739</v>
      </c>
      <c r="S57" s="19">
        <v>9.68</v>
      </c>
      <c r="T57" s="11">
        <f t="shared" ref="T57:T58" si="172">(S57/100000)*E57</f>
        <v>4761.155238</v>
      </c>
      <c r="U57" s="14">
        <f t="shared" si="163"/>
        <v>38.678375</v>
      </c>
      <c r="V57" s="14">
        <f t="shared" si="164"/>
        <v>23.7639936</v>
      </c>
      <c r="W57" s="14">
        <f t="shared" si="165"/>
        <v>59.9050672</v>
      </c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>
      <c r="A58" s="7" t="s">
        <v>23</v>
      </c>
      <c r="B58" s="16" t="s">
        <v>43</v>
      </c>
      <c r="C58" s="16">
        <v>2021.0</v>
      </c>
      <c r="D58" s="17">
        <f>771073.5+797745.5</f>
        <v>1568819</v>
      </c>
      <c r="E58" s="18">
        <v>4.8066924E7</v>
      </c>
      <c r="F58" s="19">
        <v>3.86</v>
      </c>
      <c r="G58" s="10">
        <f t="shared" si="1"/>
        <v>1855.383266</v>
      </c>
      <c r="H58" s="19">
        <v>2.9</v>
      </c>
      <c r="I58" s="8">
        <f t="shared" si="2"/>
        <v>1393.940796</v>
      </c>
      <c r="J58" s="19">
        <v>5.03</v>
      </c>
      <c r="K58" s="11">
        <f t="shared" si="3"/>
        <v>2417.766277</v>
      </c>
      <c r="L58" s="11">
        <f t="shared" si="13"/>
        <v>118.2662414</v>
      </c>
      <c r="M58" s="12">
        <f>(I58/D58)*100000</f>
        <v>88.8528757</v>
      </c>
      <c r="N58" s="11">
        <f>(K58/D58)*100000</f>
        <v>154.113781</v>
      </c>
      <c r="O58" s="19">
        <v>12.58</v>
      </c>
      <c r="P58" s="8">
        <f t="shared" si="170"/>
        <v>6046.819039</v>
      </c>
      <c r="Q58" s="19">
        <v>7.75</v>
      </c>
      <c r="R58" s="8">
        <f t="shared" si="171"/>
        <v>3725.18661</v>
      </c>
      <c r="S58" s="19">
        <v>20.01</v>
      </c>
      <c r="T58" s="11">
        <f t="shared" si="172"/>
        <v>9618.191492</v>
      </c>
      <c r="U58" s="11">
        <f>(P58/D58)*100000</f>
        <v>385.437647</v>
      </c>
      <c r="V58" s="11">
        <f>(R58/D58)*100000</f>
        <v>237.4516506</v>
      </c>
      <c r="W58" s="11">
        <f>(T58/D58)*100000</f>
        <v>613.0848423</v>
      </c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hidden="1">
      <c r="A59" s="7" t="s">
        <v>25</v>
      </c>
      <c r="B59" s="16" t="s">
        <v>43</v>
      </c>
      <c r="C59" s="16">
        <v>2030.0</v>
      </c>
      <c r="D59" s="17">
        <f>837133+862887</f>
        <v>1700020</v>
      </c>
      <c r="E59" s="10">
        <v>5.8571616E7</v>
      </c>
      <c r="F59" s="19">
        <v>3.86</v>
      </c>
      <c r="G59" s="10">
        <f t="shared" si="1"/>
        <v>2260.864378</v>
      </c>
      <c r="H59" s="19">
        <v>2.9</v>
      </c>
      <c r="I59" s="8">
        <f t="shared" si="2"/>
        <v>1698.576864</v>
      </c>
      <c r="J59" s="19">
        <v>5.03</v>
      </c>
      <c r="K59" s="11">
        <f t="shared" si="3"/>
        <v>2946.152285</v>
      </c>
      <c r="L59" s="11">
        <f t="shared" si="13"/>
        <v>132.9904576</v>
      </c>
      <c r="M59" s="11">
        <f t="shared" ref="M59:M61" si="173">(I59*D59)/100000</f>
        <v>28876.1464</v>
      </c>
      <c r="N59" s="11">
        <f t="shared" ref="N59:N61" si="174">(K59*D59)/100000</f>
        <v>50085.17807</v>
      </c>
      <c r="O59" s="19">
        <v>12.58</v>
      </c>
      <c r="P59" s="19"/>
      <c r="Q59" s="19">
        <v>7.75</v>
      </c>
      <c r="R59" s="19"/>
      <c r="S59" s="19">
        <v>20.01</v>
      </c>
      <c r="T59" s="14"/>
      <c r="U59" s="14">
        <f t="shared" ref="U59:U61" si="175">(O59*D59)/100000</f>
        <v>213.862516</v>
      </c>
      <c r="V59" s="14">
        <f t="shared" ref="V59:V61" si="176">(Q59*D59)/100000</f>
        <v>131.75155</v>
      </c>
      <c r="W59" s="14">
        <f t="shared" ref="W59:W61" si="177">(S59*D59)/100000</f>
        <v>340.174002</v>
      </c>
      <c r="X59" s="13"/>
      <c r="Y59" s="13"/>
      <c r="Z59" s="13" t="str">
        <f t="shared" ref="Z59:Z60" si="178">ROUND(F59, 0) &amp; " (" &amp; ROUND(H59, 0) &amp; "-" &amp; ROUND(J59, 0) &amp; ")"</f>
        <v>4 (3-5)</v>
      </c>
      <c r="AA59" s="13" t="str">
        <f t="shared" ref="AA59:AA60" si="179">ROUND(L59, 0) &amp; " (" &amp; ROUND(M59, 0) &amp; "-" &amp; ROUND(N59, 0) &amp; ")"</f>
        <v>133 (28876-50085)</v>
      </c>
      <c r="AB59" s="13" t="str">
        <f t="shared" ref="AB59:AB60" si="180">ROUND(O59, 0) &amp; " (" &amp; ROUND(Q59, 0) &amp; "-" &amp; ROUND(S59, 0) &amp; ")"</f>
        <v>13 (8-20)</v>
      </c>
      <c r="AC59" s="13" t="str">
        <f t="shared" ref="AC59:AC60" si="181">ROUND(U59, 0) &amp; " (" &amp; ROUND(V59, 0) &amp; "-" &amp; ROUND(W59, 0) &amp; ")"</f>
        <v>214 (132-340)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hidden="1">
      <c r="A60" s="7" t="s">
        <v>27</v>
      </c>
      <c r="B60" s="16" t="s">
        <v>43</v>
      </c>
      <c r="C60" s="16">
        <v>2040.0</v>
      </c>
      <c r="D60" s="17">
        <f>882132+908446</f>
        <v>1790578</v>
      </c>
      <c r="E60" s="10">
        <v>7.1730599E7</v>
      </c>
      <c r="F60" s="19">
        <v>3.86</v>
      </c>
      <c r="G60" s="10">
        <f t="shared" si="1"/>
        <v>2768.801121</v>
      </c>
      <c r="H60" s="19">
        <v>2.9</v>
      </c>
      <c r="I60" s="8">
        <f t="shared" si="2"/>
        <v>2080.187371</v>
      </c>
      <c r="J60" s="19">
        <v>5.03</v>
      </c>
      <c r="K60" s="11">
        <f t="shared" si="3"/>
        <v>3608.04913</v>
      </c>
      <c r="L60" s="11">
        <f t="shared" si="13"/>
        <v>154.6316955</v>
      </c>
      <c r="M60" s="11">
        <f t="shared" si="173"/>
        <v>37247.37742</v>
      </c>
      <c r="N60" s="11">
        <f t="shared" si="174"/>
        <v>64604.93395</v>
      </c>
      <c r="O60" s="19">
        <v>12.58</v>
      </c>
      <c r="P60" s="19"/>
      <c r="Q60" s="19">
        <v>7.75</v>
      </c>
      <c r="R60" s="19"/>
      <c r="S60" s="19">
        <v>20.01</v>
      </c>
      <c r="T60" s="14"/>
      <c r="U60" s="14">
        <f t="shared" si="175"/>
        <v>225.2547124</v>
      </c>
      <c r="V60" s="14">
        <f t="shared" si="176"/>
        <v>138.769795</v>
      </c>
      <c r="W60" s="14">
        <f t="shared" si="177"/>
        <v>358.2946578</v>
      </c>
      <c r="X60" s="13"/>
      <c r="Y60" s="13"/>
      <c r="Z60" s="13" t="str">
        <f t="shared" si="178"/>
        <v>4 (3-5)</v>
      </c>
      <c r="AA60" s="13" t="str">
        <f t="shared" si="179"/>
        <v>155 (37247-64605)</v>
      </c>
      <c r="AB60" s="13" t="str">
        <f t="shared" si="180"/>
        <v>13 (8-20)</v>
      </c>
      <c r="AC60" s="13" t="str">
        <f t="shared" si="181"/>
        <v>225 (139-358)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hidden="1">
      <c r="A61" s="7" t="s">
        <v>29</v>
      </c>
      <c r="B61" s="16" t="s">
        <v>43</v>
      </c>
      <c r="C61" s="16">
        <v>2050.0</v>
      </c>
      <c r="D61" s="17">
        <f>949347+977359</f>
        <v>1926706</v>
      </c>
      <c r="E61" s="10">
        <v>8.5206383E7</v>
      </c>
      <c r="F61" s="19">
        <v>3.86</v>
      </c>
      <c r="G61" s="10">
        <f t="shared" si="1"/>
        <v>3288.966384</v>
      </c>
      <c r="H61" s="19">
        <v>2.9</v>
      </c>
      <c r="I61" s="8">
        <f t="shared" si="2"/>
        <v>2470.985107</v>
      </c>
      <c r="J61" s="19">
        <v>5.03</v>
      </c>
      <c r="K61" s="11">
        <f t="shared" si="3"/>
        <v>4285.881065</v>
      </c>
      <c r="L61" s="11">
        <f t="shared" si="13"/>
        <v>170.7041128</v>
      </c>
      <c r="M61" s="11">
        <f t="shared" si="173"/>
        <v>47608.61832</v>
      </c>
      <c r="N61" s="11">
        <f t="shared" si="174"/>
        <v>82576.32763</v>
      </c>
      <c r="O61" s="19">
        <v>12.58</v>
      </c>
      <c r="P61" s="8">
        <f t="shared" ref="P61:P62" si="182">(O61/100000)*E61</f>
        <v>10718.96298</v>
      </c>
      <c r="Q61" s="19">
        <v>7.75</v>
      </c>
      <c r="R61" s="8">
        <f t="shared" ref="R61:R62" si="183">(Q61/100000)*E61</f>
        <v>6603.494683</v>
      </c>
      <c r="S61" s="19">
        <v>20.01</v>
      </c>
      <c r="T61" s="11">
        <f t="shared" ref="T61:T62" si="184">(S61/100000)*E61</f>
        <v>17049.79724</v>
      </c>
      <c r="U61" s="14">
        <f t="shared" si="175"/>
        <v>242.3796148</v>
      </c>
      <c r="V61" s="14">
        <f t="shared" si="176"/>
        <v>149.319715</v>
      </c>
      <c r="W61" s="14">
        <f t="shared" si="177"/>
        <v>385.5338706</v>
      </c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>
      <c r="A62" s="7" t="s">
        <v>23</v>
      </c>
      <c r="B62" s="16" t="s">
        <v>44</v>
      </c>
      <c r="C62" s="16">
        <v>2021.0</v>
      </c>
      <c r="D62" s="17">
        <f>216481.5+226945.5</f>
        <v>443427</v>
      </c>
      <c r="E62" s="18">
        <v>4.8066924E7</v>
      </c>
      <c r="F62" s="19">
        <v>1.9</v>
      </c>
      <c r="G62" s="10">
        <f t="shared" si="1"/>
        <v>913.271556</v>
      </c>
      <c r="H62" s="19">
        <v>1.46</v>
      </c>
      <c r="I62" s="8">
        <f t="shared" si="2"/>
        <v>701.7770904</v>
      </c>
      <c r="J62" s="19">
        <v>2.56</v>
      </c>
      <c r="K62" s="11">
        <f t="shared" si="3"/>
        <v>1230.513254</v>
      </c>
      <c r="L62" s="11">
        <f t="shared" si="13"/>
        <v>205.9575885</v>
      </c>
      <c r="M62" s="12">
        <f>(I62/D62)*100000</f>
        <v>158.262147</v>
      </c>
      <c r="N62" s="11">
        <f>(K62/D62)*100000</f>
        <v>277.5007508</v>
      </c>
      <c r="O62" s="19">
        <v>6.37</v>
      </c>
      <c r="P62" s="8">
        <f t="shared" si="182"/>
        <v>3061.863059</v>
      </c>
      <c r="Q62" s="19">
        <v>4.13</v>
      </c>
      <c r="R62" s="8">
        <f t="shared" si="183"/>
        <v>1985.163961</v>
      </c>
      <c r="S62" s="19">
        <v>9.51</v>
      </c>
      <c r="T62" s="11">
        <f t="shared" si="184"/>
        <v>4571.164472</v>
      </c>
      <c r="U62" s="11">
        <f>(P62/D62)*100000</f>
        <v>690.4999152</v>
      </c>
      <c r="V62" s="11">
        <f>(R62/D62)*100000</f>
        <v>447.6867582</v>
      </c>
      <c r="W62" s="11">
        <f>(T62/D62)*100000</f>
        <v>1030.87193</v>
      </c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hidden="1">
      <c r="A63" s="7" t="s">
        <v>25</v>
      </c>
      <c r="B63" s="16" t="s">
        <v>44</v>
      </c>
      <c r="C63" s="16">
        <v>2030.0</v>
      </c>
      <c r="D63" s="17">
        <f>327245+343169</f>
        <v>670414</v>
      </c>
      <c r="E63" s="10">
        <v>2.939554E7</v>
      </c>
      <c r="F63" s="19">
        <v>1.9</v>
      </c>
      <c r="G63" s="10">
        <f t="shared" si="1"/>
        <v>558.51526</v>
      </c>
      <c r="H63" s="19">
        <v>1.46</v>
      </c>
      <c r="I63" s="8">
        <f t="shared" si="2"/>
        <v>429.174884</v>
      </c>
      <c r="J63" s="19">
        <v>2.56</v>
      </c>
      <c r="K63" s="11">
        <f t="shared" si="3"/>
        <v>752.525824</v>
      </c>
      <c r="L63" s="11">
        <f t="shared" si="13"/>
        <v>83.30900906</v>
      </c>
      <c r="M63" s="11">
        <f t="shared" ref="M63:M65" si="185">(I63*D63)/100000</f>
        <v>2877.248507</v>
      </c>
      <c r="N63" s="11">
        <f t="shared" ref="N63:N65" si="186">(K63*D63)/100000</f>
        <v>5045.038478</v>
      </c>
      <c r="O63" s="19">
        <v>6.37</v>
      </c>
      <c r="P63" s="19"/>
      <c r="Q63" s="19">
        <v>4.13</v>
      </c>
      <c r="R63" s="19"/>
      <c r="S63" s="19">
        <v>9.51</v>
      </c>
      <c r="T63" s="14"/>
      <c r="U63" s="14">
        <f t="shared" ref="U63:U65" si="187">(O63*D63)/100000</f>
        <v>42.7053718</v>
      </c>
      <c r="V63" s="14">
        <f t="shared" ref="V63:V65" si="188">(Q63*D63)/100000</f>
        <v>27.6880982</v>
      </c>
      <c r="W63" s="14">
        <f t="shared" ref="W63:W65" si="189">(S63*D63)/100000</f>
        <v>63.7563714</v>
      </c>
      <c r="X63" s="13"/>
      <c r="Y63" s="13"/>
      <c r="Z63" s="13" t="str">
        <f t="shared" ref="Z63:Z64" si="190">ROUND(F63, 0) &amp; " (" &amp; ROUND(H63, 0) &amp; "-" &amp; ROUND(J63, 0) &amp; ")"</f>
        <v>2 (1-3)</v>
      </c>
      <c r="AA63" s="13" t="str">
        <f t="shared" ref="AA63:AA64" si="191">ROUND(L63, 0) &amp; " (" &amp; ROUND(M63, 0) &amp; "-" &amp; ROUND(N63, 0) &amp; ")"</f>
        <v>83 (2877-5045)</v>
      </c>
      <c r="AB63" s="13" t="str">
        <f t="shared" ref="AB63:AB64" si="192">ROUND(O63, 0) &amp; " (" &amp; ROUND(Q63, 0) &amp; "-" &amp; ROUND(S63, 0) &amp; ")"</f>
        <v>6 (4-10)</v>
      </c>
      <c r="AC63" s="13" t="str">
        <f t="shared" ref="AC63:AC64" si="193">ROUND(U63, 0) &amp; " (" &amp; ROUND(V63, 0) &amp; "-" &amp; ROUND(W63, 0) &amp; ")"</f>
        <v>43 (28-64)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hidden="1">
      <c r="A64" s="7" t="s">
        <v>27</v>
      </c>
      <c r="B64" s="16" t="s">
        <v>44</v>
      </c>
      <c r="C64" s="16">
        <v>2040.0</v>
      </c>
      <c r="D64" s="17">
        <f>285980+299993</f>
        <v>585973</v>
      </c>
      <c r="E64" s="10">
        <v>3.4533185E7</v>
      </c>
      <c r="F64" s="19">
        <v>1.9</v>
      </c>
      <c r="G64" s="10">
        <f t="shared" si="1"/>
        <v>656.130515</v>
      </c>
      <c r="H64" s="19">
        <v>1.46</v>
      </c>
      <c r="I64" s="8">
        <f t="shared" si="2"/>
        <v>504.184501</v>
      </c>
      <c r="J64" s="19">
        <v>2.56</v>
      </c>
      <c r="K64" s="11">
        <f t="shared" si="3"/>
        <v>884.049536</v>
      </c>
      <c r="L64" s="11">
        <f t="shared" si="13"/>
        <v>111.9728238</v>
      </c>
      <c r="M64" s="11">
        <f t="shared" si="185"/>
        <v>2954.385046</v>
      </c>
      <c r="N64" s="11">
        <f t="shared" si="186"/>
        <v>5180.291588</v>
      </c>
      <c r="O64" s="19">
        <v>6.37</v>
      </c>
      <c r="P64" s="19"/>
      <c r="Q64" s="19">
        <v>4.13</v>
      </c>
      <c r="R64" s="19"/>
      <c r="S64" s="19">
        <v>9.51</v>
      </c>
      <c r="T64" s="14"/>
      <c r="U64" s="14">
        <f t="shared" si="187"/>
        <v>37.3264801</v>
      </c>
      <c r="V64" s="14">
        <f t="shared" si="188"/>
        <v>24.2006849</v>
      </c>
      <c r="W64" s="14">
        <f t="shared" si="189"/>
        <v>55.7260323</v>
      </c>
      <c r="X64" s="13"/>
      <c r="Y64" s="13"/>
      <c r="Z64" s="13" t="str">
        <f t="shared" si="190"/>
        <v>2 (1-3)</v>
      </c>
      <c r="AA64" s="13" t="str">
        <f t="shared" si="191"/>
        <v>112 (2954-5180)</v>
      </c>
      <c r="AB64" s="13" t="str">
        <f t="shared" si="192"/>
        <v>6 (4-10)</v>
      </c>
      <c r="AC64" s="13" t="str">
        <f t="shared" si="193"/>
        <v>37 (24-56)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hidden="1">
      <c r="A65" s="7" t="s">
        <v>29</v>
      </c>
      <c r="B65" s="16" t="s">
        <v>44</v>
      </c>
      <c r="C65" s="16">
        <v>2050.0</v>
      </c>
      <c r="D65" s="17">
        <f>260257+273270</f>
        <v>533527</v>
      </c>
      <c r="E65" s="10">
        <v>3.7793372E7</v>
      </c>
      <c r="F65" s="19">
        <v>1.9</v>
      </c>
      <c r="G65" s="10">
        <f t="shared" si="1"/>
        <v>718.074068</v>
      </c>
      <c r="H65" s="19">
        <v>1.46</v>
      </c>
      <c r="I65" s="8">
        <f t="shared" si="2"/>
        <v>551.7832312</v>
      </c>
      <c r="J65" s="19">
        <v>2.56</v>
      </c>
      <c r="K65" s="11">
        <f t="shared" si="3"/>
        <v>967.5103232</v>
      </c>
      <c r="L65" s="11">
        <f t="shared" si="13"/>
        <v>134.5900148</v>
      </c>
      <c r="M65" s="11">
        <f t="shared" si="185"/>
        <v>2943.91252</v>
      </c>
      <c r="N65" s="11">
        <f t="shared" si="186"/>
        <v>5161.928802</v>
      </c>
      <c r="O65" s="19">
        <v>6.37</v>
      </c>
      <c r="P65" s="8">
        <f t="shared" ref="P65:P66" si="194">(O65/100000)*E65</f>
        <v>2407.437796</v>
      </c>
      <c r="Q65" s="19">
        <v>4.13</v>
      </c>
      <c r="R65" s="8">
        <f t="shared" ref="R65:R66" si="195">(Q65/100000)*E65</f>
        <v>1560.866264</v>
      </c>
      <c r="S65" s="19">
        <v>9.51</v>
      </c>
      <c r="T65" s="11">
        <f t="shared" ref="T65:T66" si="196">(S65/100000)*E65</f>
        <v>3594.149677</v>
      </c>
      <c r="U65" s="14">
        <f t="shared" si="187"/>
        <v>33.9856699</v>
      </c>
      <c r="V65" s="14">
        <f t="shared" si="188"/>
        <v>22.0346651</v>
      </c>
      <c r="W65" s="14">
        <f t="shared" si="189"/>
        <v>50.7384177</v>
      </c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>
      <c r="A66" s="7" t="s">
        <v>23</v>
      </c>
      <c r="B66" s="16" t="s">
        <v>45</v>
      </c>
      <c r="C66" s="16">
        <v>2021.0</v>
      </c>
      <c r="D66" s="17">
        <f>86258+90752</f>
        <v>177010</v>
      </c>
      <c r="E66" s="18">
        <v>1.2048622E7</v>
      </c>
      <c r="F66" s="19">
        <v>1.93</v>
      </c>
      <c r="G66" s="10">
        <f t="shared" si="1"/>
        <v>232.5384046</v>
      </c>
      <c r="H66" s="19">
        <v>1.48</v>
      </c>
      <c r="I66" s="8">
        <f t="shared" si="2"/>
        <v>178.3196056</v>
      </c>
      <c r="J66" s="19">
        <v>2.58</v>
      </c>
      <c r="K66" s="11">
        <f t="shared" si="3"/>
        <v>310.8544476</v>
      </c>
      <c r="L66" s="11">
        <f t="shared" si="13"/>
        <v>131.3702077</v>
      </c>
      <c r="M66" s="12">
        <f>(I66/D66)*100000</f>
        <v>100.7398484</v>
      </c>
      <c r="N66" s="11">
        <f>(K66/D66)*100000</f>
        <v>175.61406</v>
      </c>
      <c r="O66" s="19">
        <v>6.08</v>
      </c>
      <c r="P66" s="8">
        <f t="shared" si="194"/>
        <v>732.5562176</v>
      </c>
      <c r="Q66" s="19">
        <v>3.96</v>
      </c>
      <c r="R66" s="8">
        <f t="shared" si="195"/>
        <v>477.1254312</v>
      </c>
      <c r="S66" s="19">
        <v>8.91</v>
      </c>
      <c r="T66" s="11">
        <f t="shared" si="196"/>
        <v>1073.53222</v>
      </c>
      <c r="U66" s="11">
        <f>(P66/D66)*100000</f>
        <v>413.8501879</v>
      </c>
      <c r="V66" s="11">
        <f>(R66/D66)*100000</f>
        <v>269.5471619</v>
      </c>
      <c r="W66" s="11">
        <f>(T66/D66)*100000</f>
        <v>606.4811142</v>
      </c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hidden="1">
      <c r="A67" s="7" t="s">
        <v>25</v>
      </c>
      <c r="B67" s="16" t="s">
        <v>45</v>
      </c>
      <c r="C67" s="16">
        <v>2030.0</v>
      </c>
      <c r="D67" s="17">
        <f>71326+74547</f>
        <v>145873</v>
      </c>
      <c r="E67" s="10">
        <v>1.2628142E7</v>
      </c>
      <c r="F67" s="19">
        <v>1.93</v>
      </c>
      <c r="G67" s="10">
        <f t="shared" si="1"/>
        <v>243.7231406</v>
      </c>
      <c r="H67" s="19">
        <v>1.48</v>
      </c>
      <c r="I67" s="8">
        <f t="shared" si="2"/>
        <v>186.8965016</v>
      </c>
      <c r="J67" s="19">
        <v>2.58</v>
      </c>
      <c r="K67" s="11">
        <f t="shared" si="3"/>
        <v>325.8060636</v>
      </c>
      <c r="L67" s="11">
        <f t="shared" si="13"/>
        <v>167.0789938</v>
      </c>
      <c r="M67" s="11">
        <f t="shared" ref="M67:M69" si="197">(I67*D67)/100000</f>
        <v>272.6315338</v>
      </c>
      <c r="N67" s="11">
        <f t="shared" ref="N67:N69" si="198">(K67*D67)/100000</f>
        <v>475.2630792</v>
      </c>
      <c r="O67" s="19">
        <v>6.08</v>
      </c>
      <c r="P67" s="19"/>
      <c r="Q67" s="19">
        <v>3.96</v>
      </c>
      <c r="R67" s="19"/>
      <c r="S67" s="19">
        <v>8.91</v>
      </c>
      <c r="T67" s="14"/>
      <c r="U67" s="14">
        <f t="shared" ref="U67:U69" si="199">(O67*D67)/100000</f>
        <v>8.8690784</v>
      </c>
      <c r="V67" s="14">
        <f t="shared" ref="V67:V69" si="200">(Q67*D67)/100000</f>
        <v>5.7765708</v>
      </c>
      <c r="W67" s="14">
        <f t="shared" ref="W67:W69" si="201">(S67*D67)/100000</f>
        <v>12.9972843</v>
      </c>
      <c r="X67" s="13"/>
      <c r="Y67" s="13"/>
      <c r="Z67" s="13" t="str">
        <f t="shared" ref="Z67:Z68" si="202">ROUND(F67, 0) &amp; " (" &amp; ROUND(H67, 0) &amp; "-" &amp; ROUND(J67, 0) &amp; ")"</f>
        <v>2 (1-3)</v>
      </c>
      <c r="AA67" s="13" t="str">
        <f t="shared" ref="AA67:AA68" si="203">ROUND(L67, 0) &amp; " (" &amp; ROUND(M67, 0) &amp; "-" &amp; ROUND(N67, 0) &amp; ")"</f>
        <v>167 (273-475)</v>
      </c>
      <c r="AB67" s="13" t="str">
        <f t="shared" ref="AB67:AB68" si="204">ROUND(O67, 0) &amp; " (" &amp; ROUND(Q67, 0) &amp; "-" &amp; ROUND(S67, 0) &amp; ")"</f>
        <v>6 (4-9)</v>
      </c>
      <c r="AC67" s="13" t="str">
        <f t="shared" ref="AC67:AC68" si="205">ROUND(U67, 0) &amp; " (" &amp; ROUND(V67, 0) &amp; "-" &amp; ROUND(W67, 0) &amp; ")"</f>
        <v>9 (6-13)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hidden="1">
      <c r="A68" s="7" t="s">
        <v>27</v>
      </c>
      <c r="B68" s="16" t="s">
        <v>45</v>
      </c>
      <c r="C68" s="16">
        <v>2040.0</v>
      </c>
      <c r="D68" s="17">
        <f>72652+75877</f>
        <v>148529</v>
      </c>
      <c r="E68" s="10">
        <v>1.2953864E7</v>
      </c>
      <c r="F68" s="19">
        <v>1.93</v>
      </c>
      <c r="G68" s="10">
        <f t="shared" si="1"/>
        <v>250.0095752</v>
      </c>
      <c r="H68" s="19">
        <v>1.48</v>
      </c>
      <c r="I68" s="8">
        <f t="shared" si="2"/>
        <v>191.7171872</v>
      </c>
      <c r="J68" s="19">
        <v>2.58</v>
      </c>
      <c r="K68" s="11">
        <f t="shared" si="3"/>
        <v>334.2096912</v>
      </c>
      <c r="L68" s="11">
        <f t="shared" si="13"/>
        <v>168.323745</v>
      </c>
      <c r="M68" s="11">
        <f t="shared" si="197"/>
        <v>284.755621</v>
      </c>
      <c r="N68" s="11">
        <f t="shared" si="198"/>
        <v>496.3983122</v>
      </c>
      <c r="O68" s="19">
        <v>6.08</v>
      </c>
      <c r="P68" s="19"/>
      <c r="Q68" s="19">
        <v>3.96</v>
      </c>
      <c r="R68" s="19"/>
      <c r="S68" s="19">
        <v>8.91</v>
      </c>
      <c r="T68" s="14"/>
      <c r="U68" s="14">
        <f t="shared" si="199"/>
        <v>9.0305632</v>
      </c>
      <c r="V68" s="14">
        <f t="shared" si="200"/>
        <v>5.8817484</v>
      </c>
      <c r="W68" s="14">
        <f t="shared" si="201"/>
        <v>13.2339339</v>
      </c>
      <c r="X68" s="13"/>
      <c r="Y68" s="13"/>
      <c r="Z68" s="13" t="str">
        <f t="shared" si="202"/>
        <v>2 (1-3)</v>
      </c>
      <c r="AA68" s="13" t="str">
        <f t="shared" si="203"/>
        <v>168 (285-496)</v>
      </c>
      <c r="AB68" s="13" t="str">
        <f t="shared" si="204"/>
        <v>6 (4-9)</v>
      </c>
      <c r="AC68" s="13" t="str">
        <f t="shared" si="205"/>
        <v>9 (6-13)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hidden="1">
      <c r="A69" s="7" t="s">
        <v>29</v>
      </c>
      <c r="B69" s="16" t="s">
        <v>45</v>
      </c>
      <c r="C69" s="16">
        <v>2050.0</v>
      </c>
      <c r="D69" s="17">
        <f>71659+74896</f>
        <v>146555</v>
      </c>
      <c r="E69" s="10">
        <v>1.3145141E7</v>
      </c>
      <c r="F69" s="19">
        <v>1.93</v>
      </c>
      <c r="G69" s="10">
        <f t="shared" si="1"/>
        <v>253.7012213</v>
      </c>
      <c r="H69" s="19">
        <v>1.48</v>
      </c>
      <c r="I69" s="8">
        <f t="shared" si="2"/>
        <v>194.5480868</v>
      </c>
      <c r="J69" s="19">
        <v>2.58</v>
      </c>
      <c r="K69" s="11">
        <f t="shared" si="3"/>
        <v>339.1446378</v>
      </c>
      <c r="L69" s="11">
        <f t="shared" si="13"/>
        <v>173.109905</v>
      </c>
      <c r="M69" s="11">
        <f t="shared" si="197"/>
        <v>285.1199486</v>
      </c>
      <c r="N69" s="11">
        <f t="shared" si="198"/>
        <v>497.0334239</v>
      </c>
      <c r="O69" s="19">
        <v>6.08</v>
      </c>
      <c r="P69" s="8">
        <f t="shared" ref="P69:P70" si="206">(O69/100000)*E69</f>
        <v>799.2245728</v>
      </c>
      <c r="Q69" s="19">
        <v>3.96</v>
      </c>
      <c r="R69" s="8">
        <f t="shared" ref="R69:R70" si="207">(Q69/100000)*E69</f>
        <v>520.5475836</v>
      </c>
      <c r="S69" s="19">
        <v>8.91</v>
      </c>
      <c r="T69" s="11">
        <f t="shared" ref="T69:T70" si="208">(S69/100000)*E69</f>
        <v>1171.232063</v>
      </c>
      <c r="U69" s="14">
        <f t="shared" si="199"/>
        <v>8.910544</v>
      </c>
      <c r="V69" s="14">
        <f t="shared" si="200"/>
        <v>5.803578</v>
      </c>
      <c r="W69" s="14">
        <f t="shared" si="201"/>
        <v>13.0580505</v>
      </c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>
      <c r="A70" s="7" t="s">
        <v>23</v>
      </c>
      <c r="B70" s="16" t="s">
        <v>46</v>
      </c>
      <c r="C70" s="16">
        <v>2021.0</v>
      </c>
      <c r="D70" s="17">
        <f>568194+592781.5</f>
        <v>1160975.5</v>
      </c>
      <c r="E70" s="18">
        <v>8.4147318E7</v>
      </c>
      <c r="F70" s="19">
        <v>2.03</v>
      </c>
      <c r="G70" s="10">
        <f t="shared" si="1"/>
        <v>1708.190555</v>
      </c>
      <c r="H70" s="19">
        <v>1.66</v>
      </c>
      <c r="I70" s="8">
        <f t="shared" si="2"/>
        <v>1396.845479</v>
      </c>
      <c r="J70" s="19">
        <v>3.07</v>
      </c>
      <c r="K70" s="11">
        <f t="shared" si="3"/>
        <v>2583.322663</v>
      </c>
      <c r="L70" s="11">
        <f t="shared" si="13"/>
        <v>147.1340744</v>
      </c>
      <c r="M70" s="12">
        <f>(I70/D70)*100000</f>
        <v>120.3165337</v>
      </c>
      <c r="N70" s="11">
        <f>(K70/D70)*100000</f>
        <v>222.5131075</v>
      </c>
      <c r="O70" s="19">
        <v>5.39</v>
      </c>
      <c r="P70" s="8">
        <f t="shared" si="206"/>
        <v>4535.54044</v>
      </c>
      <c r="Q70" s="19">
        <v>3.78</v>
      </c>
      <c r="R70" s="8">
        <f t="shared" si="207"/>
        <v>3180.76862</v>
      </c>
      <c r="S70" s="19">
        <v>7.64</v>
      </c>
      <c r="T70" s="11">
        <f t="shared" si="208"/>
        <v>6428.855095</v>
      </c>
      <c r="U70" s="11">
        <f>(P70/D70)*100000</f>
        <v>390.6663354</v>
      </c>
      <c r="V70" s="11">
        <f>(R70/D70)*100000</f>
        <v>273.9737936</v>
      </c>
      <c r="W70" s="11">
        <f>(T70/D70)*100000</f>
        <v>553.7459744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hidden="1">
      <c r="A71" s="7" t="s">
        <v>25</v>
      </c>
      <c r="B71" s="16" t="s">
        <v>46</v>
      </c>
      <c r="C71" s="16">
        <v>2030.0</v>
      </c>
      <c r="D71" s="17">
        <f>490176+513619</f>
        <v>1003795</v>
      </c>
      <c r="E71" s="10">
        <v>8.7060008E7</v>
      </c>
      <c r="F71" s="19">
        <v>2.03</v>
      </c>
      <c r="G71" s="10">
        <f t="shared" si="1"/>
        <v>1767.318162</v>
      </c>
      <c r="H71" s="19">
        <v>1.66</v>
      </c>
      <c r="I71" s="8">
        <f t="shared" si="2"/>
        <v>1445.196133</v>
      </c>
      <c r="J71" s="19">
        <v>3.07</v>
      </c>
      <c r="K71" s="11">
        <f t="shared" si="3"/>
        <v>2672.742246</v>
      </c>
      <c r="L71" s="11">
        <f t="shared" si="13"/>
        <v>176.0636547</v>
      </c>
      <c r="M71" s="11">
        <f t="shared" ref="M71:M73" si="209">(I71*D71)/100000</f>
        <v>14506.80652</v>
      </c>
      <c r="N71" s="11">
        <f t="shared" ref="N71:N73" si="210">(K71*D71)/100000</f>
        <v>26828.85302</v>
      </c>
      <c r="O71" s="19">
        <v>5.39</v>
      </c>
      <c r="P71" s="19"/>
      <c r="Q71" s="19">
        <v>3.78</v>
      </c>
      <c r="R71" s="19"/>
      <c r="S71" s="19">
        <v>7.64</v>
      </c>
      <c r="T71" s="14"/>
      <c r="U71" s="14">
        <f t="shared" ref="U71:U73" si="211">(O71*D71)/100000</f>
        <v>54.1045505</v>
      </c>
      <c r="V71" s="14">
        <f t="shared" ref="V71:V73" si="212">(Q71*D71)/100000</f>
        <v>37.943451</v>
      </c>
      <c r="W71" s="14">
        <f t="shared" ref="W71:W73" si="213">(S71*D71)/100000</f>
        <v>76.689938</v>
      </c>
      <c r="X71" s="13"/>
      <c r="Y71" s="13"/>
      <c r="Z71" s="13" t="str">
        <f t="shared" ref="Z71:Z72" si="214">ROUND(F71, 0) &amp; " (" &amp; ROUND(H71, 0) &amp; "-" &amp; ROUND(J71, 0) &amp; ")"</f>
        <v>2 (2-3)</v>
      </c>
      <c r="AA71" s="13" t="str">
        <f t="shared" ref="AA71:AA72" si="215">ROUND(L71, 0) &amp; " (" &amp; ROUND(M71, 0) &amp; "-" &amp; ROUND(N71, 0) &amp; ")"</f>
        <v>176 (14507-26829)</v>
      </c>
      <c r="AB71" s="13" t="str">
        <f t="shared" ref="AB71:AB72" si="216">ROUND(O71, 0) &amp; " (" &amp; ROUND(Q71, 0) &amp; "-" &amp; ROUND(S71, 0) &amp; ")"</f>
        <v>5 (4-8)</v>
      </c>
      <c r="AC71" s="13" t="str">
        <f t="shared" ref="AC71:AC72" si="217">ROUND(U71, 0) &amp; " (" &amp; ROUND(V71, 0) &amp; "-" &amp; ROUND(W71, 0) &amp; ")"</f>
        <v>54 (38-77)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hidden="1">
      <c r="A72" s="7" t="s">
        <v>27</v>
      </c>
      <c r="B72" s="16" t="s">
        <v>46</v>
      </c>
      <c r="C72" s="16">
        <v>2040.0</v>
      </c>
      <c r="D72" s="17">
        <f>457839+479622</f>
        <v>937461</v>
      </c>
      <c r="E72" s="10">
        <v>8.8876672E7</v>
      </c>
      <c r="F72" s="19">
        <v>2.03</v>
      </c>
      <c r="G72" s="10">
        <f t="shared" si="1"/>
        <v>1804.196442</v>
      </c>
      <c r="H72" s="19">
        <v>1.66</v>
      </c>
      <c r="I72" s="8">
        <f t="shared" si="2"/>
        <v>1475.352755</v>
      </c>
      <c r="J72" s="19">
        <v>3.07</v>
      </c>
      <c r="K72" s="11">
        <f t="shared" si="3"/>
        <v>2728.51383</v>
      </c>
      <c r="L72" s="11">
        <f t="shared" si="13"/>
        <v>192.4556266</v>
      </c>
      <c r="M72" s="11">
        <f t="shared" si="209"/>
        <v>13830.85669</v>
      </c>
      <c r="N72" s="11">
        <f t="shared" si="210"/>
        <v>25578.75304</v>
      </c>
      <c r="O72" s="19">
        <v>5.39</v>
      </c>
      <c r="P72" s="19"/>
      <c r="Q72" s="19">
        <v>3.78</v>
      </c>
      <c r="R72" s="19"/>
      <c r="S72" s="19">
        <v>7.64</v>
      </c>
      <c r="T72" s="14"/>
      <c r="U72" s="14">
        <f t="shared" si="211"/>
        <v>50.5291479</v>
      </c>
      <c r="V72" s="14">
        <f t="shared" si="212"/>
        <v>35.4360258</v>
      </c>
      <c r="W72" s="14">
        <f t="shared" si="213"/>
        <v>71.6220204</v>
      </c>
      <c r="X72" s="13"/>
      <c r="Y72" s="13"/>
      <c r="Z72" s="13" t="str">
        <f t="shared" si="214"/>
        <v>2 (2-3)</v>
      </c>
      <c r="AA72" s="13" t="str">
        <f t="shared" si="215"/>
        <v>192 (13831-25579)</v>
      </c>
      <c r="AB72" s="13" t="str">
        <f t="shared" si="216"/>
        <v>5 (4-8)</v>
      </c>
      <c r="AC72" s="13" t="str">
        <f t="shared" si="217"/>
        <v>51 (35-72)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hidden="1">
      <c r="A73" s="7" t="s">
        <v>29</v>
      </c>
      <c r="B73" s="16" t="s">
        <v>46</v>
      </c>
      <c r="C73" s="16">
        <v>2050.0</v>
      </c>
      <c r="D73" s="17">
        <f>415696+435490</f>
        <v>851186</v>
      </c>
      <c r="E73" s="10">
        <v>8.8959016E7</v>
      </c>
      <c r="F73" s="19">
        <v>2.03</v>
      </c>
      <c r="G73" s="10">
        <f t="shared" si="1"/>
        <v>1805.868025</v>
      </c>
      <c r="H73" s="19">
        <v>1.66</v>
      </c>
      <c r="I73" s="8">
        <f t="shared" si="2"/>
        <v>1476.719666</v>
      </c>
      <c r="J73" s="19">
        <v>3.07</v>
      </c>
      <c r="K73" s="11">
        <f t="shared" si="3"/>
        <v>2731.041791</v>
      </c>
      <c r="L73" s="11">
        <f t="shared" si="13"/>
        <v>212.1590375</v>
      </c>
      <c r="M73" s="11">
        <f t="shared" si="209"/>
        <v>12569.63105</v>
      </c>
      <c r="N73" s="11">
        <f t="shared" si="210"/>
        <v>23246.24538</v>
      </c>
      <c r="O73" s="19">
        <v>5.39</v>
      </c>
      <c r="P73" s="8">
        <f t="shared" ref="P73:P74" si="218">(O73/100000)*E73</f>
        <v>4794.890962</v>
      </c>
      <c r="Q73" s="19">
        <v>3.78</v>
      </c>
      <c r="R73" s="8">
        <f t="shared" ref="R73:R74" si="219">(Q73/100000)*E73</f>
        <v>3362.650805</v>
      </c>
      <c r="S73" s="19">
        <v>7.64</v>
      </c>
      <c r="T73" s="11">
        <f t="shared" ref="T73:T74" si="220">(S73/100000)*E73</f>
        <v>6796.468822</v>
      </c>
      <c r="U73" s="14">
        <f t="shared" si="211"/>
        <v>45.8789254</v>
      </c>
      <c r="V73" s="14">
        <f t="shared" si="212"/>
        <v>32.1748308</v>
      </c>
      <c r="W73" s="14">
        <f t="shared" si="213"/>
        <v>65.0306104</v>
      </c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>
      <c r="A74" s="7" t="s">
        <v>23</v>
      </c>
      <c r="B74" s="16" t="s">
        <v>47</v>
      </c>
      <c r="C74" s="16">
        <v>2021.0</v>
      </c>
      <c r="D74" s="17">
        <f>50428.5+52755.5</f>
        <v>103184</v>
      </c>
      <c r="E74" s="18">
        <v>9575152.0</v>
      </c>
      <c r="F74" s="19">
        <v>1.0</v>
      </c>
      <c r="G74" s="10">
        <f t="shared" si="1"/>
        <v>95.75152</v>
      </c>
      <c r="H74" s="19">
        <v>0.71</v>
      </c>
      <c r="I74" s="8">
        <f t="shared" si="2"/>
        <v>67.9835792</v>
      </c>
      <c r="J74" s="19">
        <v>1.46</v>
      </c>
      <c r="K74" s="11">
        <f t="shared" si="3"/>
        <v>139.7972192</v>
      </c>
      <c r="L74" s="11">
        <f t="shared" si="13"/>
        <v>92.79686773</v>
      </c>
      <c r="M74" s="12">
        <f>(I74/D74)*100000</f>
        <v>65.88577609</v>
      </c>
      <c r="N74" s="11">
        <f>(K74/D74)*100000</f>
        <v>135.4834269</v>
      </c>
      <c r="O74" s="19">
        <v>3.96</v>
      </c>
      <c r="P74" s="8">
        <f t="shared" si="218"/>
        <v>379.1760192</v>
      </c>
      <c r="Q74" s="19">
        <v>2.41</v>
      </c>
      <c r="R74" s="8">
        <f t="shared" si="219"/>
        <v>230.7611632</v>
      </c>
      <c r="S74" s="19">
        <v>6.18</v>
      </c>
      <c r="T74" s="11">
        <f t="shared" si="220"/>
        <v>591.7443936</v>
      </c>
      <c r="U74" s="11">
        <f>(P74/D74)*100000</f>
        <v>367.4755962</v>
      </c>
      <c r="V74" s="11">
        <f>(R74/D74)*100000</f>
        <v>223.6404512</v>
      </c>
      <c r="W74" s="11">
        <f>(T74/D74)*100000</f>
        <v>573.4846426</v>
      </c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hidden="1">
      <c r="A75" s="7" t="s">
        <v>25</v>
      </c>
      <c r="B75" s="16" t="s">
        <v>47</v>
      </c>
      <c r="C75" s="16">
        <v>2030.0</v>
      </c>
      <c r="D75" s="17">
        <f>68352+70233</f>
        <v>138585</v>
      </c>
      <c r="E75" s="10">
        <v>1.1883689E7</v>
      </c>
      <c r="F75" s="19">
        <v>1.0</v>
      </c>
      <c r="G75" s="10">
        <f t="shared" si="1"/>
        <v>118.83689</v>
      </c>
      <c r="H75" s="19">
        <v>0.71</v>
      </c>
      <c r="I75" s="8">
        <f t="shared" si="2"/>
        <v>84.3741919</v>
      </c>
      <c r="J75" s="19">
        <v>1.46</v>
      </c>
      <c r="K75" s="11">
        <f t="shared" si="3"/>
        <v>173.5018594</v>
      </c>
      <c r="L75" s="11">
        <f t="shared" si="13"/>
        <v>85.7501822</v>
      </c>
      <c r="M75" s="11">
        <f t="shared" ref="M75:M77" si="221">(I75*D75)/100000</f>
        <v>116.9299738</v>
      </c>
      <c r="N75" s="11">
        <f t="shared" ref="N75:N77" si="222">(K75*D75)/100000</f>
        <v>240.4475518</v>
      </c>
      <c r="O75" s="19">
        <v>3.96</v>
      </c>
      <c r="P75" s="19"/>
      <c r="Q75" s="19">
        <v>2.41</v>
      </c>
      <c r="R75" s="19"/>
      <c r="S75" s="19">
        <v>6.18</v>
      </c>
      <c r="T75" s="14"/>
      <c r="U75" s="14">
        <f t="shared" ref="U75:U77" si="223">(O75*D75)/100000</f>
        <v>5.487966</v>
      </c>
      <c r="V75" s="14">
        <f t="shared" ref="V75:V77" si="224">(Q75*D75)/100000</f>
        <v>3.3398985</v>
      </c>
      <c r="W75" s="14">
        <f t="shared" ref="W75:W77" si="225">(S75*D75)/100000</f>
        <v>8.564553</v>
      </c>
      <c r="X75" s="13"/>
      <c r="Y75" s="13"/>
      <c r="Z75" s="13" t="str">
        <f t="shared" ref="Z75:Z76" si="226">ROUND(F75, 0) &amp; " (" &amp; ROUND(H75, 0) &amp; "-" &amp; ROUND(J75, 0) &amp; ")"</f>
        <v>1 (1-1)</v>
      </c>
      <c r="AA75" s="13" t="str">
        <f t="shared" ref="AA75:AA76" si="227">ROUND(L75, 0) &amp; " (" &amp; ROUND(M75, 0) &amp; "-" &amp; ROUND(N75, 0) &amp; ")"</f>
        <v>86 (117-240)</v>
      </c>
      <c r="AB75" s="13" t="str">
        <f t="shared" ref="AB75:AB76" si="228">ROUND(O75, 0) &amp; " (" &amp; ROUND(Q75, 0) &amp; "-" &amp; ROUND(S75, 0) &amp; ")"</f>
        <v>4 (2-6)</v>
      </c>
      <c r="AC75" s="13" t="str">
        <f t="shared" ref="AC75:AC76" si="229">ROUND(U75, 0) &amp; " (" &amp; ROUND(V75, 0) &amp; "-" &amp; ROUND(W75, 0) &amp; ")"</f>
        <v>5 (3-9)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hidden="1">
      <c r="A76" s="7" t="s">
        <v>27</v>
      </c>
      <c r="B76" s="16" t="s">
        <v>47</v>
      </c>
      <c r="C76" s="16">
        <v>2040.0</v>
      </c>
      <c r="D76" s="17">
        <f>82150+84480</f>
        <v>166630</v>
      </c>
      <c r="E76" s="10">
        <v>1.3348741E7</v>
      </c>
      <c r="F76" s="19">
        <v>1.0</v>
      </c>
      <c r="G76" s="10">
        <f t="shared" si="1"/>
        <v>133.48741</v>
      </c>
      <c r="H76" s="19">
        <v>0.71</v>
      </c>
      <c r="I76" s="8">
        <f t="shared" si="2"/>
        <v>94.7760611</v>
      </c>
      <c r="J76" s="19">
        <v>1.46</v>
      </c>
      <c r="K76" s="11">
        <f t="shared" si="3"/>
        <v>194.8916186</v>
      </c>
      <c r="L76" s="11">
        <f t="shared" si="13"/>
        <v>80.11007022</v>
      </c>
      <c r="M76" s="11">
        <f t="shared" si="221"/>
        <v>157.9253506</v>
      </c>
      <c r="N76" s="11">
        <f t="shared" si="222"/>
        <v>324.7479041</v>
      </c>
      <c r="O76" s="19">
        <v>3.96</v>
      </c>
      <c r="P76" s="19"/>
      <c r="Q76" s="19">
        <v>2.41</v>
      </c>
      <c r="R76" s="19"/>
      <c r="S76" s="19">
        <v>6.18</v>
      </c>
      <c r="T76" s="14"/>
      <c r="U76" s="14">
        <f t="shared" si="223"/>
        <v>6.598548</v>
      </c>
      <c r="V76" s="14">
        <f t="shared" si="224"/>
        <v>4.015783</v>
      </c>
      <c r="W76" s="14">
        <f t="shared" si="225"/>
        <v>10.297734</v>
      </c>
      <c r="X76" s="13"/>
      <c r="Y76" s="13"/>
      <c r="Z76" s="13" t="str">
        <f t="shared" si="226"/>
        <v>1 (1-1)</v>
      </c>
      <c r="AA76" s="13" t="str">
        <f t="shared" si="227"/>
        <v>80 (158-325)</v>
      </c>
      <c r="AB76" s="13" t="str">
        <f t="shared" si="228"/>
        <v>4 (2-6)</v>
      </c>
      <c r="AC76" s="13" t="str">
        <f t="shared" si="229"/>
        <v>7 (4-10)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hidden="1">
      <c r="A77" s="7" t="s">
        <v>29</v>
      </c>
      <c r="B77" s="16" t="s">
        <v>47</v>
      </c>
      <c r="C77" s="16">
        <v>2050.0</v>
      </c>
      <c r="D77" s="17">
        <f>88542+90990</f>
        <v>179532</v>
      </c>
      <c r="E77" s="10">
        <v>1.498978E7</v>
      </c>
      <c r="F77" s="19">
        <v>1.0</v>
      </c>
      <c r="G77" s="10">
        <f t="shared" si="1"/>
        <v>149.8978</v>
      </c>
      <c r="H77" s="19">
        <v>0.71</v>
      </c>
      <c r="I77" s="8">
        <f t="shared" si="2"/>
        <v>106.427438</v>
      </c>
      <c r="J77" s="19">
        <v>1.46</v>
      </c>
      <c r="K77" s="11">
        <f t="shared" si="3"/>
        <v>218.850788</v>
      </c>
      <c r="L77" s="11">
        <f t="shared" si="13"/>
        <v>83.49363902</v>
      </c>
      <c r="M77" s="11">
        <f t="shared" si="221"/>
        <v>191.071308</v>
      </c>
      <c r="N77" s="11">
        <f t="shared" si="222"/>
        <v>392.9071967</v>
      </c>
      <c r="O77" s="19">
        <v>3.96</v>
      </c>
      <c r="P77" s="8">
        <f t="shared" ref="P77:P78" si="230">(O77/100000)*E77</f>
        <v>593.595288</v>
      </c>
      <c r="Q77" s="19">
        <v>2.41</v>
      </c>
      <c r="R77" s="8">
        <f t="shared" ref="R77:R78" si="231">(Q77/100000)*E77</f>
        <v>361.253698</v>
      </c>
      <c r="S77" s="19">
        <v>6.18</v>
      </c>
      <c r="T77" s="11">
        <f t="shared" ref="T77:T78" si="232">(S77/100000)*E77</f>
        <v>926.368404</v>
      </c>
      <c r="U77" s="14">
        <f t="shared" si="223"/>
        <v>7.1094672</v>
      </c>
      <c r="V77" s="14">
        <f t="shared" si="224"/>
        <v>4.3267212</v>
      </c>
      <c r="W77" s="14">
        <f t="shared" si="225"/>
        <v>11.0950776</v>
      </c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>
      <c r="A78" s="7" t="s">
        <v>23</v>
      </c>
      <c r="B78" s="16" t="s">
        <v>48</v>
      </c>
      <c r="C78" s="16">
        <v>2021.0</v>
      </c>
      <c r="D78" s="17">
        <f>619143.5+651971.5</f>
        <v>1271115</v>
      </c>
      <c r="E78" s="18">
        <v>3.714023E7</v>
      </c>
      <c r="F78" s="19">
        <v>4.06</v>
      </c>
      <c r="G78" s="10">
        <f t="shared" si="1"/>
        <v>1507.893338</v>
      </c>
      <c r="H78" s="19">
        <v>3.12</v>
      </c>
      <c r="I78" s="8">
        <f t="shared" si="2"/>
        <v>1158.775176</v>
      </c>
      <c r="J78" s="19">
        <v>5.31</v>
      </c>
      <c r="K78" s="11">
        <f t="shared" si="3"/>
        <v>1972.146213</v>
      </c>
      <c r="L78" s="11">
        <f t="shared" si="13"/>
        <v>118.6276095</v>
      </c>
      <c r="M78" s="12">
        <f>(I78/D78)*100000</f>
        <v>91.16210382</v>
      </c>
      <c r="N78" s="11">
        <f>(K78/D78)*100000</f>
        <v>155.1508882</v>
      </c>
      <c r="O78" s="19">
        <v>25.37</v>
      </c>
      <c r="P78" s="8">
        <f t="shared" si="230"/>
        <v>9422.476351</v>
      </c>
      <c r="Q78" s="19">
        <v>8.87</v>
      </c>
      <c r="R78" s="8">
        <f t="shared" si="231"/>
        <v>3294.338401</v>
      </c>
      <c r="S78" s="19">
        <v>89.1</v>
      </c>
      <c r="T78" s="11">
        <f t="shared" si="232"/>
        <v>33091.94493</v>
      </c>
      <c r="U78" s="11">
        <f>(P78/D78)*100000</f>
        <v>741.276466</v>
      </c>
      <c r="V78" s="11">
        <f>(R78/D78)*100000</f>
        <v>259.1691862</v>
      </c>
      <c r="W78" s="11">
        <f>(T78/D78)*100000</f>
        <v>2603.379311</v>
      </c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hidden="1">
      <c r="A79" s="7" t="s">
        <v>25</v>
      </c>
      <c r="B79" s="16" t="s">
        <v>48</v>
      </c>
      <c r="C79" s="16">
        <v>2030.0</v>
      </c>
      <c r="D79" s="17">
        <f>670735+705800</f>
        <v>1376535</v>
      </c>
      <c r="E79" s="10">
        <v>4.7667662E7</v>
      </c>
      <c r="F79" s="19">
        <v>4.06</v>
      </c>
      <c r="G79" s="10">
        <f t="shared" si="1"/>
        <v>1935.307077</v>
      </c>
      <c r="H79" s="19">
        <v>3.12</v>
      </c>
      <c r="I79" s="8">
        <f t="shared" si="2"/>
        <v>1487.231054</v>
      </c>
      <c r="J79" s="19">
        <v>5.31</v>
      </c>
      <c r="K79" s="11">
        <f t="shared" si="3"/>
        <v>2531.152852</v>
      </c>
      <c r="L79" s="11">
        <f t="shared" si="13"/>
        <v>140.5926531</v>
      </c>
      <c r="M79" s="11">
        <f t="shared" ref="M79:M81" si="233">(I79*D79)/100000</f>
        <v>20472.25599</v>
      </c>
      <c r="N79" s="11">
        <f t="shared" ref="N79:N81" si="234">(K79*D79)/100000</f>
        <v>34842.20491</v>
      </c>
      <c r="O79" s="19">
        <v>25.37</v>
      </c>
      <c r="P79" s="19"/>
      <c r="Q79" s="19">
        <v>8.87</v>
      </c>
      <c r="R79" s="19"/>
      <c r="S79" s="19">
        <v>89.1</v>
      </c>
      <c r="T79" s="14"/>
      <c r="U79" s="14">
        <f t="shared" ref="U79:U81" si="235">(O79*D79)/100000</f>
        <v>349.2269295</v>
      </c>
      <c r="V79" s="14">
        <f t="shared" ref="V79:V81" si="236">(Q79*D79)/100000</f>
        <v>122.0986545</v>
      </c>
      <c r="W79" s="14">
        <f t="shared" ref="W79:W81" si="237">(S79*D79)/100000</f>
        <v>1226.492685</v>
      </c>
      <c r="X79" s="13"/>
      <c r="Y79" s="13"/>
      <c r="Z79" s="13" t="str">
        <f t="shared" ref="Z79:Z80" si="238">ROUND(F79, 0) &amp; " (" &amp; ROUND(H79, 0) &amp; "-" &amp; ROUND(J79, 0) &amp; ")"</f>
        <v>4 (3-5)</v>
      </c>
      <c r="AA79" s="13" t="str">
        <f t="shared" ref="AA79:AA80" si="239">ROUND(L79, 0) &amp; " (" &amp; ROUND(M79, 0) &amp; "-" &amp; ROUND(N79, 0) &amp; ")"</f>
        <v>141 (20472-34842)</v>
      </c>
      <c r="AB79" s="13" t="str">
        <f t="shared" ref="AB79:AB80" si="240">ROUND(O79, 0) &amp; " (" &amp; ROUND(Q79, 0) &amp; "-" &amp; ROUND(S79, 0) &amp; ")"</f>
        <v>25 (9-89)</v>
      </c>
      <c r="AC79" s="13" t="str">
        <f t="shared" ref="AC79:AC80" si="241">ROUND(U79, 0) &amp; " (" &amp; ROUND(V79, 0) &amp; "-" &amp; ROUND(W79, 0) &amp; ")"</f>
        <v>349 (122-1226)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hidden="1">
      <c r="A80" s="7" t="s">
        <v>27</v>
      </c>
      <c r="B80" s="16" t="s">
        <v>48</v>
      </c>
      <c r="C80" s="16">
        <v>2040.0</v>
      </c>
      <c r="D80" s="17">
        <f>704209+740564</f>
        <v>1444773</v>
      </c>
      <c r="E80" s="10">
        <v>5.9181526E7</v>
      </c>
      <c r="F80" s="19">
        <v>4.06</v>
      </c>
      <c r="G80" s="10">
        <f t="shared" si="1"/>
        <v>2402.769956</v>
      </c>
      <c r="H80" s="19">
        <v>3.12</v>
      </c>
      <c r="I80" s="8">
        <f t="shared" si="2"/>
        <v>1846.463611</v>
      </c>
      <c r="J80" s="19">
        <v>5.31</v>
      </c>
      <c r="K80" s="11">
        <f t="shared" si="3"/>
        <v>3142.539031</v>
      </c>
      <c r="L80" s="11">
        <f t="shared" si="13"/>
        <v>166.3077837</v>
      </c>
      <c r="M80" s="11">
        <f t="shared" si="233"/>
        <v>26677.20771</v>
      </c>
      <c r="N80" s="11">
        <f t="shared" si="234"/>
        <v>45402.55543</v>
      </c>
      <c r="O80" s="19">
        <v>25.37</v>
      </c>
      <c r="P80" s="19"/>
      <c r="Q80" s="19">
        <v>8.87</v>
      </c>
      <c r="R80" s="19"/>
      <c r="S80" s="19">
        <v>89.1</v>
      </c>
      <c r="T80" s="14"/>
      <c r="U80" s="14">
        <f t="shared" si="235"/>
        <v>366.5389101</v>
      </c>
      <c r="V80" s="14">
        <f t="shared" si="236"/>
        <v>128.1513651</v>
      </c>
      <c r="W80" s="14">
        <f t="shared" si="237"/>
        <v>1287.292743</v>
      </c>
      <c r="X80" s="13"/>
      <c r="Y80" s="13"/>
      <c r="Z80" s="13" t="str">
        <f t="shared" si="238"/>
        <v>4 (3-5)</v>
      </c>
      <c r="AA80" s="13" t="str">
        <f t="shared" si="239"/>
        <v>166 (26677-45403)</v>
      </c>
      <c r="AB80" s="13" t="str">
        <f t="shared" si="240"/>
        <v>25 (9-89)</v>
      </c>
      <c r="AC80" s="13" t="str">
        <f t="shared" si="241"/>
        <v>367 (128-1287)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hidden="1">
      <c r="A81" s="7" t="s">
        <v>29</v>
      </c>
      <c r="B81" s="16" t="s">
        <v>48</v>
      </c>
      <c r="C81" s="16">
        <v>2050.0</v>
      </c>
      <c r="D81" s="17">
        <f>762677+801902</f>
        <v>1564579</v>
      </c>
      <c r="E81" s="10">
        <v>7.0976403E7</v>
      </c>
      <c r="F81" s="19">
        <v>4.06</v>
      </c>
      <c r="G81" s="10">
        <f t="shared" si="1"/>
        <v>2881.641962</v>
      </c>
      <c r="H81" s="19">
        <v>3.12</v>
      </c>
      <c r="I81" s="8">
        <f t="shared" si="2"/>
        <v>2214.463774</v>
      </c>
      <c r="J81" s="19">
        <v>5.31</v>
      </c>
      <c r="K81" s="11">
        <f t="shared" si="3"/>
        <v>3768.846999</v>
      </c>
      <c r="L81" s="11">
        <f t="shared" si="13"/>
        <v>184.180023</v>
      </c>
      <c r="M81" s="11">
        <f t="shared" si="233"/>
        <v>34647.03516</v>
      </c>
      <c r="N81" s="11">
        <f t="shared" si="234"/>
        <v>58966.58869</v>
      </c>
      <c r="O81" s="19">
        <v>25.37</v>
      </c>
      <c r="P81" s="8">
        <f t="shared" ref="P81:P82" si="242">(O81/100000)*E81</f>
        <v>18006.71344</v>
      </c>
      <c r="Q81" s="19">
        <v>8.87</v>
      </c>
      <c r="R81" s="8">
        <f t="shared" ref="R81:R82" si="243">(Q81/100000)*E81</f>
        <v>6295.606946</v>
      </c>
      <c r="S81" s="19">
        <v>89.1</v>
      </c>
      <c r="T81" s="11">
        <f t="shared" ref="T81:T82" si="244">(S81/100000)*E81</f>
        <v>63239.97507</v>
      </c>
      <c r="U81" s="14">
        <f t="shared" si="235"/>
        <v>396.9336923</v>
      </c>
      <c r="V81" s="14">
        <f t="shared" si="236"/>
        <v>138.7781573</v>
      </c>
      <c r="W81" s="14">
        <f t="shared" si="237"/>
        <v>1394.039889</v>
      </c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>
      <c r="A82" s="7" t="s">
        <v>23</v>
      </c>
      <c r="B82" s="16" t="s">
        <v>49</v>
      </c>
      <c r="C82" s="16">
        <v>2021.0</v>
      </c>
      <c r="D82" s="17">
        <f>1631615+1712434.5</f>
        <v>3344049.5</v>
      </c>
      <c r="E82" s="18">
        <v>1.67658854E8</v>
      </c>
      <c r="F82" s="19">
        <v>3.92</v>
      </c>
      <c r="G82" s="10">
        <f t="shared" si="1"/>
        <v>6572.227077</v>
      </c>
      <c r="H82" s="19">
        <v>2.73</v>
      </c>
      <c r="I82" s="8">
        <f t="shared" si="2"/>
        <v>4577.086714</v>
      </c>
      <c r="J82" s="19">
        <v>5.39</v>
      </c>
      <c r="K82" s="11">
        <f t="shared" si="3"/>
        <v>9036.812231</v>
      </c>
      <c r="L82" s="11">
        <f t="shared" si="13"/>
        <v>196.5349818</v>
      </c>
      <c r="M82" s="12">
        <f>(I82/D82)*100000</f>
        <v>136.8725766</v>
      </c>
      <c r="N82" s="11">
        <f>(K82/D82)*100000</f>
        <v>270.2356</v>
      </c>
      <c r="O82" s="19">
        <v>7.97</v>
      </c>
      <c r="P82" s="8">
        <f t="shared" si="242"/>
        <v>13362.41066</v>
      </c>
      <c r="Q82" s="19">
        <v>4.98</v>
      </c>
      <c r="R82" s="8">
        <f t="shared" si="243"/>
        <v>8349.410929</v>
      </c>
      <c r="S82" s="19">
        <v>12.4</v>
      </c>
      <c r="T82" s="11">
        <f t="shared" si="244"/>
        <v>20789.6979</v>
      </c>
      <c r="U82" s="11">
        <f>(P82/D82)*100000</f>
        <v>399.5877054</v>
      </c>
      <c r="V82" s="11">
        <f>(R82/D82)*100000</f>
        <v>249.6796453</v>
      </c>
      <c r="W82" s="11">
        <f>(T82/D82)*100000</f>
        <v>621.6922894</v>
      </c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hidden="1">
      <c r="A83" s="7" t="s">
        <v>25</v>
      </c>
      <c r="B83" s="16" t="s">
        <v>49</v>
      </c>
      <c r="C83" s="16">
        <v>2030.0</v>
      </c>
      <c r="D83" s="17">
        <f>1580072+1653959</f>
        <v>3234031</v>
      </c>
      <c r="E83" s="10">
        <v>1.86072407E8</v>
      </c>
      <c r="F83" s="19">
        <v>3.92</v>
      </c>
      <c r="G83" s="10">
        <f t="shared" si="1"/>
        <v>7294.038354</v>
      </c>
      <c r="H83" s="19">
        <v>2.73</v>
      </c>
      <c r="I83" s="8">
        <f t="shared" si="2"/>
        <v>5079.776711</v>
      </c>
      <c r="J83" s="19">
        <v>5.39</v>
      </c>
      <c r="K83" s="11">
        <f t="shared" si="3"/>
        <v>10029.30274</v>
      </c>
      <c r="L83" s="11">
        <f t="shared" si="13"/>
        <v>225.5401496</v>
      </c>
      <c r="M83" s="11">
        <f t="shared" ref="M83:M85" si="245">(I83*D83)/100000</f>
        <v>164281.5536</v>
      </c>
      <c r="N83" s="11">
        <f t="shared" ref="N83:N85" si="246">(K83*D83)/100000</f>
        <v>324350.7596</v>
      </c>
      <c r="O83" s="19">
        <v>7.97</v>
      </c>
      <c r="P83" s="19"/>
      <c r="Q83" s="19">
        <v>4.98</v>
      </c>
      <c r="R83" s="19"/>
      <c r="S83" s="19">
        <v>12.4</v>
      </c>
      <c r="T83" s="14"/>
      <c r="U83" s="14">
        <f t="shared" ref="U83:U85" si="247">(O83*D83)/100000</f>
        <v>257.7522707</v>
      </c>
      <c r="V83" s="14">
        <f t="shared" ref="V83:V85" si="248">(Q83*D83)/100000</f>
        <v>161.0547438</v>
      </c>
      <c r="W83" s="14">
        <f t="shared" ref="W83:W85" si="249">(S83*D83)/100000</f>
        <v>401.019844</v>
      </c>
      <c r="X83" s="13"/>
      <c r="Y83" s="13"/>
      <c r="Z83" s="13" t="str">
        <f t="shared" ref="Z83:Z84" si="250">ROUND(F83, 0) &amp; " (" &amp; ROUND(H83, 0) &amp; "-" &amp; ROUND(J83, 0) &amp; ")"</f>
        <v>4 (3-5)</v>
      </c>
      <c r="AA83" s="13" t="str">
        <f t="shared" ref="AA83:AA84" si="251">ROUND(L83, 0) &amp; " (" &amp; ROUND(M83, 0) &amp; "-" &amp; ROUND(N83, 0) &amp; ")"</f>
        <v>226 (164282-324351)</v>
      </c>
      <c r="AB83" s="13" t="str">
        <f t="shared" ref="AB83:AB84" si="252">ROUND(O83, 0) &amp; " (" &amp; ROUND(Q83, 0) &amp; "-" &amp; ROUND(S83, 0) &amp; ")"</f>
        <v>8 (5-12)</v>
      </c>
      <c r="AC83" s="13" t="str">
        <f t="shared" ref="AC83:AC84" si="253">ROUND(U83, 0) &amp; " (" &amp; ROUND(V83, 0) &amp; "-" &amp; ROUND(W83, 0) &amp; ")"</f>
        <v>258 (161-401)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hidden="1">
      <c r="A84" s="7" t="s">
        <v>27</v>
      </c>
      <c r="B84" s="16" t="s">
        <v>49</v>
      </c>
      <c r="C84" s="16">
        <v>2040.0</v>
      </c>
      <c r="D84" s="17">
        <f>1383470+1447859</f>
        <v>2831329</v>
      </c>
      <c r="E84" s="10">
        <v>2.02589429E8</v>
      </c>
      <c r="F84" s="19">
        <v>3.92</v>
      </c>
      <c r="G84" s="10">
        <f t="shared" si="1"/>
        <v>7941.505617</v>
      </c>
      <c r="H84" s="19">
        <v>2.73</v>
      </c>
      <c r="I84" s="8">
        <f t="shared" si="2"/>
        <v>5530.691412</v>
      </c>
      <c r="J84" s="19">
        <v>5.39</v>
      </c>
      <c r="K84" s="11">
        <f t="shared" si="3"/>
        <v>10919.57022</v>
      </c>
      <c r="L84" s="11">
        <f t="shared" si="13"/>
        <v>280.4868532</v>
      </c>
      <c r="M84" s="11">
        <f t="shared" si="245"/>
        <v>156592.0698</v>
      </c>
      <c r="N84" s="11">
        <f t="shared" si="246"/>
        <v>309168.9584</v>
      </c>
      <c r="O84" s="19">
        <v>7.97</v>
      </c>
      <c r="P84" s="19"/>
      <c r="Q84" s="19">
        <v>4.98</v>
      </c>
      <c r="R84" s="19"/>
      <c r="S84" s="19">
        <v>12.4</v>
      </c>
      <c r="T84" s="14"/>
      <c r="U84" s="14">
        <f t="shared" si="247"/>
        <v>225.6569213</v>
      </c>
      <c r="V84" s="14">
        <f t="shared" si="248"/>
        <v>141.0001842</v>
      </c>
      <c r="W84" s="14">
        <f t="shared" si="249"/>
        <v>351.084796</v>
      </c>
      <c r="X84" s="13"/>
      <c r="Y84" s="13"/>
      <c r="Z84" s="13" t="str">
        <f t="shared" si="250"/>
        <v>4 (3-5)</v>
      </c>
      <c r="AA84" s="13" t="str">
        <f t="shared" si="251"/>
        <v>280 (156592-309169)</v>
      </c>
      <c r="AB84" s="13" t="str">
        <f t="shared" si="252"/>
        <v>8 (5-12)</v>
      </c>
      <c r="AC84" s="13" t="str">
        <f t="shared" si="253"/>
        <v>226 (141-351)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hidden="1">
      <c r="A85" s="7" t="s">
        <v>29</v>
      </c>
      <c r="B85" s="16" t="s">
        <v>49</v>
      </c>
      <c r="C85" s="16">
        <v>2050.0</v>
      </c>
      <c r="D85" s="17">
        <f>1327424+1390039</f>
        <v>2717463</v>
      </c>
      <c r="E85" s="10">
        <v>2.14709097E8</v>
      </c>
      <c r="F85" s="19">
        <v>3.92</v>
      </c>
      <c r="G85" s="10">
        <f t="shared" si="1"/>
        <v>8416.596602</v>
      </c>
      <c r="H85" s="19">
        <v>2.73</v>
      </c>
      <c r="I85" s="8">
        <f t="shared" si="2"/>
        <v>5861.558348</v>
      </c>
      <c r="J85" s="19">
        <v>5.39</v>
      </c>
      <c r="K85" s="11">
        <f t="shared" si="3"/>
        <v>11572.82033</v>
      </c>
      <c r="L85" s="11">
        <f t="shared" si="13"/>
        <v>309.7225832</v>
      </c>
      <c r="M85" s="11">
        <f t="shared" si="245"/>
        <v>159285.6793</v>
      </c>
      <c r="N85" s="11">
        <f t="shared" si="246"/>
        <v>314487.1105</v>
      </c>
      <c r="O85" s="19">
        <v>7.97</v>
      </c>
      <c r="P85" s="8">
        <f t="shared" ref="P85:P86" si="254">(O85/100000)*E85</f>
        <v>17112.31503</v>
      </c>
      <c r="Q85" s="19">
        <v>4.98</v>
      </c>
      <c r="R85" s="8">
        <f t="shared" ref="R85:R86" si="255">(Q85/100000)*E85</f>
        <v>10692.51303</v>
      </c>
      <c r="S85" s="19">
        <v>12.4</v>
      </c>
      <c r="T85" s="11">
        <f t="shared" ref="T85:T86" si="256">(S85/100000)*E85</f>
        <v>26623.92803</v>
      </c>
      <c r="U85" s="14">
        <f t="shared" si="247"/>
        <v>216.5818011</v>
      </c>
      <c r="V85" s="14">
        <f t="shared" si="248"/>
        <v>135.3296574</v>
      </c>
      <c r="W85" s="14">
        <f t="shared" si="249"/>
        <v>336.965412</v>
      </c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>
      <c r="A86" s="7" t="s">
        <v>23</v>
      </c>
      <c r="B86" s="16" t="s">
        <v>50</v>
      </c>
      <c r="C86" s="16">
        <v>2021.0</v>
      </c>
      <c r="D86" s="18">
        <f>4795+5007</f>
        <v>9802</v>
      </c>
      <c r="E86" s="18">
        <v>775442.0</v>
      </c>
      <c r="F86" s="19">
        <v>4.58</v>
      </c>
      <c r="G86" s="10">
        <f t="shared" si="1"/>
        <v>35.5152436</v>
      </c>
      <c r="H86" s="19">
        <v>3.21</v>
      </c>
      <c r="I86" s="8">
        <f t="shared" si="2"/>
        <v>24.8916882</v>
      </c>
      <c r="J86" s="19">
        <v>6.44</v>
      </c>
      <c r="K86" s="11">
        <f t="shared" si="3"/>
        <v>49.9384648</v>
      </c>
      <c r="L86" s="11">
        <f t="shared" si="13"/>
        <v>362.3265007</v>
      </c>
      <c r="M86" s="12">
        <f>(I86/D86)*100000</f>
        <v>253.9449929</v>
      </c>
      <c r="N86" s="11">
        <f>(K86/D86)*100000</f>
        <v>509.4721975</v>
      </c>
      <c r="O86" s="19">
        <v>7.83</v>
      </c>
      <c r="P86" s="8">
        <f t="shared" si="254"/>
        <v>60.7171086</v>
      </c>
      <c r="Q86" s="19">
        <v>4.67</v>
      </c>
      <c r="R86" s="8">
        <f t="shared" si="255"/>
        <v>36.2131414</v>
      </c>
      <c r="S86" s="19">
        <v>12.86</v>
      </c>
      <c r="T86" s="11">
        <f t="shared" si="256"/>
        <v>99.7218412</v>
      </c>
      <c r="U86" s="11">
        <f>(P86/D86)*100000</f>
        <v>619.4359172</v>
      </c>
      <c r="V86" s="11">
        <f>(R86/D86)*100000</f>
        <v>369.4464538</v>
      </c>
      <c r="W86" s="11">
        <f>(T86/D86)*100000</f>
        <v>1017.362183</v>
      </c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hidden="1">
      <c r="A87" s="7" t="s">
        <v>25</v>
      </c>
      <c r="B87" s="16" t="s">
        <v>50</v>
      </c>
      <c r="C87" s="16">
        <v>2030.0</v>
      </c>
      <c r="D87" s="18">
        <f>4652+4865</f>
        <v>9517</v>
      </c>
      <c r="E87" s="10">
        <v>820694.0</v>
      </c>
      <c r="F87" s="19">
        <v>4.58</v>
      </c>
      <c r="G87" s="10">
        <f t="shared" si="1"/>
        <v>37.5877852</v>
      </c>
      <c r="H87" s="19">
        <v>3.21</v>
      </c>
      <c r="I87" s="8">
        <f t="shared" si="2"/>
        <v>26.3442774</v>
      </c>
      <c r="J87" s="19">
        <v>6.44</v>
      </c>
      <c r="K87" s="11">
        <f t="shared" si="3"/>
        <v>52.8526936</v>
      </c>
      <c r="L87" s="11">
        <f t="shared" si="13"/>
        <v>394.9541368</v>
      </c>
      <c r="M87" s="11">
        <f t="shared" ref="M87:M89" si="257">(I87*D87)/100000</f>
        <v>2.50718488</v>
      </c>
      <c r="N87" s="11">
        <f t="shared" ref="N87:N89" si="258">(K87*D87)/100000</f>
        <v>5.02999085</v>
      </c>
      <c r="O87" s="19">
        <v>7.83</v>
      </c>
      <c r="P87" s="19"/>
      <c r="Q87" s="19">
        <v>4.67</v>
      </c>
      <c r="R87" s="19"/>
      <c r="S87" s="19">
        <v>12.86</v>
      </c>
      <c r="T87" s="14"/>
      <c r="U87" s="14">
        <f t="shared" ref="U87:U89" si="259">(O87*D87)/100000</f>
        <v>0.7451811</v>
      </c>
      <c r="V87" s="14">
        <f t="shared" ref="V87:V89" si="260">(Q87*D87)/100000</f>
        <v>0.4444439</v>
      </c>
      <c r="W87" s="14">
        <f t="shared" ref="W87:W89" si="261">(S87*D87)/100000</f>
        <v>1.2238862</v>
      </c>
      <c r="X87" s="13"/>
      <c r="Y87" s="13"/>
      <c r="Z87" s="13" t="str">
        <f t="shared" ref="Z87:Z88" si="262">ROUND(F87, 0) &amp; " (" &amp; ROUND(H87, 0) &amp; "-" &amp; ROUND(J87, 0) &amp; ")"</f>
        <v>5 (3-6)</v>
      </c>
      <c r="AA87" s="13" t="str">
        <f t="shared" ref="AA87:AA88" si="263">ROUND(L87, 0) &amp; " (" &amp; ROUND(M87, 0) &amp; "-" &amp; ROUND(N87, 0) &amp; ")"</f>
        <v>395 (3-5)</v>
      </c>
      <c r="AB87" s="13" t="str">
        <f t="shared" ref="AB87:AB88" si="264">ROUND(O87, 0) &amp; " (" &amp; ROUND(Q87, 0) &amp; "-" &amp; ROUND(S87, 0) &amp; ")"</f>
        <v>8 (5-13)</v>
      </c>
      <c r="AC87" s="13" t="str">
        <f t="shared" ref="AC87:AC88" si="265">ROUND(U87, 0) &amp; " (" &amp; ROUND(V87, 0) &amp; "-" &amp; ROUND(W87, 0) &amp; ")"</f>
        <v>1 (0-1)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hidden="1">
      <c r="A88" s="7" t="s">
        <v>27</v>
      </c>
      <c r="B88" s="16" t="s">
        <v>50</v>
      </c>
      <c r="C88" s="16">
        <v>2040.0</v>
      </c>
      <c r="D88" s="17">
        <f>4406+4612</f>
        <v>9018</v>
      </c>
      <c r="E88" s="10">
        <v>862129.0</v>
      </c>
      <c r="F88" s="19">
        <v>4.58</v>
      </c>
      <c r="G88" s="10">
        <f t="shared" si="1"/>
        <v>39.4855082</v>
      </c>
      <c r="H88" s="19">
        <v>3.21</v>
      </c>
      <c r="I88" s="8">
        <f t="shared" si="2"/>
        <v>27.6743409</v>
      </c>
      <c r="J88" s="19">
        <v>6.44</v>
      </c>
      <c r="K88" s="11">
        <f t="shared" si="3"/>
        <v>55.5211076</v>
      </c>
      <c r="L88" s="11">
        <f t="shared" si="13"/>
        <v>437.8521646</v>
      </c>
      <c r="M88" s="11">
        <f t="shared" si="257"/>
        <v>2.495672062</v>
      </c>
      <c r="N88" s="11">
        <f t="shared" si="258"/>
        <v>5.006893483</v>
      </c>
      <c r="O88" s="19">
        <v>7.83</v>
      </c>
      <c r="P88" s="19"/>
      <c r="Q88" s="19">
        <v>4.67</v>
      </c>
      <c r="R88" s="19"/>
      <c r="S88" s="19">
        <v>12.86</v>
      </c>
      <c r="T88" s="14"/>
      <c r="U88" s="14">
        <f t="shared" si="259"/>
        <v>0.7061094</v>
      </c>
      <c r="V88" s="14">
        <f t="shared" si="260"/>
        <v>0.4211406</v>
      </c>
      <c r="W88" s="14">
        <f t="shared" si="261"/>
        <v>1.1597148</v>
      </c>
      <c r="X88" s="13"/>
      <c r="Y88" s="13"/>
      <c r="Z88" s="13" t="str">
        <f t="shared" si="262"/>
        <v>5 (3-6)</v>
      </c>
      <c r="AA88" s="13" t="str">
        <f t="shared" si="263"/>
        <v>438 (2-5)</v>
      </c>
      <c r="AB88" s="13" t="str">
        <f t="shared" si="264"/>
        <v>8 (5-13)</v>
      </c>
      <c r="AC88" s="13" t="str">
        <f t="shared" si="265"/>
        <v>1 (0-1)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hidden="1">
      <c r="A89" s="7" t="s">
        <v>29</v>
      </c>
      <c r="B89" s="16" t="s">
        <v>50</v>
      </c>
      <c r="C89" s="16">
        <v>2050.0</v>
      </c>
      <c r="D89" s="17">
        <f>3776+3959</f>
        <v>7735</v>
      </c>
      <c r="E89" s="10">
        <v>882340.0</v>
      </c>
      <c r="F89" s="19">
        <v>4.58</v>
      </c>
      <c r="G89" s="10">
        <f t="shared" si="1"/>
        <v>40.411172</v>
      </c>
      <c r="H89" s="19">
        <v>3.21</v>
      </c>
      <c r="I89" s="8">
        <f t="shared" si="2"/>
        <v>28.323114</v>
      </c>
      <c r="J89" s="19">
        <v>6.44</v>
      </c>
      <c r="K89" s="11">
        <f t="shared" si="3"/>
        <v>56.822696</v>
      </c>
      <c r="L89" s="11">
        <f t="shared" si="13"/>
        <v>522.4456626</v>
      </c>
      <c r="M89" s="11">
        <f t="shared" si="257"/>
        <v>2.190792868</v>
      </c>
      <c r="N89" s="11">
        <f t="shared" si="258"/>
        <v>4.395235536</v>
      </c>
      <c r="O89" s="19">
        <v>7.83</v>
      </c>
      <c r="P89" s="8">
        <f t="shared" ref="P89:P90" si="266">(O89/100000)*E89</f>
        <v>69.087222</v>
      </c>
      <c r="Q89" s="19">
        <v>4.67</v>
      </c>
      <c r="R89" s="8">
        <f t="shared" ref="R89:R90" si="267">(Q89/100000)*E89</f>
        <v>41.205278</v>
      </c>
      <c r="S89" s="19">
        <v>12.86</v>
      </c>
      <c r="T89" s="11">
        <f t="shared" ref="T89:T90" si="268">(S89/100000)*E89</f>
        <v>113.468924</v>
      </c>
      <c r="U89" s="14">
        <f t="shared" si="259"/>
        <v>0.6056505</v>
      </c>
      <c r="V89" s="14">
        <f t="shared" si="260"/>
        <v>0.3612245</v>
      </c>
      <c r="W89" s="14">
        <f t="shared" si="261"/>
        <v>0.994721</v>
      </c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>
      <c r="A90" s="7" t="s">
        <v>23</v>
      </c>
      <c r="B90" s="16" t="s">
        <v>51</v>
      </c>
      <c r="C90" s="16">
        <v>2021.0</v>
      </c>
      <c r="D90" s="17">
        <f>11012379+11862038</f>
        <v>22874417</v>
      </c>
      <c r="E90" s="18">
        <v>1.414203896E9</v>
      </c>
      <c r="F90" s="19">
        <v>2.47</v>
      </c>
      <c r="G90" s="10">
        <f t="shared" si="1"/>
        <v>34930.83623</v>
      </c>
      <c r="H90" s="19">
        <v>1.8</v>
      </c>
      <c r="I90" s="8">
        <f t="shared" si="2"/>
        <v>25455.67013</v>
      </c>
      <c r="J90" s="19">
        <v>3.37</v>
      </c>
      <c r="K90" s="11">
        <f t="shared" si="3"/>
        <v>47658.6713</v>
      </c>
      <c r="L90" s="11">
        <f t="shared" si="13"/>
        <v>152.7070011</v>
      </c>
      <c r="M90" s="12">
        <f>(I90/D90)*100000</f>
        <v>111.2844543</v>
      </c>
      <c r="N90" s="11">
        <f>(K90/D90)*100000</f>
        <v>208.3492283</v>
      </c>
      <c r="O90" s="19">
        <v>5.72</v>
      </c>
      <c r="P90" s="8">
        <f t="shared" si="266"/>
        <v>80892.46285</v>
      </c>
      <c r="Q90" s="19">
        <v>3.55</v>
      </c>
      <c r="R90" s="8">
        <f t="shared" si="267"/>
        <v>50204.23831</v>
      </c>
      <c r="S90" s="19">
        <v>9.04</v>
      </c>
      <c r="T90" s="11">
        <f t="shared" si="268"/>
        <v>127844.0322</v>
      </c>
      <c r="U90" s="11">
        <f>(P90/D90)*100000</f>
        <v>353.6372658</v>
      </c>
      <c r="V90" s="11">
        <f>(R90/D90)*100000</f>
        <v>219.4776737</v>
      </c>
      <c r="W90" s="11">
        <f>(T90/D90)*100000</f>
        <v>558.8952593</v>
      </c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hidden="1">
      <c r="A91" s="7" t="s">
        <v>25</v>
      </c>
      <c r="B91" s="16" t="s">
        <v>51</v>
      </c>
      <c r="C91" s="16">
        <v>2030.0</v>
      </c>
      <c r="D91" s="17">
        <f>10792760+11432189</f>
        <v>22224949</v>
      </c>
      <c r="E91" s="10">
        <v>1.525138844E9</v>
      </c>
      <c r="F91" s="19">
        <v>2.47</v>
      </c>
      <c r="G91" s="10">
        <f t="shared" si="1"/>
        <v>37670.92945</v>
      </c>
      <c r="H91" s="19">
        <v>1.8</v>
      </c>
      <c r="I91" s="8">
        <f t="shared" si="2"/>
        <v>27452.49919</v>
      </c>
      <c r="J91" s="19">
        <v>3.37</v>
      </c>
      <c r="K91" s="11">
        <f t="shared" si="3"/>
        <v>51397.17904</v>
      </c>
      <c r="L91" s="11">
        <f t="shared" si="13"/>
        <v>169.4983842</v>
      </c>
      <c r="M91" s="11">
        <f t="shared" ref="M91:M93" si="269">(I91*D91)/100000</f>
        <v>6101303.945</v>
      </c>
      <c r="N91" s="11">
        <f t="shared" ref="N91:N93" si="270">(K91*D91)/100000</f>
        <v>11422996.83</v>
      </c>
      <c r="O91" s="19">
        <v>5.72</v>
      </c>
      <c r="P91" s="19"/>
      <c r="Q91" s="19">
        <v>3.55</v>
      </c>
      <c r="R91" s="19"/>
      <c r="S91" s="19">
        <v>9.04</v>
      </c>
      <c r="T91" s="14"/>
      <c r="U91" s="14">
        <f t="shared" ref="U91:U93" si="271">(O91*D91)/100000</f>
        <v>1271.267083</v>
      </c>
      <c r="V91" s="14">
        <f t="shared" ref="V91:V93" si="272">(Q91*D91)/100000</f>
        <v>788.9856895</v>
      </c>
      <c r="W91" s="14">
        <f t="shared" ref="W91:W93" si="273">(S91*D91)/100000</f>
        <v>2009.13539</v>
      </c>
      <c r="X91" s="13"/>
      <c r="Y91" s="13"/>
      <c r="Z91" s="13" t="str">
        <f t="shared" ref="Z91:Z92" si="274">ROUND(F91, 0) &amp; " (" &amp; ROUND(H91, 0) &amp; "-" &amp; ROUND(J91, 0) &amp; ")"</f>
        <v>2 (2-3)</v>
      </c>
      <c r="AA91" s="13" t="str">
        <f t="shared" ref="AA91:AA92" si="275">ROUND(L91, 0) &amp; " (" &amp; ROUND(M91, 0) &amp; "-" &amp; ROUND(N91, 0) &amp; ")"</f>
        <v>169 (6101304-11422997)</v>
      </c>
      <c r="AB91" s="13" t="str">
        <f t="shared" ref="AB91:AB92" si="276">ROUND(O91, 0) &amp; " (" &amp; ROUND(Q91, 0) &amp; "-" &amp; ROUND(S91, 0) &amp; ")"</f>
        <v>6 (4-9)</v>
      </c>
      <c r="AC91" s="13" t="str">
        <f t="shared" ref="AC91:AC92" si="277">ROUND(U91, 0) &amp; " (" &amp; ROUND(V91, 0) &amp; "-" &amp; ROUND(W91, 0) &amp; ")"</f>
        <v>1271 (789-2009)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hidden="1">
      <c r="A92" s="7" t="s">
        <v>27</v>
      </c>
      <c r="B92" s="16" t="s">
        <v>51</v>
      </c>
      <c r="C92" s="16">
        <v>2040.0</v>
      </c>
      <c r="D92" s="17">
        <f>10043329+10562288</f>
        <v>20605617</v>
      </c>
      <c r="E92" s="10">
        <v>1.622580039E9</v>
      </c>
      <c r="F92" s="19">
        <v>2.47</v>
      </c>
      <c r="G92" s="10">
        <f t="shared" si="1"/>
        <v>40077.72696</v>
      </c>
      <c r="H92" s="19">
        <v>1.8</v>
      </c>
      <c r="I92" s="8">
        <f t="shared" si="2"/>
        <v>29206.4407</v>
      </c>
      <c r="J92" s="19">
        <v>3.37</v>
      </c>
      <c r="K92" s="11">
        <f t="shared" si="3"/>
        <v>54680.94731</v>
      </c>
      <c r="L92" s="11">
        <f t="shared" si="13"/>
        <v>194.4990386</v>
      </c>
      <c r="M92" s="11">
        <f t="shared" si="269"/>
        <v>6018167.31</v>
      </c>
      <c r="N92" s="11">
        <f t="shared" si="270"/>
        <v>11267346.58</v>
      </c>
      <c r="O92" s="19">
        <v>5.72</v>
      </c>
      <c r="P92" s="19"/>
      <c r="Q92" s="19">
        <v>3.55</v>
      </c>
      <c r="R92" s="19"/>
      <c r="S92" s="19">
        <v>9.04</v>
      </c>
      <c r="T92" s="14"/>
      <c r="U92" s="14">
        <f t="shared" si="271"/>
        <v>1178.641292</v>
      </c>
      <c r="V92" s="14">
        <f t="shared" si="272"/>
        <v>731.4994035</v>
      </c>
      <c r="W92" s="14">
        <f t="shared" si="273"/>
        <v>1862.747777</v>
      </c>
      <c r="X92" s="13"/>
      <c r="Y92" s="13"/>
      <c r="Z92" s="13" t="str">
        <f t="shared" si="274"/>
        <v>2 (2-3)</v>
      </c>
      <c r="AA92" s="13" t="str">
        <f t="shared" si="275"/>
        <v>194 (6018167-11267347)</v>
      </c>
      <c r="AB92" s="13" t="str">
        <f t="shared" si="276"/>
        <v>6 (4-9)</v>
      </c>
      <c r="AC92" s="13" t="str">
        <f t="shared" si="277"/>
        <v>1179 (731-1863)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hidden="1">
      <c r="A93" s="7" t="s">
        <v>29</v>
      </c>
      <c r="B93" s="16" t="s">
        <v>51</v>
      </c>
      <c r="C93" s="16">
        <v>2050.0</v>
      </c>
      <c r="D93" s="17">
        <f>9200381+9666706</f>
        <v>18867087</v>
      </c>
      <c r="E93" s="10">
        <v>1.679589259E9</v>
      </c>
      <c r="F93" s="19">
        <v>2.47</v>
      </c>
      <c r="G93" s="10">
        <f t="shared" si="1"/>
        <v>41485.8547</v>
      </c>
      <c r="H93" s="19">
        <v>1.8</v>
      </c>
      <c r="I93" s="8">
        <f t="shared" si="2"/>
        <v>30232.60666</v>
      </c>
      <c r="J93" s="19">
        <v>3.37</v>
      </c>
      <c r="K93" s="11">
        <f t="shared" si="3"/>
        <v>56602.15803</v>
      </c>
      <c r="L93" s="11">
        <f t="shared" si="13"/>
        <v>219.8847904</v>
      </c>
      <c r="M93" s="11">
        <f t="shared" si="269"/>
        <v>5704012.201</v>
      </c>
      <c r="N93" s="11">
        <f t="shared" si="270"/>
        <v>10679178.4</v>
      </c>
      <c r="O93" s="19">
        <v>5.72</v>
      </c>
      <c r="P93" s="8">
        <f t="shared" ref="P93:P94" si="278">(O93/100000)*E93</f>
        <v>96072.50561</v>
      </c>
      <c r="Q93" s="19">
        <v>3.55</v>
      </c>
      <c r="R93" s="8">
        <f t="shared" ref="R93:R94" si="279">(Q93/100000)*E93</f>
        <v>59625.41869</v>
      </c>
      <c r="S93" s="19">
        <v>9.04</v>
      </c>
      <c r="T93" s="11">
        <f t="shared" ref="T93:T94" si="280">(S93/100000)*E93</f>
        <v>151834.869</v>
      </c>
      <c r="U93" s="14">
        <f t="shared" si="271"/>
        <v>1079.197376</v>
      </c>
      <c r="V93" s="14">
        <f t="shared" si="272"/>
        <v>669.7815885</v>
      </c>
      <c r="W93" s="14">
        <f t="shared" si="273"/>
        <v>1705.584665</v>
      </c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>
      <c r="A94" s="7" t="s">
        <v>23</v>
      </c>
      <c r="B94" s="16" t="s">
        <v>52</v>
      </c>
      <c r="C94" s="16">
        <v>2021.0</v>
      </c>
      <c r="D94" s="17">
        <f>276681.5+289859</f>
        <v>566540.5</v>
      </c>
      <c r="E94" s="18">
        <v>2.947501E7</v>
      </c>
      <c r="F94" s="19">
        <v>4.48</v>
      </c>
      <c r="G94" s="10">
        <f t="shared" si="1"/>
        <v>1320.480448</v>
      </c>
      <c r="H94" s="19">
        <v>3.21</v>
      </c>
      <c r="I94" s="8">
        <f t="shared" si="2"/>
        <v>946.147821</v>
      </c>
      <c r="J94" s="19">
        <v>6.21</v>
      </c>
      <c r="K94" s="11">
        <f t="shared" si="3"/>
        <v>1830.398121</v>
      </c>
      <c r="L94" s="11">
        <f t="shared" si="13"/>
        <v>233.0778555</v>
      </c>
      <c r="M94" s="12">
        <f>(I94/D94)*100000</f>
        <v>167.0044456</v>
      </c>
      <c r="N94" s="11">
        <f>(K94/D94)*100000</f>
        <v>323.0833667</v>
      </c>
      <c r="O94" s="19">
        <v>7.8</v>
      </c>
      <c r="P94" s="8">
        <f t="shared" si="278"/>
        <v>2299.05078</v>
      </c>
      <c r="Q94" s="19">
        <v>4.65</v>
      </c>
      <c r="R94" s="8">
        <f t="shared" si="279"/>
        <v>1370.587965</v>
      </c>
      <c r="S94" s="19">
        <v>12.36</v>
      </c>
      <c r="T94" s="11">
        <f t="shared" si="280"/>
        <v>3643.111236</v>
      </c>
      <c r="U94" s="11">
        <f>(P94/D94)*100000</f>
        <v>405.8051949</v>
      </c>
      <c r="V94" s="11">
        <f>(R94/D94)*100000</f>
        <v>241.9223277</v>
      </c>
      <c r="W94" s="11">
        <f>(T94/D94)*100000</f>
        <v>643.0451549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hidden="1">
      <c r="A95" s="7" t="s">
        <v>25</v>
      </c>
      <c r="B95" s="16" t="s">
        <v>52</v>
      </c>
      <c r="C95" s="16">
        <v>2030.0</v>
      </c>
      <c r="D95" s="17">
        <f>250788+261549</f>
        <v>512337</v>
      </c>
      <c r="E95" s="10">
        <v>3.0509996E7</v>
      </c>
      <c r="F95" s="19">
        <v>4.48</v>
      </c>
      <c r="G95" s="10">
        <f t="shared" si="1"/>
        <v>1366.847821</v>
      </c>
      <c r="H95" s="19">
        <v>3.21</v>
      </c>
      <c r="I95" s="8">
        <f t="shared" si="2"/>
        <v>979.3708716</v>
      </c>
      <c r="J95" s="19">
        <v>6.21</v>
      </c>
      <c r="K95" s="11">
        <f t="shared" si="3"/>
        <v>1894.670752</v>
      </c>
      <c r="L95" s="11">
        <f t="shared" si="13"/>
        <v>266.7868651</v>
      </c>
      <c r="M95" s="11">
        <f t="shared" ref="M95:M97" si="281">(I95*D95)/100000</f>
        <v>5017.679342</v>
      </c>
      <c r="N95" s="11">
        <f t="shared" ref="N95:N97" si="282">(K95*D95)/100000</f>
        <v>9707.099289</v>
      </c>
      <c r="O95" s="19">
        <v>7.8</v>
      </c>
      <c r="P95" s="19"/>
      <c r="Q95" s="19">
        <v>4.65</v>
      </c>
      <c r="R95" s="19"/>
      <c r="S95" s="19">
        <v>12.36</v>
      </c>
      <c r="T95" s="14"/>
      <c r="U95" s="14">
        <f t="shared" ref="U95:U97" si="283">(O95*D95)/100000</f>
        <v>39.962286</v>
      </c>
      <c r="V95" s="14">
        <f t="shared" ref="V95:V97" si="284">(Q95*D95)/100000</f>
        <v>23.8236705</v>
      </c>
      <c r="W95" s="14">
        <f t="shared" ref="W95:W97" si="285">(S95*D95)/100000</f>
        <v>63.3248532</v>
      </c>
      <c r="X95" s="13"/>
      <c r="Y95" s="13"/>
      <c r="Z95" s="13" t="str">
        <f t="shared" ref="Z95:Z96" si="286">ROUND(F95, 0) &amp; " (" &amp; ROUND(H95, 0) &amp; "-" &amp; ROUND(J95, 0) &amp; ")"</f>
        <v>4 (3-6)</v>
      </c>
      <c r="AA95" s="13" t="str">
        <f t="shared" ref="AA95:AA96" si="287">ROUND(L95, 0) &amp; " (" &amp; ROUND(M95, 0) &amp; "-" &amp; ROUND(N95, 0) &amp; ")"</f>
        <v>267 (5018-9707)</v>
      </c>
      <c r="AB95" s="13" t="str">
        <f t="shared" ref="AB95:AB96" si="288">ROUND(O95, 0) &amp; " (" &amp; ROUND(Q95, 0) &amp; "-" &amp; ROUND(S95, 0) &amp; ")"</f>
        <v>8 (5-12)</v>
      </c>
      <c r="AC95" s="13" t="str">
        <f t="shared" ref="AC95:AC96" si="289">ROUND(U95, 0) &amp; " (" &amp; ROUND(V95, 0) &amp; "-" &amp; ROUND(W95, 0) &amp; ")"</f>
        <v>40 (24-63)</v>
      </c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hidden="1">
      <c r="A96" s="7" t="s">
        <v>27</v>
      </c>
      <c r="B96" s="16" t="s">
        <v>52</v>
      </c>
      <c r="C96" s="16">
        <v>2040.0</v>
      </c>
      <c r="D96" s="17">
        <f>227694+237303</f>
        <v>464997</v>
      </c>
      <c r="E96" s="10">
        <v>3.2909537E7</v>
      </c>
      <c r="F96" s="19">
        <v>4.48</v>
      </c>
      <c r="G96" s="10">
        <f t="shared" si="1"/>
        <v>1474.347258</v>
      </c>
      <c r="H96" s="19">
        <v>3.21</v>
      </c>
      <c r="I96" s="8">
        <f t="shared" si="2"/>
        <v>1056.396138</v>
      </c>
      <c r="J96" s="19">
        <v>6.21</v>
      </c>
      <c r="K96" s="11">
        <f t="shared" si="3"/>
        <v>2043.682248</v>
      </c>
      <c r="L96" s="11">
        <f t="shared" si="13"/>
        <v>317.065972</v>
      </c>
      <c r="M96" s="11">
        <f t="shared" si="281"/>
        <v>4912.210348</v>
      </c>
      <c r="N96" s="11">
        <f t="shared" si="282"/>
        <v>9503.061141</v>
      </c>
      <c r="O96" s="19">
        <v>7.8</v>
      </c>
      <c r="P96" s="19"/>
      <c r="Q96" s="19">
        <v>4.65</v>
      </c>
      <c r="R96" s="19"/>
      <c r="S96" s="19">
        <v>12.36</v>
      </c>
      <c r="T96" s="14"/>
      <c r="U96" s="14">
        <f t="shared" si="283"/>
        <v>36.269766</v>
      </c>
      <c r="V96" s="14">
        <f t="shared" si="284"/>
        <v>21.6223605</v>
      </c>
      <c r="W96" s="14">
        <f t="shared" si="285"/>
        <v>57.4736292</v>
      </c>
      <c r="X96" s="13"/>
      <c r="Y96" s="13"/>
      <c r="Z96" s="13" t="str">
        <f t="shared" si="286"/>
        <v>4 (3-6)</v>
      </c>
      <c r="AA96" s="13" t="str">
        <f t="shared" si="287"/>
        <v>317 (4912-9503)</v>
      </c>
      <c r="AB96" s="13" t="str">
        <f t="shared" si="288"/>
        <v>8 (5-12)</v>
      </c>
      <c r="AC96" s="13" t="str">
        <f t="shared" si="289"/>
        <v>36 (22-57)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hidden="1">
      <c r="A97" s="7" t="s">
        <v>29</v>
      </c>
      <c r="B97" s="16" t="s">
        <v>52</v>
      </c>
      <c r="C97" s="16">
        <v>2050.0</v>
      </c>
      <c r="D97" s="17">
        <f>210639+219686</f>
        <v>430325</v>
      </c>
      <c r="E97" s="10">
        <v>3.4642027E7</v>
      </c>
      <c r="F97" s="19">
        <v>4.48</v>
      </c>
      <c r="G97" s="10">
        <f t="shared" si="1"/>
        <v>1551.96281</v>
      </c>
      <c r="H97" s="19">
        <v>3.21</v>
      </c>
      <c r="I97" s="8">
        <f t="shared" si="2"/>
        <v>1112.009067</v>
      </c>
      <c r="J97" s="19">
        <v>6.21</v>
      </c>
      <c r="K97" s="11">
        <f t="shared" si="3"/>
        <v>2151.269877</v>
      </c>
      <c r="L97" s="11">
        <f t="shared" si="13"/>
        <v>360.6490001</v>
      </c>
      <c r="M97" s="11">
        <f t="shared" si="281"/>
        <v>4785.253016</v>
      </c>
      <c r="N97" s="11">
        <f t="shared" si="282"/>
        <v>9257.452097</v>
      </c>
      <c r="O97" s="19">
        <v>7.8</v>
      </c>
      <c r="P97" s="8">
        <f t="shared" ref="P97:P98" si="290">(O97/100000)*E97</f>
        <v>2702.078106</v>
      </c>
      <c r="Q97" s="19">
        <v>4.65</v>
      </c>
      <c r="R97" s="8">
        <f t="shared" ref="R97:R98" si="291">(Q97/100000)*E97</f>
        <v>1610.854256</v>
      </c>
      <c r="S97" s="19">
        <v>12.36</v>
      </c>
      <c r="T97" s="11">
        <f t="shared" ref="T97:T98" si="292">(S97/100000)*E97</f>
        <v>4281.754537</v>
      </c>
      <c r="U97" s="14">
        <f t="shared" si="283"/>
        <v>33.56535</v>
      </c>
      <c r="V97" s="14">
        <f t="shared" si="284"/>
        <v>20.0101125</v>
      </c>
      <c r="W97" s="14">
        <f t="shared" si="285"/>
        <v>53.18817</v>
      </c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>
      <c r="A98" s="7" t="s">
        <v>23</v>
      </c>
      <c r="B98" s="16" t="s">
        <v>53</v>
      </c>
      <c r="C98" s="16">
        <v>2021.0</v>
      </c>
      <c r="D98" s="18">
        <f>3157617+3309949.5</f>
        <v>6467566.5</v>
      </c>
      <c r="E98" s="18">
        <v>2.39477801E8</v>
      </c>
      <c r="F98" s="19">
        <v>6.01</v>
      </c>
      <c r="G98" s="10">
        <f t="shared" si="1"/>
        <v>14392.61584</v>
      </c>
      <c r="H98" s="19">
        <v>4.57</v>
      </c>
      <c r="I98" s="8">
        <f t="shared" si="2"/>
        <v>10944.13551</v>
      </c>
      <c r="J98" s="19">
        <v>8.05</v>
      </c>
      <c r="K98" s="11">
        <f t="shared" si="3"/>
        <v>19277.96298</v>
      </c>
      <c r="L98" s="11">
        <f t="shared" si="13"/>
        <v>222.5352587</v>
      </c>
      <c r="M98" s="12">
        <f>(I98/D98)*100000</f>
        <v>169.2156626</v>
      </c>
      <c r="N98" s="11">
        <f>(K98/D98)*100000</f>
        <v>298.0713531</v>
      </c>
      <c r="O98" s="19">
        <v>11.08</v>
      </c>
      <c r="P98" s="8">
        <f t="shared" si="290"/>
        <v>26534.14035</v>
      </c>
      <c r="Q98" s="19">
        <v>6.51</v>
      </c>
      <c r="R98" s="8">
        <f t="shared" si="291"/>
        <v>15590.00485</v>
      </c>
      <c r="S98" s="19">
        <v>19.21</v>
      </c>
      <c r="T98" s="11">
        <f t="shared" si="292"/>
        <v>46003.68557</v>
      </c>
      <c r="U98" s="11">
        <f>(P98/D98)*100000</f>
        <v>410.2646699</v>
      </c>
      <c r="V98" s="11">
        <f>(R98/D98)*100000</f>
        <v>241.0490073</v>
      </c>
      <c r="W98" s="11">
        <f>(T98/D98)*100000</f>
        <v>711.2982228</v>
      </c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hidden="1">
      <c r="A99" s="7" t="s">
        <v>25</v>
      </c>
      <c r="B99" s="16" t="s">
        <v>53</v>
      </c>
      <c r="C99" s="16">
        <v>2030.0</v>
      </c>
      <c r="D99" s="17">
        <f>3342220+3497283</f>
        <v>6839503</v>
      </c>
      <c r="E99" s="10">
        <v>2.76883255E8</v>
      </c>
      <c r="F99" s="19">
        <v>6.01</v>
      </c>
      <c r="G99" s="10">
        <f t="shared" si="1"/>
        <v>16640.68363</v>
      </c>
      <c r="H99" s="19">
        <v>4.57</v>
      </c>
      <c r="I99" s="8">
        <f t="shared" si="2"/>
        <v>12653.56475</v>
      </c>
      <c r="J99" s="19">
        <v>8.05</v>
      </c>
      <c r="K99" s="11">
        <f t="shared" si="3"/>
        <v>22289.10203</v>
      </c>
      <c r="L99" s="11">
        <f t="shared" si="13"/>
        <v>243.3025269</v>
      </c>
      <c r="M99" s="11">
        <f t="shared" ref="M99:M101" si="293">(I99*D99)/100000</f>
        <v>865440.9409</v>
      </c>
      <c r="N99" s="11">
        <f t="shared" ref="N99:N101" si="294">(K99*D99)/100000</f>
        <v>1524463.802</v>
      </c>
      <c r="O99" s="19">
        <v>11.08</v>
      </c>
      <c r="P99" s="19"/>
      <c r="Q99" s="19">
        <v>6.51</v>
      </c>
      <c r="R99" s="19"/>
      <c r="S99" s="19">
        <v>19.21</v>
      </c>
      <c r="T99" s="14"/>
      <c r="U99" s="14">
        <f t="shared" ref="U99:U101" si="295">(O99*D99)/100000</f>
        <v>757.8169324</v>
      </c>
      <c r="V99" s="14">
        <f t="shared" ref="V99:V101" si="296">(Q99*D99)/100000</f>
        <v>445.2516453</v>
      </c>
      <c r="W99" s="14">
        <f t="shared" ref="W99:W101" si="297">(S99*D99)/100000</f>
        <v>1313.868526</v>
      </c>
      <c r="X99" s="13"/>
      <c r="Y99" s="13"/>
      <c r="Z99" s="13" t="str">
        <f t="shared" ref="Z99:Z100" si="298">ROUND(F99, 0) &amp; " (" &amp; ROUND(H99, 0) &amp; "-" &amp; ROUND(J99, 0) &amp; ")"</f>
        <v>6 (5-8)</v>
      </c>
      <c r="AA99" s="13" t="str">
        <f t="shared" ref="AA99:AA100" si="299">ROUND(L99, 0) &amp; " (" &amp; ROUND(M99, 0) &amp; "-" &amp; ROUND(N99, 0) &amp; ")"</f>
        <v>243 (865441-1524464)</v>
      </c>
      <c r="AB99" s="13" t="str">
        <f t="shared" ref="AB99:AB100" si="300">ROUND(O99, 0) &amp; " (" &amp; ROUND(Q99, 0) &amp; "-" &amp; ROUND(S99, 0) &amp; ")"</f>
        <v>11 (7-19)</v>
      </c>
      <c r="AC99" s="13" t="str">
        <f t="shared" ref="AC99:AC100" si="301">ROUND(U99, 0) &amp; " (" &amp; ROUND(V99, 0) &amp; "-" &amp; ROUND(W99, 0) &amp; ")"</f>
        <v>758 (445-1314)</v>
      </c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hidden="1">
      <c r="A100" s="7" t="s">
        <v>27</v>
      </c>
      <c r="B100" s="16" t="s">
        <v>53</v>
      </c>
      <c r="C100" s="16">
        <v>2040.0</v>
      </c>
      <c r="D100" s="17">
        <f>3575948+3738612</f>
        <v>7314560</v>
      </c>
      <c r="E100" s="10">
        <v>3.24937697E8</v>
      </c>
      <c r="F100" s="19">
        <v>6.01</v>
      </c>
      <c r="G100" s="10">
        <f t="shared" si="1"/>
        <v>19528.75559</v>
      </c>
      <c r="H100" s="19">
        <v>4.57</v>
      </c>
      <c r="I100" s="8">
        <f t="shared" si="2"/>
        <v>14849.65275</v>
      </c>
      <c r="J100" s="19">
        <v>8.05</v>
      </c>
      <c r="K100" s="11">
        <f t="shared" si="3"/>
        <v>26157.48461</v>
      </c>
      <c r="L100" s="11">
        <f t="shared" si="13"/>
        <v>266.9846934</v>
      </c>
      <c r="M100" s="11">
        <f t="shared" si="293"/>
        <v>1086186.76</v>
      </c>
      <c r="N100" s="11">
        <f t="shared" si="294"/>
        <v>1913304.906</v>
      </c>
      <c r="O100" s="19">
        <v>11.08</v>
      </c>
      <c r="P100" s="19"/>
      <c r="Q100" s="19">
        <v>6.51</v>
      </c>
      <c r="R100" s="19"/>
      <c r="S100" s="19">
        <v>19.21</v>
      </c>
      <c r="T100" s="14"/>
      <c r="U100" s="14">
        <f t="shared" si="295"/>
        <v>810.453248</v>
      </c>
      <c r="V100" s="14">
        <f t="shared" si="296"/>
        <v>476.177856</v>
      </c>
      <c r="W100" s="14">
        <f t="shared" si="297"/>
        <v>1405.126976</v>
      </c>
      <c r="X100" s="13"/>
      <c r="Y100" s="13"/>
      <c r="Z100" s="13" t="str">
        <f t="shared" si="298"/>
        <v>6 (5-8)</v>
      </c>
      <c r="AA100" s="13" t="str">
        <f t="shared" si="299"/>
        <v>267 (1086187-1913305)</v>
      </c>
      <c r="AB100" s="13" t="str">
        <f t="shared" si="300"/>
        <v>11 (7-19)</v>
      </c>
      <c r="AC100" s="13" t="str">
        <f t="shared" si="301"/>
        <v>810 (476-1405)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hidden="1">
      <c r="A101" s="7" t="s">
        <v>29</v>
      </c>
      <c r="B101" s="16" t="s">
        <v>53</v>
      </c>
      <c r="C101" s="16">
        <v>2050.0</v>
      </c>
      <c r="D101" s="17">
        <f>3574115+3735087</f>
        <v>7309202</v>
      </c>
      <c r="E101" s="10">
        <v>3.71863793E8</v>
      </c>
      <c r="F101" s="19">
        <v>6.01</v>
      </c>
      <c r="G101" s="10">
        <f t="shared" si="1"/>
        <v>22349.01396</v>
      </c>
      <c r="H101" s="19">
        <v>4.57</v>
      </c>
      <c r="I101" s="8">
        <f t="shared" si="2"/>
        <v>16994.17534</v>
      </c>
      <c r="J101" s="19">
        <v>8.05</v>
      </c>
      <c r="K101" s="11">
        <f t="shared" si="3"/>
        <v>29935.03534</v>
      </c>
      <c r="L101" s="11">
        <f t="shared" si="13"/>
        <v>305.7654442</v>
      </c>
      <c r="M101" s="11">
        <f t="shared" si="293"/>
        <v>1242138.604</v>
      </c>
      <c r="N101" s="11">
        <f t="shared" si="294"/>
        <v>2188012.202</v>
      </c>
      <c r="O101" s="19">
        <v>11.08</v>
      </c>
      <c r="P101" s="8">
        <f t="shared" ref="P101:P102" si="302">(O101/100000)*E101</f>
        <v>41202.50826</v>
      </c>
      <c r="Q101" s="19">
        <v>6.51</v>
      </c>
      <c r="R101" s="8">
        <f t="shared" ref="R101:R102" si="303">(Q101/100000)*E101</f>
        <v>24208.33292</v>
      </c>
      <c r="S101" s="19">
        <v>19.21</v>
      </c>
      <c r="T101" s="11">
        <f t="shared" ref="T101:T102" si="304">(S101/100000)*E101</f>
        <v>71435.03464</v>
      </c>
      <c r="U101" s="14">
        <f t="shared" si="295"/>
        <v>809.8595816</v>
      </c>
      <c r="V101" s="14">
        <f t="shared" si="296"/>
        <v>475.8290502</v>
      </c>
      <c r="W101" s="14">
        <f t="shared" si="297"/>
        <v>1404.097704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>
      <c r="A102" s="7" t="s">
        <v>23</v>
      </c>
      <c r="B102" s="16" t="s">
        <v>54</v>
      </c>
      <c r="C102" s="16">
        <v>2021.0</v>
      </c>
      <c r="D102" s="17">
        <f>5263217.5+5828894</f>
        <v>11092111.5</v>
      </c>
      <c r="E102" s="18">
        <v>1.41236E9</v>
      </c>
      <c r="F102" s="19">
        <v>0.84</v>
      </c>
      <c r="G102" s="10">
        <f t="shared" si="1"/>
        <v>11863.824</v>
      </c>
      <c r="H102" s="19">
        <v>0.63</v>
      </c>
      <c r="I102" s="8">
        <f t="shared" si="2"/>
        <v>8897.868</v>
      </c>
      <c r="J102" s="19">
        <v>1.07</v>
      </c>
      <c r="K102" s="11">
        <f t="shared" si="3"/>
        <v>15112.252</v>
      </c>
      <c r="L102" s="11">
        <f t="shared" si="13"/>
        <v>106.9573093</v>
      </c>
      <c r="M102" s="12">
        <f>(I102/D102)*100000</f>
        <v>80.21798194</v>
      </c>
      <c r="N102" s="11">
        <f>(K102/D102)*100000</f>
        <v>136.2432392</v>
      </c>
      <c r="O102" s="19">
        <v>2.43</v>
      </c>
      <c r="P102" s="8">
        <f t="shared" si="302"/>
        <v>34320.348</v>
      </c>
      <c r="Q102" s="19">
        <v>1.66</v>
      </c>
      <c r="R102" s="8">
        <f t="shared" si="303"/>
        <v>23445.176</v>
      </c>
      <c r="S102" s="19">
        <v>3.54</v>
      </c>
      <c r="T102" s="11">
        <f t="shared" si="304"/>
        <v>49997.544</v>
      </c>
      <c r="U102" s="11">
        <f>(P102/D102)*100000</f>
        <v>309.4122161</v>
      </c>
      <c r="V102" s="11">
        <f>(R102/D102)*100000</f>
        <v>211.3680159</v>
      </c>
      <c r="W102" s="11">
        <f>(T102/D102)*100000</f>
        <v>450.7486604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hidden="1">
      <c r="A103" s="7" t="s">
        <v>25</v>
      </c>
      <c r="B103" s="16" t="s">
        <v>54</v>
      </c>
      <c r="C103" s="16">
        <v>2030.0</v>
      </c>
      <c r="D103" s="17">
        <f>4011462+4321904</f>
        <v>8333366</v>
      </c>
      <c r="E103" s="10">
        <v>1.387690752E9</v>
      </c>
      <c r="F103" s="19">
        <v>0.84</v>
      </c>
      <c r="G103" s="10">
        <f t="shared" si="1"/>
        <v>11656.60232</v>
      </c>
      <c r="H103" s="19">
        <v>0.63</v>
      </c>
      <c r="I103" s="8">
        <f t="shared" si="2"/>
        <v>8742.451738</v>
      </c>
      <c r="J103" s="19">
        <v>1.07</v>
      </c>
      <c r="K103" s="11">
        <f t="shared" si="3"/>
        <v>14848.29105</v>
      </c>
      <c r="L103" s="11">
        <f t="shared" si="13"/>
        <v>139.8786795</v>
      </c>
      <c r="M103" s="11">
        <f t="shared" ref="M103:M105" si="305">(I103*D103)/100000</f>
        <v>728540.5007</v>
      </c>
      <c r="N103" s="11">
        <f t="shared" ref="N103:N105" si="306">(K103*D103)/100000</f>
        <v>1237362.438</v>
      </c>
      <c r="O103" s="19">
        <v>2.43</v>
      </c>
      <c r="P103" s="19"/>
      <c r="Q103" s="19">
        <v>1.66</v>
      </c>
      <c r="R103" s="19"/>
      <c r="S103" s="19">
        <v>3.54</v>
      </c>
      <c r="T103" s="14"/>
      <c r="U103" s="14">
        <f t="shared" ref="U103:U105" si="307">(O103*D103)/100000</f>
        <v>202.5007938</v>
      </c>
      <c r="V103" s="14">
        <f t="shared" ref="V103:V105" si="308">(Q103*D103)/100000</f>
        <v>138.3338756</v>
      </c>
      <c r="W103" s="14">
        <f t="shared" ref="W103:W105" si="309">(S103*D103)/100000</f>
        <v>295.0011564</v>
      </c>
      <c r="X103" s="13"/>
      <c r="Y103" s="13"/>
      <c r="Z103" s="13" t="str">
        <f t="shared" ref="Z103:Z104" si="310">ROUND(F103, 0) &amp; " (" &amp; ROUND(H103, 0) &amp; "-" &amp; ROUND(J103, 0) &amp; ")"</f>
        <v>1 (1-1)</v>
      </c>
      <c r="AA103" s="13" t="str">
        <f t="shared" ref="AA103:AA104" si="311">ROUND(L103, 0) &amp; " (" &amp; ROUND(M103, 0) &amp; "-" &amp; ROUND(N103, 0) &amp; ")"</f>
        <v>140 (728541-1237362)</v>
      </c>
      <c r="AB103" s="13" t="str">
        <f t="shared" ref="AB103:AB104" si="312">ROUND(O103, 0) &amp; " (" &amp; ROUND(Q103, 0) &amp; "-" &amp; ROUND(S103, 0) &amp; ")"</f>
        <v>2 (2-4)</v>
      </c>
      <c r="AC103" s="13" t="str">
        <f t="shared" ref="AC103:AC104" si="313">ROUND(U103, 0) &amp; " (" &amp; ROUND(V103, 0) &amp; "-" &amp; ROUND(W103, 0) &amp; ")"</f>
        <v>203 (138-295)</v>
      </c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hidden="1">
      <c r="A104" s="7" t="s">
        <v>27</v>
      </c>
      <c r="B104" s="16" t="s">
        <v>54</v>
      </c>
      <c r="C104" s="16">
        <v>2040.0</v>
      </c>
      <c r="D104" s="17">
        <f>4181810+4447348</f>
        <v>8629158</v>
      </c>
      <c r="E104" s="10">
        <v>1.327848192E9</v>
      </c>
      <c r="F104" s="19">
        <v>0.84</v>
      </c>
      <c r="G104" s="10">
        <f t="shared" si="1"/>
        <v>11153.92481</v>
      </c>
      <c r="H104" s="19">
        <v>0.63</v>
      </c>
      <c r="I104" s="8">
        <f t="shared" si="2"/>
        <v>8365.44361</v>
      </c>
      <c r="J104" s="19">
        <v>1.07</v>
      </c>
      <c r="K104" s="11">
        <f t="shared" si="3"/>
        <v>14207.97565</v>
      </c>
      <c r="L104" s="11">
        <f t="shared" si="13"/>
        <v>129.2585535</v>
      </c>
      <c r="M104" s="11">
        <f t="shared" si="305"/>
        <v>721867.3465</v>
      </c>
      <c r="N104" s="11">
        <f t="shared" si="306"/>
        <v>1226028.668</v>
      </c>
      <c r="O104" s="19">
        <v>2.43</v>
      </c>
      <c r="P104" s="19"/>
      <c r="Q104" s="19">
        <v>1.66</v>
      </c>
      <c r="R104" s="19"/>
      <c r="S104" s="19">
        <v>3.54</v>
      </c>
      <c r="T104" s="14"/>
      <c r="U104" s="14">
        <f t="shared" si="307"/>
        <v>209.6885394</v>
      </c>
      <c r="V104" s="14">
        <f t="shared" si="308"/>
        <v>143.2440228</v>
      </c>
      <c r="W104" s="14">
        <f t="shared" si="309"/>
        <v>305.4721932</v>
      </c>
      <c r="X104" s="13"/>
      <c r="Y104" s="13"/>
      <c r="Z104" s="13" t="str">
        <f t="shared" si="310"/>
        <v>1 (1-1)</v>
      </c>
      <c r="AA104" s="13" t="str">
        <f t="shared" si="311"/>
        <v>129 (721867-1226029)</v>
      </c>
      <c r="AB104" s="13" t="str">
        <f t="shared" si="312"/>
        <v>2 (2-4)</v>
      </c>
      <c r="AC104" s="13" t="str">
        <f t="shared" si="313"/>
        <v>210 (143-305)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hidden="1">
      <c r="A105" s="7" t="s">
        <v>29</v>
      </c>
      <c r="B105" s="16" t="s">
        <v>54</v>
      </c>
      <c r="C105" s="16">
        <v>2050.0</v>
      </c>
      <c r="D105" s="17">
        <f>3636989+3860534</f>
        <v>7497523</v>
      </c>
      <c r="E105" s="10">
        <v>1.2424512E9</v>
      </c>
      <c r="F105" s="19">
        <v>0.84</v>
      </c>
      <c r="G105" s="10">
        <f t="shared" si="1"/>
        <v>10436.59008</v>
      </c>
      <c r="H105" s="19">
        <v>0.63</v>
      </c>
      <c r="I105" s="8">
        <f t="shared" si="2"/>
        <v>7827.44256</v>
      </c>
      <c r="J105" s="19">
        <v>1.07</v>
      </c>
      <c r="K105" s="11">
        <f t="shared" si="3"/>
        <v>13294.22784</v>
      </c>
      <c r="L105" s="11">
        <f t="shared" si="13"/>
        <v>139.2005077</v>
      </c>
      <c r="M105" s="11">
        <f t="shared" si="305"/>
        <v>586864.3062</v>
      </c>
      <c r="N105" s="11">
        <f t="shared" si="306"/>
        <v>996737.79</v>
      </c>
      <c r="O105" s="19">
        <v>2.43</v>
      </c>
      <c r="P105" s="8">
        <f t="shared" ref="P105:P106" si="314">(O105/100000)*E105</f>
        <v>30191.56416</v>
      </c>
      <c r="Q105" s="19">
        <v>1.66</v>
      </c>
      <c r="R105" s="8">
        <f t="shared" ref="R105:R106" si="315">(Q105/100000)*E105</f>
        <v>20624.68992</v>
      </c>
      <c r="S105" s="19">
        <v>3.54</v>
      </c>
      <c r="T105" s="11">
        <f t="shared" ref="T105:T106" si="316">(S105/100000)*E105</f>
        <v>43982.77248</v>
      </c>
      <c r="U105" s="14">
        <f t="shared" si="307"/>
        <v>182.1898089</v>
      </c>
      <c r="V105" s="14">
        <f t="shared" si="308"/>
        <v>124.4588818</v>
      </c>
      <c r="W105" s="14">
        <f t="shared" si="309"/>
        <v>265.4123142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>
      <c r="A106" s="7" t="s">
        <v>23</v>
      </c>
      <c r="B106" s="16" t="s">
        <v>55</v>
      </c>
      <c r="C106" s="16">
        <v>2021.0</v>
      </c>
      <c r="D106" s="17">
        <f>167600.5+177048.5</f>
        <v>344649</v>
      </c>
      <c r="E106" s="18">
        <v>2.6232534E7</v>
      </c>
      <c r="F106" s="19">
        <v>1.28</v>
      </c>
      <c r="G106" s="10">
        <f t="shared" si="1"/>
        <v>335.7764352</v>
      </c>
      <c r="H106" s="19">
        <v>0.91</v>
      </c>
      <c r="I106" s="8">
        <f t="shared" si="2"/>
        <v>238.7160594</v>
      </c>
      <c r="J106" s="19">
        <v>1.7</v>
      </c>
      <c r="K106" s="11">
        <f t="shared" si="3"/>
        <v>445.953078</v>
      </c>
      <c r="L106" s="11">
        <f t="shared" si="13"/>
        <v>97.42562294</v>
      </c>
      <c r="M106" s="12">
        <f>(I106/D106)*100000</f>
        <v>69.26352881</v>
      </c>
      <c r="N106" s="11">
        <f>(K106/D106)*100000</f>
        <v>129.3934055</v>
      </c>
      <c r="O106" s="19">
        <v>4.17</v>
      </c>
      <c r="P106" s="8">
        <f t="shared" si="314"/>
        <v>1093.896668</v>
      </c>
      <c r="Q106" s="19">
        <v>2.43</v>
      </c>
      <c r="R106" s="8">
        <f t="shared" si="315"/>
        <v>637.4505762</v>
      </c>
      <c r="S106" s="19">
        <v>7.18</v>
      </c>
      <c r="T106" s="11">
        <f t="shared" si="316"/>
        <v>1883.495941</v>
      </c>
      <c r="U106" s="11">
        <f>(P106/D106)*100000</f>
        <v>317.3944122</v>
      </c>
      <c r="V106" s="11">
        <f>(R106/D106)*100000</f>
        <v>184.956456</v>
      </c>
      <c r="W106" s="11">
        <f>(T106/D106)*100000</f>
        <v>546.4968537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hidden="1">
      <c r="A107" s="7" t="s">
        <v>25</v>
      </c>
      <c r="B107" s="16" t="s">
        <v>55</v>
      </c>
      <c r="C107" s="16">
        <v>2030.0</v>
      </c>
      <c r="D107" s="17">
        <f>146125+154669</f>
        <v>300794</v>
      </c>
      <c r="E107" s="10">
        <v>2.6784904E7</v>
      </c>
      <c r="F107" s="19">
        <v>1.28</v>
      </c>
      <c r="G107" s="10">
        <f t="shared" si="1"/>
        <v>342.8467712</v>
      </c>
      <c r="H107" s="19">
        <v>0.91</v>
      </c>
      <c r="I107" s="8">
        <f t="shared" si="2"/>
        <v>243.7426264</v>
      </c>
      <c r="J107" s="19">
        <v>1.7</v>
      </c>
      <c r="K107" s="11">
        <f t="shared" si="3"/>
        <v>455.343368</v>
      </c>
      <c r="L107" s="11">
        <f t="shared" si="13"/>
        <v>113.9805884</v>
      </c>
      <c r="M107" s="11">
        <f t="shared" ref="M107:M109" si="317">(I107*D107)/100000</f>
        <v>733.1631957</v>
      </c>
      <c r="N107" s="11">
        <f t="shared" ref="N107:N109" si="318">(K107*D107)/100000</f>
        <v>1369.64553</v>
      </c>
      <c r="O107" s="19">
        <v>4.17</v>
      </c>
      <c r="P107" s="19"/>
      <c r="Q107" s="19">
        <v>2.43</v>
      </c>
      <c r="R107" s="19"/>
      <c r="S107" s="19">
        <v>7.18</v>
      </c>
      <c r="T107" s="14"/>
      <c r="U107" s="14">
        <f t="shared" ref="U107:U109" si="319">(O107*D107)/100000</f>
        <v>12.5431098</v>
      </c>
      <c r="V107" s="14">
        <f t="shared" ref="V107:V109" si="320">(Q107*D107)/100000</f>
        <v>7.3092942</v>
      </c>
      <c r="W107" s="14">
        <f t="shared" ref="W107:W109" si="321">(S107*D107)/100000</f>
        <v>21.5970092</v>
      </c>
      <c r="X107" s="13"/>
      <c r="Y107" s="13"/>
      <c r="Z107" s="13" t="str">
        <f t="shared" ref="Z107:Z108" si="322">ROUND(F107, 0) &amp; " (" &amp; ROUND(H107, 0) &amp; "-" &amp; ROUND(J107, 0) &amp; ")"</f>
        <v>1 (1-2)</v>
      </c>
      <c r="AA107" s="13" t="str">
        <f t="shared" ref="AA107:AA108" si="323">ROUND(L107, 0) &amp; " (" &amp; ROUND(M107, 0) &amp; "-" &amp; ROUND(N107, 0) &amp; ")"</f>
        <v>114 (733-1370)</v>
      </c>
      <c r="AB107" s="13" t="str">
        <f t="shared" ref="AB107:AB108" si="324">ROUND(O107, 0) &amp; " (" &amp; ROUND(Q107, 0) &amp; "-" &amp; ROUND(S107, 0) &amp; ")"</f>
        <v>4 (2-7)</v>
      </c>
      <c r="AC107" s="13" t="str">
        <f t="shared" ref="AC107:AC108" si="325">ROUND(U107, 0) &amp; " (" &amp; ROUND(V107, 0) &amp; "-" &amp; ROUND(W107, 0) &amp; ")"</f>
        <v>13 (7-22)</v>
      </c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hidden="1">
      <c r="A108" s="7" t="s">
        <v>27</v>
      </c>
      <c r="B108" s="16" t="s">
        <v>55</v>
      </c>
      <c r="C108" s="16">
        <v>2040.0</v>
      </c>
      <c r="D108" s="17">
        <f>126473+133845</f>
        <v>260318</v>
      </c>
      <c r="E108" s="10">
        <v>2.6542432E7</v>
      </c>
      <c r="F108" s="19">
        <v>1.28</v>
      </c>
      <c r="G108" s="10">
        <f t="shared" si="1"/>
        <v>339.7431296</v>
      </c>
      <c r="H108" s="19">
        <v>0.91</v>
      </c>
      <c r="I108" s="8">
        <f t="shared" si="2"/>
        <v>241.5361312</v>
      </c>
      <c r="J108" s="19">
        <v>1.7</v>
      </c>
      <c r="K108" s="11">
        <f t="shared" si="3"/>
        <v>451.221344</v>
      </c>
      <c r="L108" s="11">
        <f t="shared" si="13"/>
        <v>130.5108097</v>
      </c>
      <c r="M108" s="11">
        <f t="shared" si="317"/>
        <v>628.762026</v>
      </c>
      <c r="N108" s="11">
        <f t="shared" si="318"/>
        <v>1174.610378</v>
      </c>
      <c r="O108" s="19">
        <v>4.17</v>
      </c>
      <c r="P108" s="19"/>
      <c r="Q108" s="19">
        <v>2.43</v>
      </c>
      <c r="R108" s="19"/>
      <c r="S108" s="19">
        <v>7.18</v>
      </c>
      <c r="T108" s="14"/>
      <c r="U108" s="14">
        <f t="shared" si="319"/>
        <v>10.8552606</v>
      </c>
      <c r="V108" s="14">
        <f t="shared" si="320"/>
        <v>6.3257274</v>
      </c>
      <c r="W108" s="14">
        <f t="shared" si="321"/>
        <v>18.6908324</v>
      </c>
      <c r="X108" s="13"/>
      <c r="Y108" s="13"/>
      <c r="Z108" s="13" t="str">
        <f t="shared" si="322"/>
        <v>1 (1-2)</v>
      </c>
      <c r="AA108" s="13" t="str">
        <f t="shared" si="323"/>
        <v>131 (629-1175)</v>
      </c>
      <c r="AB108" s="13" t="str">
        <f t="shared" si="324"/>
        <v>4 (2-7)</v>
      </c>
      <c r="AC108" s="13" t="str">
        <f t="shared" si="325"/>
        <v>11 (6-19)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hidden="1">
      <c r="A109" s="7" t="s">
        <v>29</v>
      </c>
      <c r="B109" s="16" t="s">
        <v>55</v>
      </c>
      <c r="C109" s="16">
        <v>2050.0</v>
      </c>
      <c r="D109" s="17">
        <f>127887+135359</f>
        <v>263246</v>
      </c>
      <c r="E109" s="10">
        <v>2.5787127E7</v>
      </c>
      <c r="F109" s="19">
        <v>1.28</v>
      </c>
      <c r="G109" s="10">
        <f t="shared" si="1"/>
        <v>330.0752256</v>
      </c>
      <c r="H109" s="19">
        <v>0.91</v>
      </c>
      <c r="I109" s="8">
        <f t="shared" si="2"/>
        <v>234.6628557</v>
      </c>
      <c r="J109" s="19">
        <v>1.7</v>
      </c>
      <c r="K109" s="11">
        <f t="shared" si="3"/>
        <v>438.381159</v>
      </c>
      <c r="L109" s="11">
        <f t="shared" si="13"/>
        <v>125.3866063</v>
      </c>
      <c r="M109" s="11">
        <f t="shared" si="317"/>
        <v>617.7405811</v>
      </c>
      <c r="N109" s="11">
        <f t="shared" si="318"/>
        <v>1154.020866</v>
      </c>
      <c r="O109" s="19">
        <v>4.17</v>
      </c>
      <c r="P109" s="8">
        <f t="shared" ref="P109:P110" si="326">(O109/100000)*E109</f>
        <v>1075.323196</v>
      </c>
      <c r="Q109" s="19">
        <v>2.43</v>
      </c>
      <c r="R109" s="8">
        <f t="shared" ref="R109:R110" si="327">(Q109/100000)*E109</f>
        <v>626.6271861</v>
      </c>
      <c r="S109" s="19">
        <v>7.18</v>
      </c>
      <c r="T109" s="11">
        <f t="shared" ref="T109:T110" si="328">(S109/100000)*E109</f>
        <v>1851.515719</v>
      </c>
      <c r="U109" s="14">
        <f t="shared" si="319"/>
        <v>10.9773582</v>
      </c>
      <c r="V109" s="14">
        <f t="shared" si="320"/>
        <v>6.3968778</v>
      </c>
      <c r="W109" s="14">
        <f t="shared" si="321"/>
        <v>18.9010628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>
      <c r="A110" s="7" t="s">
        <v>23</v>
      </c>
      <c r="B110" s="16" t="s">
        <v>56</v>
      </c>
      <c r="C110" s="20">
        <v>2021.0</v>
      </c>
      <c r="D110" s="17">
        <f>369.5+391.5</f>
        <v>761</v>
      </c>
      <c r="E110" s="18">
        <v>49225.0</v>
      </c>
      <c r="F110" s="19">
        <v>1.0</v>
      </c>
      <c r="G110" s="21">
        <f t="shared" si="1"/>
        <v>0.49225</v>
      </c>
      <c r="H110" s="19">
        <v>0.67</v>
      </c>
      <c r="I110" s="22">
        <f t="shared" si="2"/>
        <v>0.3298075</v>
      </c>
      <c r="J110" s="19">
        <v>1.46</v>
      </c>
      <c r="K110" s="11">
        <f t="shared" si="3"/>
        <v>0.718685</v>
      </c>
      <c r="L110" s="11">
        <f t="shared" si="13"/>
        <v>64.68462549</v>
      </c>
      <c r="M110" s="12">
        <f>(I110/D110)*100000</f>
        <v>43.33869908</v>
      </c>
      <c r="N110" s="11">
        <f>(K110/D110)*100000</f>
        <v>94.43955322</v>
      </c>
      <c r="O110" s="19">
        <v>2.77</v>
      </c>
      <c r="P110" s="8">
        <f t="shared" si="326"/>
        <v>1.3635325</v>
      </c>
      <c r="Q110" s="19">
        <v>1.48</v>
      </c>
      <c r="R110" s="8">
        <f t="shared" si="327"/>
        <v>0.72853</v>
      </c>
      <c r="S110" s="19">
        <v>4.87</v>
      </c>
      <c r="T110" s="11">
        <f t="shared" si="328"/>
        <v>2.3972575</v>
      </c>
      <c r="U110" s="11">
        <f>(P110/D110)*100000</f>
        <v>179.1764126</v>
      </c>
      <c r="V110" s="11">
        <f>(R110/D110)*100000</f>
        <v>95.73324573</v>
      </c>
      <c r="W110" s="11">
        <f>(T110/D110)*100000</f>
        <v>315.0141261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hidden="1">
      <c r="A111" s="7" t="s">
        <v>25</v>
      </c>
      <c r="B111" s="16" t="s">
        <v>56</v>
      </c>
      <c r="C111" s="23">
        <v>2030.0</v>
      </c>
      <c r="D111" s="17">
        <f>284+300</f>
        <v>584</v>
      </c>
      <c r="E111" s="10">
        <v>42958.0</v>
      </c>
      <c r="F111" s="19">
        <v>1.0</v>
      </c>
      <c r="G111" s="21">
        <f t="shared" si="1"/>
        <v>0.42958</v>
      </c>
      <c r="H111" s="19">
        <v>0.67</v>
      </c>
      <c r="I111" s="22">
        <f t="shared" si="2"/>
        <v>0.2878186</v>
      </c>
      <c r="J111" s="19">
        <v>1.46</v>
      </c>
      <c r="K111" s="11">
        <f t="shared" si="3"/>
        <v>0.6271868</v>
      </c>
      <c r="L111" s="11">
        <f t="shared" si="13"/>
        <v>73.55821918</v>
      </c>
      <c r="M111" s="11">
        <f t="shared" ref="M111:M113" si="329">(I111*D111)/100000</f>
        <v>0.001680860624</v>
      </c>
      <c r="N111" s="11">
        <f t="shared" ref="N111:N113" si="330">(K111*D111)/100000</f>
        <v>0.003662770912</v>
      </c>
      <c r="O111" s="19">
        <v>2.77</v>
      </c>
      <c r="P111" s="19"/>
      <c r="Q111" s="19">
        <v>1.48</v>
      </c>
      <c r="R111" s="19"/>
      <c r="S111" s="19">
        <v>4.87</v>
      </c>
      <c r="T111" s="14"/>
      <c r="U111" s="14">
        <f t="shared" ref="U111:U113" si="331">(O111*D111)/100000</f>
        <v>0.0161768</v>
      </c>
      <c r="V111" s="14">
        <f t="shared" ref="V111:V113" si="332">(Q111*D111)/100000</f>
        <v>0.0086432</v>
      </c>
      <c r="W111" s="14">
        <f t="shared" ref="W111:W113" si="333">(S111*D111)/100000</f>
        <v>0.0284408</v>
      </c>
      <c r="X111" s="13"/>
      <c r="Y111" s="13"/>
      <c r="Z111" s="13" t="str">
        <f t="shared" ref="Z111:Z112" si="334">ROUND(F111, 0) &amp; " (" &amp; ROUND(H111, 0) &amp; "-" &amp; ROUND(J111, 0) &amp; ")"</f>
        <v>1 (1-1)</v>
      </c>
      <c r="AA111" s="13" t="str">
        <f t="shared" ref="AA111:AA112" si="335">ROUND(L111, 0) &amp; " (" &amp; ROUND(M111, 0) &amp; "-" &amp; ROUND(N111, 0) &amp; ")"</f>
        <v>74 (0-0)</v>
      </c>
      <c r="AB111" s="13" t="str">
        <f t="shared" ref="AB111:AB112" si="336">ROUND(O111, 0) &amp; " (" &amp; ROUND(Q111, 0) &amp; "-" &amp; ROUND(S111, 0) &amp; ")"</f>
        <v>3 (1-5)</v>
      </c>
      <c r="AC111" s="13" t="str">
        <f t="shared" ref="AC111:AC112" si="337">ROUND(U111, 0) &amp; " (" &amp; ROUND(V111, 0) &amp; "-" &amp; ROUND(W111, 0) &amp; ")"</f>
        <v>0 (0-0)</v>
      </c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hidden="1">
      <c r="A112" s="7" t="s">
        <v>27</v>
      </c>
      <c r="B112" s="16" t="s">
        <v>56</v>
      </c>
      <c r="C112" s="23">
        <v>2040.0</v>
      </c>
      <c r="D112" s="17">
        <f>284+301</f>
        <v>585</v>
      </c>
      <c r="E112" s="10">
        <v>39386.0</v>
      </c>
      <c r="F112" s="19">
        <v>1.0</v>
      </c>
      <c r="G112" s="21">
        <f t="shared" si="1"/>
        <v>0.39386</v>
      </c>
      <c r="H112" s="19">
        <v>0.67</v>
      </c>
      <c r="I112" s="22">
        <f t="shared" si="2"/>
        <v>0.2638862</v>
      </c>
      <c r="J112" s="19">
        <v>1.46</v>
      </c>
      <c r="K112" s="11">
        <f t="shared" si="3"/>
        <v>0.5750356</v>
      </c>
      <c r="L112" s="11">
        <f t="shared" si="13"/>
        <v>67.32649573</v>
      </c>
      <c r="M112" s="11">
        <f t="shared" si="329"/>
        <v>0.00154373427</v>
      </c>
      <c r="N112" s="11">
        <f t="shared" si="330"/>
        <v>0.00336395826</v>
      </c>
      <c r="O112" s="19">
        <v>2.77</v>
      </c>
      <c r="P112" s="19"/>
      <c r="Q112" s="19">
        <v>1.48</v>
      </c>
      <c r="R112" s="19"/>
      <c r="S112" s="19">
        <v>4.87</v>
      </c>
      <c r="T112" s="14"/>
      <c r="U112" s="14">
        <f t="shared" si="331"/>
        <v>0.0162045</v>
      </c>
      <c r="V112" s="14">
        <f t="shared" si="332"/>
        <v>0.008658</v>
      </c>
      <c r="W112" s="14">
        <f t="shared" si="333"/>
        <v>0.0284895</v>
      </c>
      <c r="X112" s="13"/>
      <c r="Y112" s="13"/>
      <c r="Z112" s="13" t="str">
        <f t="shared" si="334"/>
        <v>1 (1-1)</v>
      </c>
      <c r="AA112" s="13" t="str">
        <f t="shared" si="335"/>
        <v>67 (0-0)</v>
      </c>
      <c r="AB112" s="13" t="str">
        <f t="shared" si="336"/>
        <v>3 (1-5)</v>
      </c>
      <c r="AC112" s="13" t="str">
        <f t="shared" si="337"/>
        <v>0 (0-0)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hidden="1">
      <c r="A113" s="7" t="s">
        <v>29</v>
      </c>
      <c r="B113" s="16" t="s">
        <v>56</v>
      </c>
      <c r="C113" s="23">
        <v>2050.0</v>
      </c>
      <c r="D113" s="17">
        <f>248+263</f>
        <v>511</v>
      </c>
      <c r="E113" s="10">
        <v>37545.0</v>
      </c>
      <c r="F113" s="19">
        <v>1.0</v>
      </c>
      <c r="G113" s="21">
        <f t="shared" si="1"/>
        <v>0.37545</v>
      </c>
      <c r="H113" s="19">
        <v>0.67</v>
      </c>
      <c r="I113" s="22">
        <f t="shared" si="2"/>
        <v>0.2515515</v>
      </c>
      <c r="J113" s="19">
        <v>1.46</v>
      </c>
      <c r="K113" s="11">
        <f t="shared" si="3"/>
        <v>0.548157</v>
      </c>
      <c r="L113" s="11">
        <f t="shared" si="13"/>
        <v>73.47358121</v>
      </c>
      <c r="M113" s="11">
        <f t="shared" si="329"/>
        <v>0.001285428165</v>
      </c>
      <c r="N113" s="11">
        <f t="shared" si="330"/>
        <v>0.00280108227</v>
      </c>
      <c r="O113" s="19">
        <v>2.77</v>
      </c>
      <c r="P113" s="8">
        <f t="shared" ref="P113:P114" si="338">(O113/100000)*E113</f>
        <v>1.0399965</v>
      </c>
      <c r="Q113" s="19">
        <v>1.48</v>
      </c>
      <c r="R113" s="8">
        <f t="shared" ref="R113:R114" si="339">(Q113/100000)*E113</f>
        <v>0.555666</v>
      </c>
      <c r="S113" s="19">
        <v>4.87</v>
      </c>
      <c r="T113" s="11">
        <f t="shared" ref="T113:T114" si="340">(S113/100000)*E113</f>
        <v>1.8284415</v>
      </c>
      <c r="U113" s="14">
        <f t="shared" si="331"/>
        <v>0.0141547</v>
      </c>
      <c r="V113" s="14">
        <f t="shared" si="332"/>
        <v>0.0075628</v>
      </c>
      <c r="W113" s="14">
        <f t="shared" si="333"/>
        <v>0.0248857</v>
      </c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>
      <c r="A114" s="7" t="s">
        <v>23</v>
      </c>
      <c r="B114" s="16" t="s">
        <v>57</v>
      </c>
      <c r="C114" s="20">
        <v>2021.0</v>
      </c>
      <c r="D114" s="17">
        <f>8103.5+8648.5</f>
        <v>16752</v>
      </c>
      <c r="E114" s="18">
        <v>916711.0</v>
      </c>
      <c r="F114" s="19">
        <v>1.12</v>
      </c>
      <c r="G114" s="10">
        <f t="shared" si="1"/>
        <v>10.2671632</v>
      </c>
      <c r="H114" s="19">
        <v>0.78</v>
      </c>
      <c r="I114" s="8">
        <f t="shared" si="2"/>
        <v>7.1503458</v>
      </c>
      <c r="J114" s="19">
        <v>1.63</v>
      </c>
      <c r="K114" s="11">
        <f t="shared" si="3"/>
        <v>14.9423893</v>
      </c>
      <c r="L114" s="11">
        <f t="shared" si="13"/>
        <v>61.28917861</v>
      </c>
      <c r="M114" s="12">
        <f>(I114/D114)*100000</f>
        <v>42.6835351</v>
      </c>
      <c r="N114" s="11">
        <f>(K114/D114)*100000</f>
        <v>89.19764386</v>
      </c>
      <c r="O114" s="19">
        <v>3.8</v>
      </c>
      <c r="P114" s="8">
        <f t="shared" si="338"/>
        <v>34.835018</v>
      </c>
      <c r="Q114" s="19">
        <v>2.06</v>
      </c>
      <c r="R114" s="8">
        <f t="shared" si="339"/>
        <v>18.8842466</v>
      </c>
      <c r="S114" s="19">
        <v>7.9</v>
      </c>
      <c r="T114" s="11">
        <f t="shared" si="340"/>
        <v>72.420169</v>
      </c>
      <c r="U114" s="11">
        <f>(P114/D114)*100000</f>
        <v>207.9454274</v>
      </c>
      <c r="V114" s="11">
        <f>(R114/D114)*100000</f>
        <v>112.7283106</v>
      </c>
      <c r="W114" s="11">
        <f>(T114/D114)*100000</f>
        <v>432.3075991</v>
      </c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hidden="1">
      <c r="A115" s="7" t="s">
        <v>25</v>
      </c>
      <c r="B115" s="16" t="s">
        <v>57</v>
      </c>
      <c r="C115" s="23">
        <v>2030.0</v>
      </c>
      <c r="D115" s="17">
        <f>7640+8145</f>
        <v>15785</v>
      </c>
      <c r="E115" s="10">
        <v>953106.0</v>
      </c>
      <c r="F115" s="19">
        <v>1.12</v>
      </c>
      <c r="G115" s="10">
        <f t="shared" si="1"/>
        <v>10.6747872</v>
      </c>
      <c r="H115" s="19">
        <v>0.78</v>
      </c>
      <c r="I115" s="8">
        <f t="shared" si="2"/>
        <v>7.4342268</v>
      </c>
      <c r="J115" s="19">
        <v>1.63</v>
      </c>
      <c r="K115" s="11">
        <f t="shared" si="3"/>
        <v>15.5356278</v>
      </c>
      <c r="L115" s="11">
        <f t="shared" si="13"/>
        <v>67.62614634</v>
      </c>
      <c r="M115" s="11">
        <f t="shared" ref="M115:M117" si="341">(I115*D115)/100000</f>
        <v>1.1734927</v>
      </c>
      <c r="N115" s="11">
        <f t="shared" ref="N115:N117" si="342">(K115*D115)/100000</f>
        <v>2.452298848</v>
      </c>
      <c r="O115" s="19">
        <v>3.8</v>
      </c>
      <c r="P115" s="19"/>
      <c r="Q115" s="19">
        <v>2.06</v>
      </c>
      <c r="R115" s="19"/>
      <c r="S115" s="19">
        <v>7.9</v>
      </c>
      <c r="T115" s="14"/>
      <c r="U115" s="14">
        <f t="shared" ref="U115:U117" si="343">(O115*D115)/100000</f>
        <v>0.59983</v>
      </c>
      <c r="V115" s="14">
        <f t="shared" ref="V115:V117" si="344">(Q115*D115)/100000</f>
        <v>0.325171</v>
      </c>
      <c r="W115" s="14">
        <f t="shared" ref="W115:W117" si="345">(S115*D115)/100000</f>
        <v>1.247015</v>
      </c>
      <c r="X115" s="13"/>
      <c r="Y115" s="13"/>
      <c r="Z115" s="13" t="str">
        <f t="shared" ref="Z115:Z116" si="346">ROUND(F115, 0) &amp; " (" &amp; ROUND(H115, 0) &amp; "-" &amp; ROUND(J115, 0) &amp; ")"</f>
        <v>1 (1-2)</v>
      </c>
      <c r="AA115" s="13" t="str">
        <f t="shared" ref="AA115:AA116" si="347">ROUND(L115, 0) &amp; " (" &amp; ROUND(M115, 0) &amp; "-" &amp; ROUND(N115, 0) &amp; ")"</f>
        <v>68 (1-2)</v>
      </c>
      <c r="AB115" s="13" t="str">
        <f t="shared" ref="AB115:AB116" si="348">ROUND(O115, 0) &amp; " (" &amp; ROUND(Q115, 0) &amp; "-" &amp; ROUND(S115, 0) &amp; ")"</f>
        <v>4 (2-8)</v>
      </c>
      <c r="AC115" s="13" t="str">
        <f t="shared" ref="AC115:AC116" si="349">ROUND(U115, 0) &amp; " (" &amp; ROUND(V115, 0) &amp; "-" &amp; ROUND(W115, 0) &amp; ")"</f>
        <v>1 (0-1)</v>
      </c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hidden="1">
      <c r="A116" s="7" t="s">
        <v>27</v>
      </c>
      <c r="B116" s="16" t="s">
        <v>57</v>
      </c>
      <c r="C116" s="23">
        <v>2040.0</v>
      </c>
      <c r="D116" s="17">
        <f>7350+7828</f>
        <v>15178</v>
      </c>
      <c r="E116" s="10">
        <v>983858.0</v>
      </c>
      <c r="F116" s="19">
        <v>1.12</v>
      </c>
      <c r="G116" s="10">
        <f t="shared" si="1"/>
        <v>11.0192096</v>
      </c>
      <c r="H116" s="19">
        <v>0.78</v>
      </c>
      <c r="I116" s="8">
        <f t="shared" si="2"/>
        <v>7.6740924</v>
      </c>
      <c r="J116" s="19">
        <v>1.63</v>
      </c>
      <c r="K116" s="11">
        <f t="shared" si="3"/>
        <v>16.0368854</v>
      </c>
      <c r="L116" s="11">
        <f t="shared" si="13"/>
        <v>72.59987877</v>
      </c>
      <c r="M116" s="11">
        <f t="shared" si="341"/>
        <v>1.164773744</v>
      </c>
      <c r="N116" s="11">
        <f t="shared" si="342"/>
        <v>2.434078466</v>
      </c>
      <c r="O116" s="19">
        <v>3.8</v>
      </c>
      <c r="P116" s="19"/>
      <c r="Q116" s="19">
        <v>2.06</v>
      </c>
      <c r="R116" s="19"/>
      <c r="S116" s="19">
        <v>7.9</v>
      </c>
      <c r="T116" s="14"/>
      <c r="U116" s="14">
        <f t="shared" si="343"/>
        <v>0.576764</v>
      </c>
      <c r="V116" s="14">
        <f t="shared" si="344"/>
        <v>0.3126668</v>
      </c>
      <c r="W116" s="14">
        <f t="shared" si="345"/>
        <v>1.199062</v>
      </c>
      <c r="X116" s="13"/>
      <c r="Y116" s="13"/>
      <c r="Z116" s="13" t="str">
        <f t="shared" si="346"/>
        <v>1 (1-2)</v>
      </c>
      <c r="AA116" s="13" t="str">
        <f t="shared" si="347"/>
        <v>73 (1-2)</v>
      </c>
      <c r="AB116" s="13" t="str">
        <f t="shared" si="348"/>
        <v>4 (2-8)</v>
      </c>
      <c r="AC116" s="13" t="str">
        <f t="shared" si="349"/>
        <v>1 (0-1)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hidden="1">
      <c r="A117" s="7" t="s">
        <v>29</v>
      </c>
      <c r="B117" s="16" t="s">
        <v>57</v>
      </c>
      <c r="C117" s="23">
        <v>2050.0</v>
      </c>
      <c r="D117" s="18">
        <f>6709+7143</f>
        <v>13852</v>
      </c>
      <c r="E117" s="10">
        <v>1000261.0</v>
      </c>
      <c r="F117" s="19">
        <v>1.12</v>
      </c>
      <c r="G117" s="10">
        <f t="shared" si="1"/>
        <v>11.2029232</v>
      </c>
      <c r="H117" s="19">
        <v>0.78</v>
      </c>
      <c r="I117" s="8">
        <f t="shared" si="2"/>
        <v>7.8020358</v>
      </c>
      <c r="J117" s="19">
        <v>1.63</v>
      </c>
      <c r="K117" s="11">
        <f t="shared" si="3"/>
        <v>16.3042543</v>
      </c>
      <c r="L117" s="11">
        <f t="shared" si="13"/>
        <v>80.87585331</v>
      </c>
      <c r="M117" s="11">
        <f t="shared" si="341"/>
        <v>1.080737999</v>
      </c>
      <c r="N117" s="11">
        <f t="shared" si="342"/>
        <v>2.258465306</v>
      </c>
      <c r="O117" s="19">
        <v>3.8</v>
      </c>
      <c r="P117" s="8">
        <f t="shared" ref="P117:P118" si="350">(O117/100000)*E117</f>
        <v>38.009918</v>
      </c>
      <c r="Q117" s="19">
        <v>2.06</v>
      </c>
      <c r="R117" s="8">
        <f t="shared" ref="R117:R118" si="351">(Q117/100000)*E117</f>
        <v>20.6053766</v>
      </c>
      <c r="S117" s="19">
        <v>7.9</v>
      </c>
      <c r="T117" s="11">
        <f t="shared" ref="T117:T118" si="352">(S117/100000)*E117</f>
        <v>79.020619</v>
      </c>
      <c r="U117" s="14">
        <f t="shared" si="343"/>
        <v>0.526376</v>
      </c>
      <c r="V117" s="14">
        <f t="shared" si="344"/>
        <v>0.2853512</v>
      </c>
      <c r="W117" s="14">
        <f t="shared" si="345"/>
        <v>1.094308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>
      <c r="A118" s="7" t="s">
        <v>23</v>
      </c>
      <c r="B118" s="16" t="s">
        <v>58</v>
      </c>
      <c r="C118" s="20">
        <v>2021.0</v>
      </c>
      <c r="D118" s="17">
        <f>1437+1536</f>
        <v>2973</v>
      </c>
      <c r="E118" s="18">
        <v>163730.0</v>
      </c>
      <c r="F118" s="19">
        <v>1.27</v>
      </c>
      <c r="G118" s="10">
        <f t="shared" si="1"/>
        <v>2.079371</v>
      </c>
      <c r="H118" s="19">
        <v>0.83</v>
      </c>
      <c r="I118" s="8">
        <f t="shared" si="2"/>
        <v>1.358959</v>
      </c>
      <c r="J118" s="19">
        <v>1.91</v>
      </c>
      <c r="K118" s="11">
        <f t="shared" si="3"/>
        <v>3.127243</v>
      </c>
      <c r="L118" s="11">
        <f t="shared" si="13"/>
        <v>69.94184326</v>
      </c>
      <c r="M118" s="12">
        <f>(I118/D118)*100000</f>
        <v>45.71002355</v>
      </c>
      <c r="N118" s="11">
        <f>(K118/D118)*100000</f>
        <v>105.1881265</v>
      </c>
      <c r="O118" s="19">
        <v>2.72</v>
      </c>
      <c r="P118" s="8">
        <f t="shared" si="350"/>
        <v>4.453456</v>
      </c>
      <c r="Q118" s="19">
        <v>1.57</v>
      </c>
      <c r="R118" s="8">
        <f t="shared" si="351"/>
        <v>2.570561</v>
      </c>
      <c r="S118" s="19">
        <v>5.03</v>
      </c>
      <c r="T118" s="11">
        <f t="shared" si="352"/>
        <v>8.235619</v>
      </c>
      <c r="U118" s="11">
        <f>(P118/D118)*100000</f>
        <v>149.7967037</v>
      </c>
      <c r="V118" s="11">
        <f>(R118/D118)*100000</f>
        <v>86.46353851</v>
      </c>
      <c r="W118" s="11">
        <f>(T118/D118)*100000</f>
        <v>277.0137571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hidden="1">
      <c r="A119" s="7" t="s">
        <v>25</v>
      </c>
      <c r="B119" s="16" t="s">
        <v>58</v>
      </c>
      <c r="C119" s="23">
        <v>2030.0</v>
      </c>
      <c r="D119" s="17">
        <f>1325+1415</f>
        <v>2740</v>
      </c>
      <c r="E119" s="10">
        <v>174635.0</v>
      </c>
      <c r="F119" s="19">
        <v>1.27</v>
      </c>
      <c r="G119" s="10">
        <f t="shared" si="1"/>
        <v>2.2178645</v>
      </c>
      <c r="H119" s="19">
        <v>0.83</v>
      </c>
      <c r="I119" s="8">
        <f t="shared" si="2"/>
        <v>1.4494705</v>
      </c>
      <c r="J119" s="19">
        <v>1.91</v>
      </c>
      <c r="K119" s="11">
        <f t="shared" si="3"/>
        <v>3.3355285</v>
      </c>
      <c r="L119" s="11">
        <f t="shared" si="13"/>
        <v>80.94395985</v>
      </c>
      <c r="M119" s="11">
        <f t="shared" ref="M119:M121" si="353">(I119*D119)/100000</f>
        <v>0.0397154917</v>
      </c>
      <c r="N119" s="11">
        <f t="shared" ref="N119:N121" si="354">(K119*D119)/100000</f>
        <v>0.0913934809</v>
      </c>
      <c r="O119" s="19">
        <v>2.72</v>
      </c>
      <c r="P119" s="19"/>
      <c r="Q119" s="19">
        <v>1.57</v>
      </c>
      <c r="R119" s="19"/>
      <c r="S119" s="19">
        <v>5.03</v>
      </c>
      <c r="T119" s="14"/>
      <c r="U119" s="14">
        <f t="shared" ref="U119:U121" si="355">(O119*D119)/100000</f>
        <v>0.074528</v>
      </c>
      <c r="V119" s="14">
        <f t="shared" ref="V119:V121" si="356">(Q119*D119)/100000</f>
        <v>0.043018</v>
      </c>
      <c r="W119" s="14">
        <f t="shared" ref="W119:W121" si="357">(S119*D119)/100000</f>
        <v>0.137822</v>
      </c>
      <c r="X119" s="13"/>
      <c r="Y119" s="13"/>
      <c r="Z119" s="13" t="str">
        <f t="shared" ref="Z119:Z120" si="358">ROUND(F119, 0) &amp; " (" &amp; ROUND(H119, 0) &amp; "-" &amp; ROUND(J119, 0) &amp; ")"</f>
        <v>1 (1-2)</v>
      </c>
      <c r="AA119" s="13" t="str">
        <f t="shared" ref="AA119:AA120" si="359">ROUND(L119, 0) &amp; " (" &amp; ROUND(M119, 0) &amp; "-" &amp; ROUND(N119, 0) &amp; ")"</f>
        <v>81 (0-0)</v>
      </c>
      <c r="AB119" s="13" t="str">
        <f t="shared" ref="AB119:AB120" si="360">ROUND(O119, 0) &amp; " (" &amp; ROUND(Q119, 0) &amp; "-" &amp; ROUND(S119, 0) &amp; ")"</f>
        <v>3 (2-5)</v>
      </c>
      <c r="AC119" s="13" t="str">
        <f t="shared" ref="AC119:AC120" si="361">ROUND(U119, 0) &amp; " (" &amp; ROUND(V119, 0) &amp; "-" &amp; ROUND(W119, 0) &amp; ")"</f>
        <v>0 (0-0)</v>
      </c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hidden="1">
      <c r="A120" s="7" t="s">
        <v>27</v>
      </c>
      <c r="B120" s="16" t="s">
        <v>58</v>
      </c>
      <c r="C120" s="23">
        <v>2040.0</v>
      </c>
      <c r="D120" s="17">
        <f>1319+1409</f>
        <v>2728</v>
      </c>
      <c r="E120" s="10">
        <v>183620.0</v>
      </c>
      <c r="F120" s="19">
        <v>1.27</v>
      </c>
      <c r="G120" s="10">
        <f t="shared" si="1"/>
        <v>2.331974</v>
      </c>
      <c r="H120" s="19">
        <v>0.83</v>
      </c>
      <c r="I120" s="8">
        <f t="shared" si="2"/>
        <v>1.524046</v>
      </c>
      <c r="J120" s="19">
        <v>1.91</v>
      </c>
      <c r="K120" s="11">
        <f t="shared" si="3"/>
        <v>3.507142</v>
      </c>
      <c r="L120" s="11">
        <f t="shared" si="13"/>
        <v>85.48291789</v>
      </c>
      <c r="M120" s="11">
        <f t="shared" si="353"/>
        <v>0.04157597488</v>
      </c>
      <c r="N120" s="11">
        <f t="shared" si="354"/>
        <v>0.09567483376</v>
      </c>
      <c r="O120" s="19">
        <v>2.72</v>
      </c>
      <c r="P120" s="19"/>
      <c r="Q120" s="19">
        <v>1.57</v>
      </c>
      <c r="R120" s="19"/>
      <c r="S120" s="19">
        <v>5.03</v>
      </c>
      <c r="T120" s="14"/>
      <c r="U120" s="14">
        <f t="shared" si="355"/>
        <v>0.0742016</v>
      </c>
      <c r="V120" s="14">
        <f t="shared" si="356"/>
        <v>0.0428296</v>
      </c>
      <c r="W120" s="14">
        <f t="shared" si="357"/>
        <v>0.1372184</v>
      </c>
      <c r="X120" s="13"/>
      <c r="Y120" s="13"/>
      <c r="Z120" s="13" t="str">
        <f t="shared" si="358"/>
        <v>1 (1-2)</v>
      </c>
      <c r="AA120" s="13" t="str">
        <f t="shared" si="359"/>
        <v>85 (0-0)</v>
      </c>
      <c r="AB120" s="13" t="str">
        <f t="shared" si="360"/>
        <v>3 (2-5)</v>
      </c>
      <c r="AC120" s="13" t="str">
        <f t="shared" si="361"/>
        <v>0 (0-0)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hidden="1">
      <c r="A121" s="7" t="s">
        <v>29</v>
      </c>
      <c r="B121" s="16" t="s">
        <v>58</v>
      </c>
      <c r="C121" s="23">
        <v>2050.0</v>
      </c>
      <c r="D121" s="17">
        <f>1337+1430</f>
        <v>2767</v>
      </c>
      <c r="E121" s="10">
        <v>191458.0</v>
      </c>
      <c r="F121" s="19">
        <v>1.27</v>
      </c>
      <c r="G121" s="10">
        <f t="shared" si="1"/>
        <v>2.4315166</v>
      </c>
      <c r="H121" s="19">
        <v>0.83</v>
      </c>
      <c r="I121" s="8">
        <f t="shared" si="2"/>
        <v>1.5891014</v>
      </c>
      <c r="J121" s="19">
        <v>1.91</v>
      </c>
      <c r="K121" s="11">
        <f t="shared" si="3"/>
        <v>3.6568478</v>
      </c>
      <c r="L121" s="11">
        <f t="shared" si="13"/>
        <v>87.87555475</v>
      </c>
      <c r="M121" s="11">
        <f t="shared" si="353"/>
        <v>0.04397043574</v>
      </c>
      <c r="N121" s="11">
        <f t="shared" si="354"/>
        <v>0.1011849786</v>
      </c>
      <c r="O121" s="19">
        <v>2.72</v>
      </c>
      <c r="P121" s="8">
        <f t="shared" ref="P121:P122" si="362">(O121/100000)*E121</f>
        <v>5.2076576</v>
      </c>
      <c r="Q121" s="19">
        <v>1.57</v>
      </c>
      <c r="R121" s="8">
        <f t="shared" ref="R121:R122" si="363">(Q121/100000)*E121</f>
        <v>3.0058906</v>
      </c>
      <c r="S121" s="19">
        <v>5.03</v>
      </c>
      <c r="T121" s="11">
        <f t="shared" ref="T121:T122" si="364">(S121/100000)*E121</f>
        <v>9.6303374</v>
      </c>
      <c r="U121" s="14">
        <f t="shared" si="355"/>
        <v>0.0752624</v>
      </c>
      <c r="V121" s="14">
        <f t="shared" si="356"/>
        <v>0.0434419</v>
      </c>
      <c r="W121" s="14">
        <f t="shared" si="357"/>
        <v>0.1391801</v>
      </c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>
      <c r="A122" s="7" t="s">
        <v>23</v>
      </c>
      <c r="B122" s="16" t="s">
        <v>59</v>
      </c>
      <c r="C122" s="20">
        <v>2021.0</v>
      </c>
      <c r="D122" s="17">
        <f>1610+1713</f>
        <v>3323</v>
      </c>
      <c r="E122" s="18">
        <v>128377.0</v>
      </c>
      <c r="F122" s="19">
        <v>1.51</v>
      </c>
      <c r="G122" s="10">
        <f t="shared" si="1"/>
        <v>1.9384927</v>
      </c>
      <c r="H122" s="19">
        <v>1.08</v>
      </c>
      <c r="I122" s="8">
        <f t="shared" si="2"/>
        <v>1.3864716</v>
      </c>
      <c r="J122" s="19">
        <v>2.19</v>
      </c>
      <c r="K122" s="11">
        <f t="shared" si="3"/>
        <v>2.8114563</v>
      </c>
      <c r="L122" s="11">
        <f t="shared" si="13"/>
        <v>58.33562143</v>
      </c>
      <c r="M122" s="12">
        <f>(I122/D122)*100000</f>
        <v>41.72349082</v>
      </c>
      <c r="N122" s="11">
        <f>(K122/D122)*100000</f>
        <v>84.6059675</v>
      </c>
      <c r="O122" s="19">
        <v>13.38</v>
      </c>
      <c r="P122" s="8">
        <f t="shared" si="362"/>
        <v>17.1768426</v>
      </c>
      <c r="Q122" s="19">
        <v>3.52</v>
      </c>
      <c r="R122" s="8">
        <f t="shared" si="363"/>
        <v>4.5188704</v>
      </c>
      <c r="S122" s="19">
        <v>39.66</v>
      </c>
      <c r="T122" s="11">
        <f t="shared" si="364"/>
        <v>50.9143182</v>
      </c>
      <c r="U122" s="11">
        <f>(P122/D122)*100000</f>
        <v>516.9076918</v>
      </c>
      <c r="V122" s="11">
        <f>(R122/D122)*100000</f>
        <v>135.9876738</v>
      </c>
      <c r="W122" s="11">
        <f>(T122/D122)*100000</f>
        <v>1532.179302</v>
      </c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hidden="1">
      <c r="A123" s="7" t="s">
        <v>25</v>
      </c>
      <c r="B123" s="16" t="s">
        <v>59</v>
      </c>
      <c r="C123" s="23">
        <v>2030.0</v>
      </c>
      <c r="D123" s="17">
        <f>1577+1674</f>
        <v>3251</v>
      </c>
      <c r="E123" s="10">
        <v>146126.0</v>
      </c>
      <c r="F123" s="19">
        <v>1.51</v>
      </c>
      <c r="G123" s="10">
        <f t="shared" si="1"/>
        <v>2.2065026</v>
      </c>
      <c r="H123" s="19">
        <v>1.08</v>
      </c>
      <c r="I123" s="8">
        <f t="shared" si="2"/>
        <v>1.5781608</v>
      </c>
      <c r="J123" s="19">
        <v>2.19</v>
      </c>
      <c r="K123" s="11">
        <f t="shared" si="3"/>
        <v>3.2001594</v>
      </c>
      <c r="L123" s="11">
        <f t="shared" si="13"/>
        <v>67.87150415</v>
      </c>
      <c r="M123" s="11">
        <f t="shared" ref="M123:M125" si="365">(I123*D123)/100000</f>
        <v>0.05130600761</v>
      </c>
      <c r="N123" s="11">
        <f t="shared" ref="N123:N125" si="366">(K123*D123)/100000</f>
        <v>0.1040371821</v>
      </c>
      <c r="O123" s="19">
        <v>13.38</v>
      </c>
      <c r="P123" s="19"/>
      <c r="Q123" s="19">
        <v>3.52</v>
      </c>
      <c r="R123" s="19"/>
      <c r="S123" s="19">
        <v>39.66</v>
      </c>
      <c r="T123" s="14"/>
      <c r="U123" s="14">
        <f t="shared" ref="U123:U125" si="367">(O123*D123)/100000</f>
        <v>0.4349838</v>
      </c>
      <c r="V123" s="14">
        <f t="shared" ref="V123:V125" si="368">(Q123*D123)/100000</f>
        <v>0.1144352</v>
      </c>
      <c r="W123" s="14">
        <f t="shared" ref="W123:W125" si="369">(S123*D123)/100000</f>
        <v>1.2893466</v>
      </c>
      <c r="X123" s="13"/>
      <c r="Y123" s="13"/>
      <c r="Z123" s="13" t="str">
        <f t="shared" ref="Z123:Z124" si="370">ROUND(F123, 0) &amp; " (" &amp; ROUND(H123, 0) &amp; "-" &amp; ROUND(J123, 0) &amp; ")"</f>
        <v>2 (1-2)</v>
      </c>
      <c r="AA123" s="13" t="str">
        <f t="shared" ref="AA123:AA124" si="371">ROUND(L123, 0) &amp; " (" &amp; ROUND(M123, 0) &amp; "-" &amp; ROUND(N123, 0) &amp; ")"</f>
        <v>68 (0-0)</v>
      </c>
      <c r="AB123" s="13" t="str">
        <f t="shared" ref="AB123:AB124" si="372">ROUND(O123, 0) &amp; " (" &amp; ROUND(Q123, 0) &amp; "-" &amp; ROUND(S123, 0) &amp; ")"</f>
        <v>13 (4-40)</v>
      </c>
      <c r="AC123" s="13" t="str">
        <f t="shared" ref="AC123:AC124" si="373">ROUND(U123, 0) &amp; " (" &amp; ROUND(V123, 0) &amp; "-" &amp; ROUND(W123, 0) &amp; ")"</f>
        <v>0 (0-1)</v>
      </c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hidden="1">
      <c r="A124" s="7" t="s">
        <v>27</v>
      </c>
      <c r="B124" s="16" t="s">
        <v>59</v>
      </c>
      <c r="C124" s="23">
        <v>2040.0</v>
      </c>
      <c r="D124" s="17">
        <f>1651+1750</f>
        <v>3401</v>
      </c>
      <c r="E124" s="10">
        <v>164700.0</v>
      </c>
      <c r="F124" s="19">
        <v>1.51</v>
      </c>
      <c r="G124" s="10">
        <f t="shared" si="1"/>
        <v>2.48697</v>
      </c>
      <c r="H124" s="19">
        <v>1.08</v>
      </c>
      <c r="I124" s="8">
        <f t="shared" si="2"/>
        <v>1.77876</v>
      </c>
      <c r="J124" s="19">
        <v>2.19</v>
      </c>
      <c r="K124" s="11">
        <f t="shared" si="3"/>
        <v>3.60693</v>
      </c>
      <c r="L124" s="11">
        <f t="shared" si="13"/>
        <v>73.12466921</v>
      </c>
      <c r="M124" s="11">
        <f t="shared" si="365"/>
        <v>0.0604956276</v>
      </c>
      <c r="N124" s="11">
        <f t="shared" si="366"/>
        <v>0.1226716893</v>
      </c>
      <c r="O124" s="19">
        <v>13.38</v>
      </c>
      <c r="P124" s="19"/>
      <c r="Q124" s="19">
        <v>3.52</v>
      </c>
      <c r="R124" s="19"/>
      <c r="S124" s="19">
        <v>39.66</v>
      </c>
      <c r="T124" s="14"/>
      <c r="U124" s="14">
        <f t="shared" si="367"/>
        <v>0.4550538</v>
      </c>
      <c r="V124" s="14">
        <f t="shared" si="368"/>
        <v>0.1197152</v>
      </c>
      <c r="W124" s="14">
        <f t="shared" si="369"/>
        <v>1.3488366</v>
      </c>
      <c r="X124" s="13"/>
      <c r="Y124" s="13"/>
      <c r="Z124" s="13" t="str">
        <f t="shared" si="370"/>
        <v>2 (1-2)</v>
      </c>
      <c r="AA124" s="13" t="str">
        <f t="shared" si="371"/>
        <v>73 (0-0)</v>
      </c>
      <c r="AB124" s="13" t="str">
        <f t="shared" si="372"/>
        <v>13 (4-40)</v>
      </c>
      <c r="AC124" s="13" t="str">
        <f t="shared" si="373"/>
        <v>0 (0-1)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hidden="1">
      <c r="A125" s="7" t="s">
        <v>29</v>
      </c>
      <c r="B125" s="16" t="s">
        <v>59</v>
      </c>
      <c r="C125" s="23">
        <v>2050.0</v>
      </c>
      <c r="D125" s="17">
        <f>1670+1769</f>
        <v>3439</v>
      </c>
      <c r="E125" s="10">
        <v>182621.0</v>
      </c>
      <c r="F125" s="19">
        <v>1.51</v>
      </c>
      <c r="G125" s="10">
        <f t="shared" si="1"/>
        <v>2.7575771</v>
      </c>
      <c r="H125" s="19">
        <v>1.08</v>
      </c>
      <c r="I125" s="8">
        <f t="shared" si="2"/>
        <v>1.9723068</v>
      </c>
      <c r="J125" s="19">
        <v>2.19</v>
      </c>
      <c r="K125" s="11">
        <f t="shared" si="3"/>
        <v>3.9993999</v>
      </c>
      <c r="L125" s="11">
        <f t="shared" si="13"/>
        <v>80.18543472</v>
      </c>
      <c r="M125" s="11">
        <f t="shared" si="365"/>
        <v>0.06782763085</v>
      </c>
      <c r="N125" s="11">
        <f t="shared" si="366"/>
        <v>0.1375393626</v>
      </c>
      <c r="O125" s="19">
        <v>13.38</v>
      </c>
      <c r="P125" s="8">
        <f t="shared" ref="P125:P126" si="374">(O125/100000)*E125</f>
        <v>24.4346898</v>
      </c>
      <c r="Q125" s="19">
        <v>3.52</v>
      </c>
      <c r="R125" s="8">
        <f t="shared" ref="R125:R126" si="375">(Q125/100000)*E125</f>
        <v>6.4282592</v>
      </c>
      <c r="S125" s="19">
        <v>39.66</v>
      </c>
      <c r="T125" s="11">
        <f t="shared" ref="T125:T126" si="376">(S125/100000)*E125</f>
        <v>72.4274886</v>
      </c>
      <c r="U125" s="14">
        <f t="shared" si="367"/>
        <v>0.4601382</v>
      </c>
      <c r="V125" s="14">
        <f t="shared" si="368"/>
        <v>0.1210528</v>
      </c>
      <c r="W125" s="14">
        <f t="shared" si="369"/>
        <v>1.3639074</v>
      </c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>
      <c r="A126" s="7" t="s">
        <v>23</v>
      </c>
      <c r="B126" s="16" t="s">
        <v>60</v>
      </c>
      <c r="C126" s="20">
        <v>2021.0</v>
      </c>
      <c r="D126" s="17">
        <f>449+483</f>
        <v>932</v>
      </c>
      <c r="E126" s="18">
        <v>41367.0</v>
      </c>
      <c r="F126" s="19">
        <v>1.38</v>
      </c>
      <c r="G126" s="10">
        <f t="shared" si="1"/>
        <v>0.5708646</v>
      </c>
      <c r="H126" s="19">
        <v>0.97</v>
      </c>
      <c r="I126" s="22">
        <f t="shared" si="2"/>
        <v>0.4012599</v>
      </c>
      <c r="J126" s="19">
        <v>1.98</v>
      </c>
      <c r="K126" s="11">
        <f t="shared" si="3"/>
        <v>0.8190666</v>
      </c>
      <c r="L126" s="11">
        <f t="shared" si="13"/>
        <v>61.25156652</v>
      </c>
      <c r="M126" s="12">
        <f>(I126/D126)*100000</f>
        <v>43.05363734</v>
      </c>
      <c r="N126" s="11">
        <f>(K126/D126)*100000</f>
        <v>87.8826824</v>
      </c>
      <c r="O126" s="19">
        <v>5.74</v>
      </c>
      <c r="P126" s="8">
        <f t="shared" si="374"/>
        <v>2.3744658</v>
      </c>
      <c r="Q126" s="19">
        <v>2.38</v>
      </c>
      <c r="R126" s="8">
        <f t="shared" si="375"/>
        <v>0.9845346</v>
      </c>
      <c r="S126" s="19">
        <v>13.09</v>
      </c>
      <c r="T126" s="11">
        <f t="shared" si="376"/>
        <v>5.4149403</v>
      </c>
      <c r="U126" s="11">
        <f>(P126/D126)*100000</f>
        <v>254.7710086</v>
      </c>
      <c r="V126" s="11">
        <f>(R126/D126)*100000</f>
        <v>105.6367597</v>
      </c>
      <c r="W126" s="11">
        <f>(T126/D126)*100000</f>
        <v>581.0021781</v>
      </c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hidden="1">
      <c r="A127" s="7" t="s">
        <v>25</v>
      </c>
      <c r="B127" s="16" t="s">
        <v>60</v>
      </c>
      <c r="C127" s="23">
        <v>2030.0</v>
      </c>
      <c r="D127" s="17">
        <f>283+301</f>
        <v>584</v>
      </c>
      <c r="E127" s="10">
        <v>31186.0</v>
      </c>
      <c r="F127" s="19">
        <v>1.38</v>
      </c>
      <c r="G127" s="21">
        <f t="shared" si="1"/>
        <v>0.4303668</v>
      </c>
      <c r="H127" s="19">
        <v>0.97</v>
      </c>
      <c r="I127" s="22">
        <f t="shared" si="2"/>
        <v>0.3025042</v>
      </c>
      <c r="J127" s="19">
        <v>1.98</v>
      </c>
      <c r="K127" s="11">
        <f t="shared" si="3"/>
        <v>0.6174828</v>
      </c>
      <c r="L127" s="11">
        <f t="shared" si="13"/>
        <v>73.69294521</v>
      </c>
      <c r="M127" s="11">
        <f t="shared" ref="M127:M129" si="377">(I127*D127)/100000</f>
        <v>0.001766624528</v>
      </c>
      <c r="N127" s="11">
        <f t="shared" ref="N127:N129" si="378">(K127*D127)/100000</f>
        <v>0.003606099552</v>
      </c>
      <c r="O127" s="19">
        <v>5.74</v>
      </c>
      <c r="P127" s="19"/>
      <c r="Q127" s="19">
        <v>2.38</v>
      </c>
      <c r="R127" s="19"/>
      <c r="S127" s="19">
        <v>13.09</v>
      </c>
      <c r="T127" s="14"/>
      <c r="U127" s="14">
        <f t="shared" ref="U127:U129" si="379">(O127*D127)/100000</f>
        <v>0.0335216</v>
      </c>
      <c r="V127" s="14">
        <f t="shared" ref="V127:V129" si="380">(Q127*D127)/100000</f>
        <v>0.0138992</v>
      </c>
      <c r="W127" s="14">
        <f t="shared" ref="W127:W129" si="381">(S127*D127)/100000</f>
        <v>0.0764456</v>
      </c>
      <c r="X127" s="13"/>
      <c r="Y127" s="13"/>
      <c r="Z127" s="13" t="str">
        <f t="shared" ref="Z127:Z128" si="382">ROUND(F127, 0) &amp; " (" &amp; ROUND(H127, 0) &amp; "-" &amp; ROUND(J127, 0) &amp; ")"</f>
        <v>1 (1-2)</v>
      </c>
      <c r="AA127" s="13" t="str">
        <f t="shared" ref="AA127:AA128" si="383">ROUND(L127, 0) &amp; " (" &amp; ROUND(M127, 0) &amp; "-" &amp; ROUND(N127, 0) &amp; ")"</f>
        <v>74 (0-0)</v>
      </c>
      <c r="AB127" s="13" t="str">
        <f t="shared" ref="AB127:AB128" si="384">ROUND(O127, 0) &amp; " (" &amp; ROUND(Q127, 0) &amp; "-" &amp; ROUND(S127, 0) &amp; ")"</f>
        <v>6 (2-13)</v>
      </c>
      <c r="AC127" s="13" t="str">
        <f t="shared" ref="AC127:AC128" si="385">ROUND(U127, 0) &amp; " (" &amp; ROUND(V127, 0) &amp; "-" &amp; ROUND(W127, 0) &amp; ")"</f>
        <v>0 (0-0)</v>
      </c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hidden="1">
      <c r="A128" s="7" t="s">
        <v>27</v>
      </c>
      <c r="B128" s="16" t="s">
        <v>60</v>
      </c>
      <c r="C128" s="23">
        <v>2040.0</v>
      </c>
      <c r="D128" s="17">
        <f>279+297</f>
        <v>576</v>
      </c>
      <c r="E128" s="10">
        <v>26597.0</v>
      </c>
      <c r="F128" s="19">
        <v>1.38</v>
      </c>
      <c r="G128" s="21">
        <f t="shared" si="1"/>
        <v>0.3670386</v>
      </c>
      <c r="H128" s="19">
        <v>0.97</v>
      </c>
      <c r="I128" s="22">
        <f t="shared" si="2"/>
        <v>0.2579909</v>
      </c>
      <c r="J128" s="19">
        <v>1.98</v>
      </c>
      <c r="K128" s="11">
        <f t="shared" si="3"/>
        <v>0.5266206</v>
      </c>
      <c r="L128" s="11">
        <f t="shared" si="13"/>
        <v>63.72197917</v>
      </c>
      <c r="M128" s="11">
        <f t="shared" si="377"/>
        <v>0.001486027584</v>
      </c>
      <c r="N128" s="11">
        <f t="shared" si="378"/>
        <v>0.003033334656</v>
      </c>
      <c r="O128" s="19">
        <v>5.74</v>
      </c>
      <c r="P128" s="19"/>
      <c r="Q128" s="19">
        <v>2.38</v>
      </c>
      <c r="R128" s="19"/>
      <c r="S128" s="19">
        <v>13.09</v>
      </c>
      <c r="T128" s="14"/>
      <c r="U128" s="14">
        <f t="shared" si="379"/>
        <v>0.0330624</v>
      </c>
      <c r="V128" s="14">
        <f t="shared" si="380"/>
        <v>0.0137088</v>
      </c>
      <c r="W128" s="14">
        <f t="shared" si="381"/>
        <v>0.0753984</v>
      </c>
      <c r="X128" s="13"/>
      <c r="Y128" s="13"/>
      <c r="Z128" s="13" t="str">
        <f t="shared" si="382"/>
        <v>1 (1-2)</v>
      </c>
      <c r="AA128" s="13" t="str">
        <f t="shared" si="383"/>
        <v>64 (0-0)</v>
      </c>
      <c r="AB128" s="13" t="str">
        <f t="shared" si="384"/>
        <v>6 (2-13)</v>
      </c>
      <c r="AC128" s="13" t="str">
        <f t="shared" si="385"/>
        <v>0 (0-0)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hidden="1">
      <c r="A129" s="7" t="s">
        <v>29</v>
      </c>
      <c r="B129" s="16" t="s">
        <v>60</v>
      </c>
      <c r="C129" s="23">
        <v>2050.0</v>
      </c>
      <c r="D129" s="17">
        <f>210+223</f>
        <v>433</v>
      </c>
      <c r="E129" s="10">
        <v>25195.0</v>
      </c>
      <c r="F129" s="19">
        <v>1.38</v>
      </c>
      <c r="G129" s="21">
        <f t="shared" si="1"/>
        <v>0.347691</v>
      </c>
      <c r="H129" s="19">
        <v>0.97</v>
      </c>
      <c r="I129" s="22">
        <f t="shared" si="2"/>
        <v>0.2443915</v>
      </c>
      <c r="J129" s="19">
        <v>1.98</v>
      </c>
      <c r="K129" s="14">
        <f t="shared" si="3"/>
        <v>0.498861</v>
      </c>
      <c r="L129" s="11">
        <f t="shared" si="13"/>
        <v>80.29815242</v>
      </c>
      <c r="M129" s="11">
        <f t="shared" si="377"/>
        <v>0.001058215195</v>
      </c>
      <c r="N129" s="11">
        <f t="shared" si="378"/>
        <v>0.00216006813</v>
      </c>
      <c r="O129" s="19">
        <v>5.74</v>
      </c>
      <c r="P129" s="8">
        <f t="shared" ref="P129:P130" si="386">(O129/100000)*E129</f>
        <v>1.446193</v>
      </c>
      <c r="Q129" s="19">
        <v>2.38</v>
      </c>
      <c r="R129" s="8">
        <f t="shared" ref="R129:R130" si="387">(Q129/100000)*E129</f>
        <v>0.599641</v>
      </c>
      <c r="S129" s="19">
        <v>13.09</v>
      </c>
      <c r="T129" s="11">
        <f t="shared" ref="T129:T130" si="388">(S129/100000)*E129</f>
        <v>3.2980255</v>
      </c>
      <c r="U129" s="14">
        <f t="shared" si="379"/>
        <v>0.0248542</v>
      </c>
      <c r="V129" s="14">
        <f t="shared" si="380"/>
        <v>0.0103054</v>
      </c>
      <c r="W129" s="14">
        <f t="shared" si="381"/>
        <v>0.0566797</v>
      </c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>
      <c r="A130" s="7" t="s">
        <v>23</v>
      </c>
      <c r="B130" s="16" t="s">
        <v>61</v>
      </c>
      <c r="C130" s="20">
        <v>2021.0</v>
      </c>
      <c r="D130" s="17">
        <f>1193+1270</f>
        <v>2463</v>
      </c>
      <c r="E130" s="18">
        <v>111624.0</v>
      </c>
      <c r="F130" s="19">
        <v>1.13</v>
      </c>
      <c r="G130" s="10">
        <f t="shared" si="1"/>
        <v>1.2613512</v>
      </c>
      <c r="H130" s="19">
        <v>0.8</v>
      </c>
      <c r="I130" s="8">
        <f t="shared" si="2"/>
        <v>0.892992</v>
      </c>
      <c r="J130" s="19">
        <v>1.6</v>
      </c>
      <c r="K130" s="11">
        <f t="shared" si="3"/>
        <v>1.785984</v>
      </c>
      <c r="L130" s="11">
        <f t="shared" si="13"/>
        <v>51.21198538</v>
      </c>
      <c r="M130" s="12">
        <f>(I130/D130)*100000</f>
        <v>36.25627284</v>
      </c>
      <c r="N130" s="11">
        <f>(K130/D130)*100000</f>
        <v>72.51254568</v>
      </c>
      <c r="O130" s="19">
        <v>5.45</v>
      </c>
      <c r="P130" s="8">
        <f t="shared" si="386"/>
        <v>6.083508</v>
      </c>
      <c r="Q130" s="19">
        <v>2.4</v>
      </c>
      <c r="R130" s="8">
        <f t="shared" si="387"/>
        <v>2.678976</v>
      </c>
      <c r="S130" s="19">
        <v>10.46</v>
      </c>
      <c r="T130" s="11">
        <f t="shared" si="388"/>
        <v>11.6758704</v>
      </c>
      <c r="U130" s="11">
        <f>(P130/D130)*100000</f>
        <v>246.9958587</v>
      </c>
      <c r="V130" s="11">
        <f>(R130/D130)*100000</f>
        <v>108.7688185</v>
      </c>
      <c r="W130" s="11">
        <f>(T130/D130)*100000</f>
        <v>474.0507674</v>
      </c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hidden="1">
      <c r="A131" s="7" t="s">
        <v>25</v>
      </c>
      <c r="B131" s="16" t="s">
        <v>61</v>
      </c>
      <c r="C131" s="23">
        <v>2030.0</v>
      </c>
      <c r="D131" s="17">
        <f>1173+1249</f>
        <v>2422</v>
      </c>
      <c r="E131" s="10">
        <v>116350.0</v>
      </c>
      <c r="F131" s="19">
        <v>1.13</v>
      </c>
      <c r="G131" s="10">
        <f t="shared" si="1"/>
        <v>1.314755</v>
      </c>
      <c r="H131" s="19">
        <v>0.8</v>
      </c>
      <c r="I131" s="8">
        <f t="shared" si="2"/>
        <v>0.9308</v>
      </c>
      <c r="J131" s="19">
        <v>1.6</v>
      </c>
      <c r="K131" s="11">
        <f t="shared" si="3"/>
        <v>1.8616</v>
      </c>
      <c r="L131" s="11">
        <f t="shared" si="13"/>
        <v>54.28385632</v>
      </c>
      <c r="M131" s="11">
        <f t="shared" ref="M131:M133" si="389">(I131*D131)/100000</f>
        <v>0.022543976</v>
      </c>
      <c r="N131" s="11">
        <f t="shared" ref="N131:N133" si="390">(K131*D131)/100000</f>
        <v>0.045087952</v>
      </c>
      <c r="O131" s="19">
        <v>5.45</v>
      </c>
      <c r="P131" s="19"/>
      <c r="Q131" s="19">
        <v>2.4</v>
      </c>
      <c r="R131" s="19"/>
      <c r="S131" s="19">
        <v>10.46</v>
      </c>
      <c r="T131" s="14"/>
      <c r="U131" s="14">
        <f t="shared" ref="U131:U133" si="391">(O131*D131)/100000</f>
        <v>0.131999</v>
      </c>
      <c r="V131" s="14">
        <f t="shared" ref="V131:V133" si="392">(Q131*D131)/100000</f>
        <v>0.058128</v>
      </c>
      <c r="W131" s="14">
        <f t="shared" ref="W131:W133" si="393">(S131*D131)/100000</f>
        <v>0.2533412</v>
      </c>
      <c r="X131" s="13"/>
      <c r="Y131" s="13"/>
      <c r="Z131" s="13" t="str">
        <f t="shared" ref="Z131:Z132" si="394">ROUND(F131, 0) &amp; " (" &amp; ROUND(H131, 0) &amp; "-" &amp; ROUND(J131, 0) &amp; ")"</f>
        <v>1 (1-2)</v>
      </c>
      <c r="AA131" s="13" t="str">
        <f t="shared" ref="AA131:AA132" si="395">ROUND(L131, 0) &amp; " (" &amp; ROUND(M131, 0) &amp; "-" &amp; ROUND(N131, 0) &amp; ")"</f>
        <v>54 (0-0)</v>
      </c>
      <c r="AB131" s="13" t="str">
        <f t="shared" ref="AB131:AB132" si="396">ROUND(O131, 0) &amp; " (" &amp; ROUND(Q131, 0) &amp; "-" &amp; ROUND(S131, 0) &amp; ")"</f>
        <v>5 (2-10)</v>
      </c>
      <c r="AC131" s="13" t="str">
        <f t="shared" ref="AC131:AC132" si="397">ROUND(U131, 0) &amp; " (" &amp; ROUND(V131, 0) &amp; "-" &amp; ROUND(W131, 0) &amp; ")"</f>
        <v>0 (0-0)</v>
      </c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hidden="1">
      <c r="A132" s="7" t="s">
        <v>27</v>
      </c>
      <c r="B132" s="16" t="s">
        <v>61</v>
      </c>
      <c r="C132" s="23">
        <v>2040.0</v>
      </c>
      <c r="D132" s="17">
        <f>1080+1148</f>
        <v>2228</v>
      </c>
      <c r="E132" s="10">
        <v>121681.0</v>
      </c>
      <c r="F132" s="19">
        <v>1.13</v>
      </c>
      <c r="G132" s="10">
        <f t="shared" si="1"/>
        <v>1.3749953</v>
      </c>
      <c r="H132" s="19">
        <v>0.8</v>
      </c>
      <c r="I132" s="8">
        <f t="shared" si="2"/>
        <v>0.973448</v>
      </c>
      <c r="J132" s="19">
        <v>1.6</v>
      </c>
      <c r="K132" s="11">
        <f t="shared" si="3"/>
        <v>1.946896</v>
      </c>
      <c r="L132" s="11">
        <f t="shared" si="13"/>
        <v>61.71433124</v>
      </c>
      <c r="M132" s="11">
        <f t="shared" si="389"/>
        <v>0.02168842144</v>
      </c>
      <c r="N132" s="11">
        <f t="shared" si="390"/>
        <v>0.04337684288</v>
      </c>
      <c r="O132" s="19">
        <v>5.45</v>
      </c>
      <c r="P132" s="19"/>
      <c r="Q132" s="19">
        <v>2.4</v>
      </c>
      <c r="R132" s="19"/>
      <c r="S132" s="19">
        <v>10.46</v>
      </c>
      <c r="T132" s="14"/>
      <c r="U132" s="14">
        <f t="shared" si="391"/>
        <v>0.121426</v>
      </c>
      <c r="V132" s="14">
        <f t="shared" si="392"/>
        <v>0.053472</v>
      </c>
      <c r="W132" s="14">
        <f t="shared" si="393"/>
        <v>0.2330488</v>
      </c>
      <c r="X132" s="13"/>
      <c r="Y132" s="13"/>
      <c r="Z132" s="13" t="str">
        <f t="shared" si="394"/>
        <v>1 (1-2)</v>
      </c>
      <c r="AA132" s="13" t="str">
        <f t="shared" si="395"/>
        <v>62 (0-0)</v>
      </c>
      <c r="AB132" s="13" t="str">
        <f t="shared" si="396"/>
        <v>5 (2-10)</v>
      </c>
      <c r="AC132" s="13" t="str">
        <f t="shared" si="397"/>
        <v>0 (0-0)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hidden="1">
      <c r="A133" s="7" t="s">
        <v>29</v>
      </c>
      <c r="B133" s="16" t="s">
        <v>61</v>
      </c>
      <c r="C133" s="23">
        <v>2050.0</v>
      </c>
      <c r="D133" s="17">
        <f>990+1052</f>
        <v>2042</v>
      </c>
      <c r="E133" s="10">
        <v>126408.0</v>
      </c>
      <c r="F133" s="19">
        <v>1.13</v>
      </c>
      <c r="G133" s="10">
        <f t="shared" si="1"/>
        <v>1.4284104</v>
      </c>
      <c r="H133" s="19">
        <v>0.8</v>
      </c>
      <c r="I133" s="8">
        <f t="shared" si="2"/>
        <v>1.011264</v>
      </c>
      <c r="J133" s="19">
        <v>1.6</v>
      </c>
      <c r="K133" s="11">
        <f t="shared" si="3"/>
        <v>2.022528</v>
      </c>
      <c r="L133" s="11">
        <f t="shared" si="13"/>
        <v>69.95153771</v>
      </c>
      <c r="M133" s="11">
        <f t="shared" si="389"/>
        <v>0.02065001088</v>
      </c>
      <c r="N133" s="11">
        <f t="shared" si="390"/>
        <v>0.04130002176</v>
      </c>
      <c r="O133" s="19">
        <v>5.45</v>
      </c>
      <c r="P133" s="8">
        <f t="shared" ref="P133:P134" si="398">(O133/100000)*E133</f>
        <v>6.889236</v>
      </c>
      <c r="Q133" s="19">
        <v>2.4</v>
      </c>
      <c r="R133" s="8">
        <f t="shared" ref="R133:R134" si="399">(Q133/100000)*E133</f>
        <v>3.033792</v>
      </c>
      <c r="S133" s="19">
        <v>10.46</v>
      </c>
      <c r="T133" s="11">
        <f t="shared" ref="T133:T134" si="400">(S133/100000)*E133</f>
        <v>13.2222768</v>
      </c>
      <c r="U133" s="14">
        <f t="shared" si="391"/>
        <v>0.111289</v>
      </c>
      <c r="V133" s="14">
        <f t="shared" si="392"/>
        <v>0.049008</v>
      </c>
      <c r="W133" s="14">
        <f t="shared" si="393"/>
        <v>0.2135932</v>
      </c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>
      <c r="A134" s="7" t="s">
        <v>23</v>
      </c>
      <c r="B134" s="16" t="s">
        <v>62</v>
      </c>
      <c r="C134" s="20">
        <v>2021.0</v>
      </c>
      <c r="D134" s="17">
        <f>153.5+153</f>
        <v>306.5</v>
      </c>
      <c r="E134" s="18">
        <v>11709.0</v>
      </c>
      <c r="F134" s="19">
        <v>2.05</v>
      </c>
      <c r="G134" s="21">
        <f t="shared" si="1"/>
        <v>0.2400345</v>
      </c>
      <c r="H134" s="19">
        <v>1.4</v>
      </c>
      <c r="I134" s="22">
        <f t="shared" si="2"/>
        <v>0.163926</v>
      </c>
      <c r="J134" s="19">
        <v>2.9</v>
      </c>
      <c r="K134" s="14">
        <f t="shared" si="3"/>
        <v>0.339561</v>
      </c>
      <c r="L134" s="11">
        <f t="shared" si="13"/>
        <v>78.31468189</v>
      </c>
      <c r="M134" s="12">
        <f>(I134/D134)*100000</f>
        <v>53.48319739</v>
      </c>
      <c r="N134" s="11">
        <f>(K134/D134)*100000</f>
        <v>110.7866232</v>
      </c>
      <c r="O134" s="19">
        <v>8.76</v>
      </c>
      <c r="P134" s="8">
        <f t="shared" si="398"/>
        <v>1.0257084</v>
      </c>
      <c r="Q134" s="19">
        <v>3.85</v>
      </c>
      <c r="R134" s="8">
        <f t="shared" si="399"/>
        <v>0.4507965</v>
      </c>
      <c r="S134" s="19">
        <v>18.6</v>
      </c>
      <c r="T134" s="11">
        <f t="shared" si="400"/>
        <v>2.177874</v>
      </c>
      <c r="U134" s="11">
        <f>(P134/D134)*100000</f>
        <v>334.6520065</v>
      </c>
      <c r="V134" s="11">
        <f>(R134/D134)*100000</f>
        <v>147.0787928</v>
      </c>
      <c r="W134" s="11">
        <f>(T134/D134)*100000</f>
        <v>710.5624796</v>
      </c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hidden="1">
      <c r="A135" s="7" t="s">
        <v>25</v>
      </c>
      <c r="B135" s="16" t="s">
        <v>62</v>
      </c>
      <c r="C135" s="23">
        <v>2030.0</v>
      </c>
      <c r="D135" s="17">
        <f>138+147</f>
        <v>285</v>
      </c>
      <c r="E135" s="10">
        <v>12521.0</v>
      </c>
      <c r="F135" s="19">
        <v>2.05</v>
      </c>
      <c r="G135" s="21">
        <f t="shared" si="1"/>
        <v>0.2566805</v>
      </c>
      <c r="H135" s="19">
        <v>1.4</v>
      </c>
      <c r="I135" s="22">
        <f t="shared" si="2"/>
        <v>0.175294</v>
      </c>
      <c r="J135" s="19">
        <v>2.9</v>
      </c>
      <c r="K135" s="14">
        <f t="shared" si="3"/>
        <v>0.363109</v>
      </c>
      <c r="L135" s="11">
        <f t="shared" si="13"/>
        <v>90.06333333</v>
      </c>
      <c r="M135" s="11">
        <f t="shared" ref="M135:M137" si="401">(I135*D135)/100000</f>
        <v>0.0004995879</v>
      </c>
      <c r="N135" s="11">
        <f t="shared" ref="N135:N137" si="402">(K135*D135)/100000</f>
        <v>0.00103486065</v>
      </c>
      <c r="O135" s="19">
        <v>8.76</v>
      </c>
      <c r="P135" s="19"/>
      <c r="Q135" s="19">
        <v>3.85</v>
      </c>
      <c r="R135" s="19"/>
      <c r="S135" s="19">
        <v>18.6</v>
      </c>
      <c r="T135" s="14"/>
      <c r="U135" s="14">
        <f t="shared" ref="U135:U137" si="403">(O135*D135)/100000</f>
        <v>0.024966</v>
      </c>
      <c r="V135" s="14">
        <f t="shared" ref="V135:V137" si="404">(Q135*D135)/100000</f>
        <v>0.0109725</v>
      </c>
      <c r="W135" s="14">
        <f t="shared" ref="W135:W137" si="405">(S135*D135)/100000</f>
        <v>0.05301</v>
      </c>
      <c r="X135" s="13"/>
      <c r="Y135" s="13"/>
      <c r="Z135" s="13" t="str">
        <f t="shared" ref="Z135:Z136" si="406">ROUND(F135, 0) &amp; " (" &amp; ROUND(H135, 0) &amp; "-" &amp; ROUND(J135, 0) &amp; ")"</f>
        <v>2 (1-3)</v>
      </c>
      <c r="AA135" s="13" t="str">
        <f t="shared" ref="AA135:AA136" si="407">ROUND(L135, 0) &amp; " (" &amp; ROUND(M135, 0) &amp; "-" &amp; ROUND(N135, 0) &amp; ")"</f>
        <v>90 (0-0)</v>
      </c>
      <c r="AB135" s="13" t="str">
        <f t="shared" ref="AB135:AB136" si="408">ROUND(O135, 0) &amp; " (" &amp; ROUND(Q135, 0) &amp; "-" &amp; ROUND(S135, 0) &amp; ")"</f>
        <v>9 (4-19)</v>
      </c>
      <c r="AC135" s="13" t="str">
        <f t="shared" ref="AC135:AC136" si="409">ROUND(U135, 0) &amp; " (" &amp; ROUND(V135, 0) &amp; "-" &amp; ROUND(W135, 0) &amp; ")"</f>
        <v>0 (0-0)</v>
      </c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hidden="1">
      <c r="A136" s="7" t="s">
        <v>27</v>
      </c>
      <c r="B136" s="16" t="s">
        <v>62</v>
      </c>
      <c r="C136" s="23">
        <v>2040.0</v>
      </c>
      <c r="D136" s="17">
        <f>155+166</f>
        <v>321</v>
      </c>
      <c r="E136" s="10">
        <v>14039.0</v>
      </c>
      <c r="F136" s="19">
        <v>2.05</v>
      </c>
      <c r="G136" s="21">
        <f t="shared" si="1"/>
        <v>0.2877995</v>
      </c>
      <c r="H136" s="19">
        <v>1.4</v>
      </c>
      <c r="I136" s="22">
        <f t="shared" si="2"/>
        <v>0.196546</v>
      </c>
      <c r="J136" s="19">
        <v>2.9</v>
      </c>
      <c r="K136" s="14">
        <f t="shared" si="3"/>
        <v>0.407131</v>
      </c>
      <c r="L136" s="11">
        <f t="shared" si="13"/>
        <v>89.65716511</v>
      </c>
      <c r="M136" s="11">
        <f t="shared" si="401"/>
        <v>0.00063091266</v>
      </c>
      <c r="N136" s="11">
        <f t="shared" si="402"/>
        <v>0.00130689051</v>
      </c>
      <c r="O136" s="19">
        <v>8.76</v>
      </c>
      <c r="P136" s="19"/>
      <c r="Q136" s="19">
        <v>3.85</v>
      </c>
      <c r="R136" s="19"/>
      <c r="S136" s="19">
        <v>18.6</v>
      </c>
      <c r="T136" s="14"/>
      <c r="U136" s="14">
        <f t="shared" si="403"/>
        <v>0.0281196</v>
      </c>
      <c r="V136" s="14">
        <f t="shared" si="404"/>
        <v>0.0123585</v>
      </c>
      <c r="W136" s="14">
        <f t="shared" si="405"/>
        <v>0.059706</v>
      </c>
      <c r="X136" s="13"/>
      <c r="Y136" s="13"/>
      <c r="Z136" s="13" t="str">
        <f t="shared" si="406"/>
        <v>2 (1-3)</v>
      </c>
      <c r="AA136" s="13" t="str">
        <f t="shared" si="407"/>
        <v>90 (0-0)</v>
      </c>
      <c r="AB136" s="13" t="str">
        <f t="shared" si="408"/>
        <v>9 (4-19)</v>
      </c>
      <c r="AC136" s="13" t="str">
        <f t="shared" si="409"/>
        <v>0 (0-0)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hidden="1">
      <c r="A137" s="7" t="s">
        <v>29</v>
      </c>
      <c r="B137" s="16" t="s">
        <v>62</v>
      </c>
      <c r="C137" s="23">
        <v>2050.0</v>
      </c>
      <c r="D137" s="17">
        <f>153+163</f>
        <v>316</v>
      </c>
      <c r="E137" s="10">
        <v>15758.0</v>
      </c>
      <c r="F137" s="19">
        <v>2.05</v>
      </c>
      <c r="G137" s="21">
        <f t="shared" si="1"/>
        <v>0.323039</v>
      </c>
      <c r="H137" s="19">
        <v>1.4</v>
      </c>
      <c r="I137" s="22">
        <f t="shared" si="2"/>
        <v>0.220612</v>
      </c>
      <c r="J137" s="19">
        <v>2.9</v>
      </c>
      <c r="K137" s="14">
        <f t="shared" si="3"/>
        <v>0.456982</v>
      </c>
      <c r="L137" s="11">
        <f t="shared" si="13"/>
        <v>102.2275316</v>
      </c>
      <c r="M137" s="11">
        <f t="shared" si="401"/>
        <v>0.00069713392</v>
      </c>
      <c r="N137" s="11">
        <f t="shared" si="402"/>
        <v>0.00144406312</v>
      </c>
      <c r="O137" s="19">
        <v>8.76</v>
      </c>
      <c r="P137" s="8">
        <f t="shared" ref="P137:P138" si="410">(O137/100000)*E137</f>
        <v>1.3804008</v>
      </c>
      <c r="Q137" s="19">
        <v>3.85</v>
      </c>
      <c r="R137" s="8">
        <f t="shared" ref="R137:R138" si="411">(Q137/100000)*E137</f>
        <v>0.606683</v>
      </c>
      <c r="S137" s="19">
        <v>18.6</v>
      </c>
      <c r="T137" s="11">
        <f t="shared" ref="T137:T138" si="412">(S137/100000)*E137</f>
        <v>2.930988</v>
      </c>
      <c r="U137" s="14">
        <f t="shared" si="403"/>
        <v>0.0276816</v>
      </c>
      <c r="V137" s="14">
        <f t="shared" si="404"/>
        <v>0.012166</v>
      </c>
      <c r="W137" s="14">
        <f t="shared" si="405"/>
        <v>0.058776</v>
      </c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>
      <c r="A138" s="7" t="s">
        <v>23</v>
      </c>
      <c r="B138" s="16" t="s">
        <v>63</v>
      </c>
      <c r="C138" s="20">
        <v>2021.0</v>
      </c>
      <c r="D138" s="17">
        <f>323+373</f>
        <v>696</v>
      </c>
      <c r="E138" s="18">
        <v>46979.0</v>
      </c>
      <c r="F138" s="19">
        <v>0.83</v>
      </c>
      <c r="G138" s="21">
        <f t="shared" si="1"/>
        <v>0.3899257</v>
      </c>
      <c r="H138" s="19">
        <v>0.55</v>
      </c>
      <c r="I138" s="22">
        <f t="shared" si="2"/>
        <v>0.2583845</v>
      </c>
      <c r="J138" s="19">
        <v>1.24</v>
      </c>
      <c r="K138" s="11">
        <f t="shared" si="3"/>
        <v>0.5825396</v>
      </c>
      <c r="L138" s="11">
        <f t="shared" si="13"/>
        <v>56.02380747</v>
      </c>
      <c r="M138" s="12">
        <f>(I138/D138)*100000</f>
        <v>37.12420977</v>
      </c>
      <c r="N138" s="11">
        <f>(K138/D138)*100000</f>
        <v>83.69821839</v>
      </c>
      <c r="O138" s="19">
        <v>2.26</v>
      </c>
      <c r="P138" s="8">
        <f t="shared" si="410"/>
        <v>1.0617254</v>
      </c>
      <c r="Q138" s="19">
        <v>1.34</v>
      </c>
      <c r="R138" s="8">
        <f t="shared" si="411"/>
        <v>0.6295186</v>
      </c>
      <c r="S138" s="19">
        <v>3.56</v>
      </c>
      <c r="T138" s="11">
        <f t="shared" si="412"/>
        <v>1.6724524</v>
      </c>
      <c r="U138" s="11">
        <f>(P138/D138)*100000</f>
        <v>152.5467529</v>
      </c>
      <c r="V138" s="11">
        <f>(R138/D138)*100000</f>
        <v>90.44807471</v>
      </c>
      <c r="W138" s="11">
        <f>(T138/D138)*100000</f>
        <v>240.2948851</v>
      </c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hidden="1">
      <c r="A139" s="7" t="s">
        <v>25</v>
      </c>
      <c r="B139" s="16" t="s">
        <v>63</v>
      </c>
      <c r="C139" s="23">
        <v>2030.0</v>
      </c>
      <c r="D139" s="17">
        <f>198+229</f>
        <v>427</v>
      </c>
      <c r="E139" s="10">
        <v>41785.0</v>
      </c>
      <c r="F139" s="19">
        <v>0.83</v>
      </c>
      <c r="G139" s="21">
        <f t="shared" si="1"/>
        <v>0.3468155</v>
      </c>
      <c r="H139" s="19">
        <v>0.55</v>
      </c>
      <c r="I139" s="22">
        <f t="shared" si="2"/>
        <v>0.2298175</v>
      </c>
      <c r="J139" s="19">
        <v>1.24</v>
      </c>
      <c r="K139" s="11">
        <f t="shared" si="3"/>
        <v>0.518134</v>
      </c>
      <c r="L139" s="11">
        <f t="shared" si="13"/>
        <v>81.22142857</v>
      </c>
      <c r="M139" s="11">
        <f t="shared" ref="M139:M141" si="413">(I139*D139)/100000</f>
        <v>0.000981320725</v>
      </c>
      <c r="N139" s="11">
        <f t="shared" ref="N139:N141" si="414">(K139*D139)/100000</f>
        <v>0.00221243218</v>
      </c>
      <c r="O139" s="19">
        <v>2.26</v>
      </c>
      <c r="P139" s="19"/>
      <c r="Q139" s="19">
        <v>1.34</v>
      </c>
      <c r="R139" s="19"/>
      <c r="S139" s="19">
        <v>3.56</v>
      </c>
      <c r="T139" s="14"/>
      <c r="U139" s="14">
        <f t="shared" ref="U139:U141" si="415">(O139*D139)/100000</f>
        <v>0.0096502</v>
      </c>
      <c r="V139" s="14">
        <f t="shared" ref="V139:V141" si="416">(Q139*D139)/100000</f>
        <v>0.0057218</v>
      </c>
      <c r="W139" s="14">
        <f t="shared" ref="W139:W141" si="417">(S139*D139)/100000</f>
        <v>0.0152012</v>
      </c>
      <c r="X139" s="13"/>
      <c r="Y139" s="13"/>
      <c r="Z139" s="13" t="str">
        <f t="shared" ref="Z139:Z140" si="418">ROUND(F139, 0) &amp; " (" &amp; ROUND(H139, 0) &amp; "-" &amp; ROUND(J139, 0) &amp; ")"</f>
        <v>1 (1-1)</v>
      </c>
      <c r="AA139" s="13" t="str">
        <f t="shared" ref="AA139:AA140" si="419">ROUND(L139, 0) &amp; " (" &amp; ROUND(M139, 0) &amp; "-" &amp; ROUND(N139, 0) &amp; ")"</f>
        <v>81 (0-0)</v>
      </c>
      <c r="AB139" s="13" t="str">
        <f t="shared" ref="AB139:AB140" si="420">ROUND(O139, 0) &amp; " (" &amp; ROUND(Q139, 0) &amp; "-" &amp; ROUND(S139, 0) &amp; ")"</f>
        <v>2 (1-4)</v>
      </c>
      <c r="AC139" s="13" t="str">
        <f t="shared" ref="AC139:AC140" si="421">ROUND(U139, 0) &amp; " (" &amp; ROUND(V139, 0) &amp; "-" &amp; ROUND(W139, 0) &amp; ")"</f>
        <v>0 (0-0)</v>
      </c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hidden="1">
      <c r="A140" s="7" t="s">
        <v>27</v>
      </c>
      <c r="B140" s="16" t="s">
        <v>63</v>
      </c>
      <c r="C140" s="23">
        <v>2040.0</v>
      </c>
      <c r="D140" s="17">
        <f>260+300</f>
        <v>560</v>
      </c>
      <c r="E140" s="10">
        <v>42175.0</v>
      </c>
      <c r="F140" s="19">
        <v>0.83</v>
      </c>
      <c r="G140" s="21">
        <f t="shared" si="1"/>
        <v>0.3500525</v>
      </c>
      <c r="H140" s="19">
        <v>0.55</v>
      </c>
      <c r="I140" s="22">
        <f t="shared" si="2"/>
        <v>0.2319625</v>
      </c>
      <c r="J140" s="19">
        <v>1.24</v>
      </c>
      <c r="K140" s="11">
        <f t="shared" si="3"/>
        <v>0.52297</v>
      </c>
      <c r="L140" s="11">
        <f t="shared" si="13"/>
        <v>62.509375</v>
      </c>
      <c r="M140" s="11">
        <f t="shared" si="413"/>
        <v>0.00129899</v>
      </c>
      <c r="N140" s="11">
        <f t="shared" si="414"/>
        <v>0.002928632</v>
      </c>
      <c r="O140" s="19">
        <v>2.26</v>
      </c>
      <c r="P140" s="19"/>
      <c r="Q140" s="19">
        <v>1.34</v>
      </c>
      <c r="R140" s="19"/>
      <c r="S140" s="19">
        <v>3.56</v>
      </c>
      <c r="T140" s="14"/>
      <c r="U140" s="14">
        <f t="shared" si="415"/>
        <v>0.012656</v>
      </c>
      <c r="V140" s="14">
        <f t="shared" si="416"/>
        <v>0.007504</v>
      </c>
      <c r="W140" s="14">
        <f t="shared" si="417"/>
        <v>0.019936</v>
      </c>
      <c r="X140" s="13"/>
      <c r="Y140" s="13"/>
      <c r="Z140" s="13" t="str">
        <f t="shared" si="418"/>
        <v>1 (1-1)</v>
      </c>
      <c r="AA140" s="13" t="str">
        <f t="shared" si="419"/>
        <v>63 (0-0)</v>
      </c>
      <c r="AB140" s="13" t="str">
        <f t="shared" si="420"/>
        <v>2 (1-4)</v>
      </c>
      <c r="AC140" s="13" t="str">
        <f t="shared" si="421"/>
        <v>0 (0-0)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hidden="1">
      <c r="A141" s="7" t="s">
        <v>29</v>
      </c>
      <c r="B141" s="16" t="s">
        <v>63</v>
      </c>
      <c r="C141" s="23">
        <v>2050.0</v>
      </c>
      <c r="D141" s="17">
        <f>222+256</f>
        <v>478</v>
      </c>
      <c r="E141" s="10">
        <v>42764.0</v>
      </c>
      <c r="F141" s="19">
        <v>0.83</v>
      </c>
      <c r="G141" s="21">
        <f t="shared" si="1"/>
        <v>0.3549412</v>
      </c>
      <c r="H141" s="19">
        <v>0.55</v>
      </c>
      <c r="I141" s="22">
        <f t="shared" si="2"/>
        <v>0.235202</v>
      </c>
      <c r="J141" s="19">
        <v>1.24</v>
      </c>
      <c r="K141" s="11">
        <f t="shared" si="3"/>
        <v>0.5302736</v>
      </c>
      <c r="L141" s="11">
        <f t="shared" si="13"/>
        <v>74.25548117</v>
      </c>
      <c r="M141" s="11">
        <f t="shared" si="413"/>
        <v>0.00112426556</v>
      </c>
      <c r="N141" s="11">
        <f t="shared" si="414"/>
        <v>0.002534707808</v>
      </c>
      <c r="O141" s="19">
        <v>2.26</v>
      </c>
      <c r="P141" s="8">
        <f t="shared" ref="P141:P142" si="422">(O141/100000)*E141</f>
        <v>0.9664664</v>
      </c>
      <c r="Q141" s="19">
        <v>1.34</v>
      </c>
      <c r="R141" s="8">
        <f t="shared" ref="R141:R142" si="423">(Q141/100000)*E141</f>
        <v>0.5730376</v>
      </c>
      <c r="S141" s="19">
        <v>3.56</v>
      </c>
      <c r="T141" s="11">
        <f t="shared" ref="T141:T142" si="424">(S141/100000)*E141</f>
        <v>1.5223984</v>
      </c>
      <c r="U141" s="14">
        <f t="shared" si="415"/>
        <v>0.0108028</v>
      </c>
      <c r="V141" s="14">
        <f t="shared" si="416"/>
        <v>0.0064052</v>
      </c>
      <c r="W141" s="14">
        <f t="shared" si="417"/>
        <v>0.0170168</v>
      </c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>
      <c r="A142" s="7" t="s">
        <v>23</v>
      </c>
      <c r="B142" s="16" t="s">
        <v>64</v>
      </c>
      <c r="C142" s="20">
        <v>2021.0</v>
      </c>
      <c r="D142" s="17">
        <f>97+104</f>
        <v>201</v>
      </c>
      <c r="E142" s="18">
        <v>17783.0</v>
      </c>
      <c r="F142" s="19">
        <v>0.68</v>
      </c>
      <c r="G142" s="21">
        <f t="shared" si="1"/>
        <v>0.1209244</v>
      </c>
      <c r="H142" s="19">
        <v>0.46</v>
      </c>
      <c r="I142" s="22">
        <f t="shared" si="2"/>
        <v>0.0818018</v>
      </c>
      <c r="J142" s="19">
        <v>0.96</v>
      </c>
      <c r="K142" s="14">
        <f t="shared" si="3"/>
        <v>0.1707168</v>
      </c>
      <c r="L142" s="11">
        <f t="shared" si="13"/>
        <v>60.16139303</v>
      </c>
      <c r="M142" s="12">
        <f>(I142/D142)*100000</f>
        <v>40.69741294</v>
      </c>
      <c r="N142" s="11">
        <f>(K142/D142)*100000</f>
        <v>84.93373134</v>
      </c>
      <c r="O142" s="19">
        <v>2.56</v>
      </c>
      <c r="P142" s="8">
        <f t="shared" si="422"/>
        <v>0.4552448</v>
      </c>
      <c r="Q142" s="19">
        <v>1.53</v>
      </c>
      <c r="R142" s="8">
        <f t="shared" si="423"/>
        <v>0.2720799</v>
      </c>
      <c r="S142" s="19">
        <v>3.86</v>
      </c>
      <c r="T142" s="11">
        <f t="shared" si="424"/>
        <v>0.6864238</v>
      </c>
      <c r="U142" s="11">
        <f>(P142/D142)*100000</f>
        <v>226.4899502</v>
      </c>
      <c r="V142" s="11">
        <f>(R142/D142)*100000</f>
        <v>135.3631343</v>
      </c>
      <c r="W142" s="11">
        <f>(T142/D142)*100000</f>
        <v>341.5043781</v>
      </c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hidden="1">
      <c r="A143" s="7" t="s">
        <v>25</v>
      </c>
      <c r="B143" s="16" t="s">
        <v>64</v>
      </c>
      <c r="C143" s="23">
        <v>2030.0</v>
      </c>
      <c r="D143" s="17">
        <f>86+92</f>
        <v>178</v>
      </c>
      <c r="E143" s="10">
        <v>17376.0</v>
      </c>
      <c r="F143" s="19">
        <v>0.68</v>
      </c>
      <c r="G143" s="21">
        <f t="shared" si="1"/>
        <v>0.1181568</v>
      </c>
      <c r="H143" s="19">
        <v>0.46</v>
      </c>
      <c r="I143" s="22">
        <f t="shared" si="2"/>
        <v>0.0799296</v>
      </c>
      <c r="J143" s="19">
        <v>0.96</v>
      </c>
      <c r="K143" s="14">
        <f t="shared" si="3"/>
        <v>0.1668096</v>
      </c>
      <c r="L143" s="11">
        <f t="shared" si="13"/>
        <v>66.38022472</v>
      </c>
      <c r="M143" s="11">
        <f t="shared" ref="M143:M145" si="425">(I143*D143)/100000</f>
        <v>0.000142274688</v>
      </c>
      <c r="N143" s="11">
        <f t="shared" ref="N143:N145" si="426">(K143*D143)/100000</f>
        <v>0.000296921088</v>
      </c>
      <c r="O143" s="19">
        <v>2.56</v>
      </c>
      <c r="P143" s="19"/>
      <c r="Q143" s="19">
        <v>1.53</v>
      </c>
      <c r="R143" s="19"/>
      <c r="S143" s="19">
        <v>3.86</v>
      </c>
      <c r="T143" s="14"/>
      <c r="U143" s="14">
        <f t="shared" ref="U143:U145" si="427">(O143*D143)/100000</f>
        <v>0.0045568</v>
      </c>
      <c r="V143" s="14">
        <f t="shared" ref="V143:V145" si="428">(Q143*D143)/100000</f>
        <v>0.0027234</v>
      </c>
      <c r="W143" s="14">
        <f t="shared" ref="W143:W145" si="429">(S143*D143)/100000</f>
        <v>0.0068708</v>
      </c>
      <c r="X143" s="13"/>
      <c r="Y143" s="13"/>
      <c r="Z143" s="13" t="str">
        <f t="shared" ref="Z143:Z144" si="430">ROUND(F143, 0) &amp; " (" &amp; ROUND(H143, 0) &amp; "-" &amp; ROUND(J143, 0) &amp; ")"</f>
        <v>1 (0-1)</v>
      </c>
      <c r="AA143" s="13" t="str">
        <f t="shared" ref="AA143:AA144" si="431">ROUND(L143, 0) &amp; " (" &amp; ROUND(M143, 0) &amp; "-" &amp; ROUND(N143, 0) &amp; ")"</f>
        <v>66 (0-0)</v>
      </c>
      <c r="AB143" s="13" t="str">
        <f t="shared" ref="AB143:AB144" si="432">ROUND(O143, 0) &amp; " (" &amp; ROUND(Q143, 0) &amp; "-" &amp; ROUND(S143, 0) &amp; ")"</f>
        <v>3 (2-4)</v>
      </c>
      <c r="AC143" s="13" t="str">
        <f t="shared" ref="AC143:AC144" si="433">ROUND(U143, 0) &amp; " (" &amp; ROUND(V143, 0) &amp; "-" &amp; ROUND(W143, 0) &amp; ")"</f>
        <v>0 (0-0)</v>
      </c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hidden="1">
      <c r="A144" s="7" t="s">
        <v>27</v>
      </c>
      <c r="B144" s="16" t="s">
        <v>64</v>
      </c>
      <c r="C144" s="23">
        <v>2040.0</v>
      </c>
      <c r="D144" s="17">
        <f>85+91</f>
        <v>176</v>
      </c>
      <c r="E144" s="10">
        <v>16602.0</v>
      </c>
      <c r="F144" s="19">
        <v>0.68</v>
      </c>
      <c r="G144" s="21">
        <f t="shared" si="1"/>
        <v>0.1128936</v>
      </c>
      <c r="H144" s="19">
        <v>0.46</v>
      </c>
      <c r="I144" s="22">
        <f t="shared" si="2"/>
        <v>0.0763692</v>
      </c>
      <c r="J144" s="19">
        <v>0.96</v>
      </c>
      <c r="K144" s="14">
        <f t="shared" si="3"/>
        <v>0.1593792</v>
      </c>
      <c r="L144" s="11">
        <f t="shared" si="13"/>
        <v>64.14409091</v>
      </c>
      <c r="M144" s="11">
        <f t="shared" si="425"/>
        <v>0.000134409792</v>
      </c>
      <c r="N144" s="11">
        <f t="shared" si="426"/>
        <v>0.000280507392</v>
      </c>
      <c r="O144" s="19">
        <v>2.56</v>
      </c>
      <c r="P144" s="19"/>
      <c r="Q144" s="19">
        <v>1.53</v>
      </c>
      <c r="R144" s="19"/>
      <c r="S144" s="19">
        <v>3.86</v>
      </c>
      <c r="T144" s="14"/>
      <c r="U144" s="14">
        <f t="shared" si="427"/>
        <v>0.0045056</v>
      </c>
      <c r="V144" s="14">
        <f t="shared" si="428"/>
        <v>0.0026928</v>
      </c>
      <c r="W144" s="14">
        <f t="shared" si="429"/>
        <v>0.0067936</v>
      </c>
      <c r="X144" s="13"/>
      <c r="Y144" s="13"/>
      <c r="Z144" s="13" t="str">
        <f t="shared" si="430"/>
        <v>1 (0-1)</v>
      </c>
      <c r="AA144" s="13" t="str">
        <f t="shared" si="431"/>
        <v>64 (0-0)</v>
      </c>
      <c r="AB144" s="13" t="str">
        <f t="shared" si="432"/>
        <v>3 (2-4)</v>
      </c>
      <c r="AC144" s="13" t="str">
        <f t="shared" si="433"/>
        <v>0 (0-0)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hidden="1">
      <c r="A145" s="7" t="s">
        <v>29</v>
      </c>
      <c r="B145" s="16" t="s">
        <v>64</v>
      </c>
      <c r="C145" s="23">
        <v>2050.0</v>
      </c>
      <c r="D145" s="17">
        <f>75+81</f>
        <v>156</v>
      </c>
      <c r="E145" s="10">
        <v>15518.0</v>
      </c>
      <c r="F145" s="19">
        <v>0.68</v>
      </c>
      <c r="G145" s="21">
        <f t="shared" si="1"/>
        <v>0.1055224</v>
      </c>
      <c r="H145" s="19">
        <v>0.46</v>
      </c>
      <c r="I145" s="22">
        <f t="shared" si="2"/>
        <v>0.0713828</v>
      </c>
      <c r="J145" s="19">
        <v>0.96</v>
      </c>
      <c r="K145" s="14">
        <f t="shared" si="3"/>
        <v>0.1489728</v>
      </c>
      <c r="L145" s="11">
        <f t="shared" si="13"/>
        <v>67.6425641</v>
      </c>
      <c r="M145" s="11">
        <f t="shared" si="425"/>
        <v>0.000111357168</v>
      </c>
      <c r="N145" s="11">
        <f t="shared" si="426"/>
        <v>0.000232397568</v>
      </c>
      <c r="O145" s="19">
        <v>2.56</v>
      </c>
      <c r="P145" s="8">
        <f t="shared" ref="P145:P146" si="434">(O145/100000)*E145</f>
        <v>0.3972608</v>
      </c>
      <c r="Q145" s="19">
        <v>1.53</v>
      </c>
      <c r="R145" s="8">
        <f t="shared" ref="R145:R146" si="435">(Q145/100000)*E145</f>
        <v>0.2374254</v>
      </c>
      <c r="S145" s="19">
        <v>3.86</v>
      </c>
      <c r="T145" s="11">
        <f t="shared" ref="T145:T146" si="436">(S145/100000)*E145</f>
        <v>0.5989948</v>
      </c>
      <c r="U145" s="14">
        <f t="shared" si="427"/>
        <v>0.0039936</v>
      </c>
      <c r="V145" s="14">
        <f t="shared" si="428"/>
        <v>0.0023868</v>
      </c>
      <c r="W145" s="14">
        <f t="shared" si="429"/>
        <v>0.0060216</v>
      </c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>
      <c r="A146" s="7" t="s">
        <v>23</v>
      </c>
      <c r="B146" s="16" t="s">
        <v>65</v>
      </c>
      <c r="C146" s="20">
        <v>2021.0</v>
      </c>
      <c r="D146" s="17">
        <f>120179.5+128659</f>
        <v>248838.5</v>
      </c>
      <c r="E146" s="18">
        <v>1.0012896E7</v>
      </c>
      <c r="F146" s="19">
        <v>2.32</v>
      </c>
      <c r="G146" s="10">
        <f t="shared" si="1"/>
        <v>232.2991872</v>
      </c>
      <c r="H146" s="19">
        <v>1.63</v>
      </c>
      <c r="I146" s="8">
        <f t="shared" si="2"/>
        <v>163.2102048</v>
      </c>
      <c r="J146" s="19">
        <v>3.35</v>
      </c>
      <c r="K146" s="11">
        <f t="shared" si="3"/>
        <v>335.432016</v>
      </c>
      <c r="L146" s="11">
        <f t="shared" si="13"/>
        <v>93.35339475</v>
      </c>
      <c r="M146" s="12">
        <f>(I146/D146)*100000</f>
        <v>65.58880752</v>
      </c>
      <c r="N146" s="11">
        <f>(K146/D146)*100000</f>
        <v>134.7990829</v>
      </c>
      <c r="O146" s="19">
        <v>29.59</v>
      </c>
      <c r="P146" s="8">
        <f t="shared" si="434"/>
        <v>2962.815926</v>
      </c>
      <c r="Q146" s="19">
        <v>7.14</v>
      </c>
      <c r="R146" s="8">
        <f t="shared" si="435"/>
        <v>714.9207744</v>
      </c>
      <c r="S146" s="19">
        <v>73.73</v>
      </c>
      <c r="T146" s="11">
        <f t="shared" si="436"/>
        <v>7382.508221</v>
      </c>
      <c r="U146" s="11">
        <f>(P146/D146)*100000</f>
        <v>1190.658168</v>
      </c>
      <c r="V146" s="11">
        <f>(R146/D146)*100000</f>
        <v>287.3031201</v>
      </c>
      <c r="W146" s="11">
        <f>(T146/D146)*100000</f>
        <v>2966.786981</v>
      </c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hidden="1">
      <c r="A147" s="7" t="s">
        <v>25</v>
      </c>
      <c r="B147" s="16" t="s">
        <v>65</v>
      </c>
      <c r="C147" s="23">
        <v>2030.0</v>
      </c>
      <c r="D147" s="17">
        <f>122019+130547</f>
        <v>252566</v>
      </c>
      <c r="E147" s="10">
        <v>1.1671424E7</v>
      </c>
      <c r="F147" s="19">
        <v>2.32</v>
      </c>
      <c r="G147" s="10">
        <f t="shared" si="1"/>
        <v>270.7770368</v>
      </c>
      <c r="H147" s="19">
        <v>1.63</v>
      </c>
      <c r="I147" s="8">
        <f t="shared" si="2"/>
        <v>190.2442112</v>
      </c>
      <c r="J147" s="19">
        <v>3.35</v>
      </c>
      <c r="K147" s="11">
        <f t="shared" si="3"/>
        <v>390.992704</v>
      </c>
      <c r="L147" s="11">
        <f t="shared" si="13"/>
        <v>107.2104071</v>
      </c>
      <c r="M147" s="11">
        <f t="shared" ref="M147:M149" si="437">(I147*D147)/100000</f>
        <v>480.4921945</v>
      </c>
      <c r="N147" s="11">
        <f t="shared" ref="N147:N149" si="438">(K147*D147)/100000</f>
        <v>987.5146328</v>
      </c>
      <c r="O147" s="19">
        <v>29.59</v>
      </c>
      <c r="P147" s="19"/>
      <c r="Q147" s="19">
        <v>7.14</v>
      </c>
      <c r="R147" s="19"/>
      <c r="S147" s="19">
        <v>73.73</v>
      </c>
      <c r="T147" s="14"/>
      <c r="U147" s="14">
        <f t="shared" ref="U147:U149" si="439">(O147*D147)/100000</f>
        <v>74.7342794</v>
      </c>
      <c r="V147" s="14">
        <f t="shared" ref="V147:V149" si="440">(Q147*D147)/100000</f>
        <v>18.0332124</v>
      </c>
      <c r="W147" s="14">
        <f t="shared" ref="W147:W149" si="441">(S147*D147)/100000</f>
        <v>186.2169118</v>
      </c>
      <c r="X147" s="13"/>
      <c r="Y147" s="13"/>
      <c r="Z147" s="13" t="str">
        <f t="shared" ref="Z147:Z148" si="442">ROUND(F147, 0) &amp; " (" &amp; ROUND(H147, 0) &amp; "-" &amp; ROUND(J147, 0) &amp; ")"</f>
        <v>2 (2-3)</v>
      </c>
      <c r="AA147" s="13" t="str">
        <f t="shared" ref="AA147:AA148" si="443">ROUND(L147, 0) &amp; " (" &amp; ROUND(M147, 0) &amp; "-" &amp; ROUND(N147, 0) &amp; ")"</f>
        <v>107 (480-988)</v>
      </c>
      <c r="AB147" s="13" t="str">
        <f t="shared" ref="AB147:AB148" si="444">ROUND(O147, 0) &amp; " (" &amp; ROUND(Q147, 0) &amp; "-" &amp; ROUND(S147, 0) &amp; ")"</f>
        <v>30 (7-74)</v>
      </c>
      <c r="AC147" s="13" t="str">
        <f t="shared" ref="AC147:AC148" si="445">ROUND(U147, 0) &amp; " (" &amp; ROUND(V147, 0) &amp; "-" &amp; ROUND(W147, 0) &amp; ")"</f>
        <v>75 (18-186)</v>
      </c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hidden="1">
      <c r="A148" s="7" t="s">
        <v>27</v>
      </c>
      <c r="B148" s="16" t="s">
        <v>65</v>
      </c>
      <c r="C148" s="23">
        <v>2040.0</v>
      </c>
      <c r="D148" s="17">
        <f>125842+134553</f>
        <v>260395</v>
      </c>
      <c r="E148" s="10">
        <v>1.337616E7</v>
      </c>
      <c r="F148" s="19">
        <v>2.32</v>
      </c>
      <c r="G148" s="10">
        <f t="shared" si="1"/>
        <v>310.326912</v>
      </c>
      <c r="H148" s="19">
        <v>1.63</v>
      </c>
      <c r="I148" s="8">
        <f t="shared" si="2"/>
        <v>218.031408</v>
      </c>
      <c r="J148" s="19">
        <v>3.35</v>
      </c>
      <c r="K148" s="11">
        <f t="shared" si="3"/>
        <v>448.10136</v>
      </c>
      <c r="L148" s="11">
        <f t="shared" si="13"/>
        <v>119.1754496</v>
      </c>
      <c r="M148" s="11">
        <f t="shared" si="437"/>
        <v>567.7428849</v>
      </c>
      <c r="N148" s="11">
        <f t="shared" si="438"/>
        <v>1166.833536</v>
      </c>
      <c r="O148" s="19">
        <v>29.59</v>
      </c>
      <c r="P148" s="19"/>
      <c r="Q148" s="19">
        <v>7.14</v>
      </c>
      <c r="R148" s="19"/>
      <c r="S148" s="19">
        <v>73.73</v>
      </c>
      <c r="T148" s="14"/>
      <c r="U148" s="14">
        <f t="shared" si="439"/>
        <v>77.0508805</v>
      </c>
      <c r="V148" s="14">
        <f t="shared" si="440"/>
        <v>18.592203</v>
      </c>
      <c r="W148" s="14">
        <f t="shared" si="441"/>
        <v>191.9892335</v>
      </c>
      <c r="X148" s="13"/>
      <c r="Y148" s="13"/>
      <c r="Z148" s="13" t="str">
        <f t="shared" si="442"/>
        <v>2 (2-3)</v>
      </c>
      <c r="AA148" s="13" t="str">
        <f t="shared" si="443"/>
        <v>119 (568-1167)</v>
      </c>
      <c r="AB148" s="13" t="str">
        <f t="shared" si="444"/>
        <v>30 (7-74)</v>
      </c>
      <c r="AC148" s="13" t="str">
        <f t="shared" si="445"/>
        <v>77 (19-192)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hidden="1">
      <c r="A149" s="7" t="s">
        <v>29</v>
      </c>
      <c r="B149" s="16" t="s">
        <v>65</v>
      </c>
      <c r="C149" s="23">
        <v>2050.0</v>
      </c>
      <c r="D149" s="17">
        <f>127601+136400</f>
        <v>264001</v>
      </c>
      <c r="E149" s="10">
        <v>1.490659E7</v>
      </c>
      <c r="F149" s="19">
        <v>2.32</v>
      </c>
      <c r="G149" s="10">
        <f t="shared" si="1"/>
        <v>345.832888</v>
      </c>
      <c r="H149" s="19">
        <v>1.63</v>
      </c>
      <c r="I149" s="8">
        <f t="shared" si="2"/>
        <v>242.977417</v>
      </c>
      <c r="J149" s="19">
        <v>3.35</v>
      </c>
      <c r="K149" s="11">
        <f t="shared" si="3"/>
        <v>499.370765</v>
      </c>
      <c r="L149" s="11">
        <f t="shared" si="13"/>
        <v>130.9968099</v>
      </c>
      <c r="M149" s="11">
        <f t="shared" si="437"/>
        <v>641.4628107</v>
      </c>
      <c r="N149" s="11">
        <f t="shared" si="438"/>
        <v>1318.343813</v>
      </c>
      <c r="O149" s="19">
        <v>29.59</v>
      </c>
      <c r="P149" s="8">
        <f t="shared" ref="P149:P150" si="446">(O149/100000)*E149</f>
        <v>4410.859981</v>
      </c>
      <c r="Q149" s="19">
        <v>7.14</v>
      </c>
      <c r="R149" s="8">
        <f t="shared" ref="R149:R150" si="447">(Q149/100000)*E149</f>
        <v>1064.330526</v>
      </c>
      <c r="S149" s="19">
        <v>73.73</v>
      </c>
      <c r="T149" s="11">
        <f t="shared" ref="T149:T150" si="448">(S149/100000)*E149</f>
        <v>10990.62881</v>
      </c>
      <c r="U149" s="14">
        <f t="shared" si="439"/>
        <v>78.1178959</v>
      </c>
      <c r="V149" s="14">
        <f t="shared" si="440"/>
        <v>18.8496714</v>
      </c>
      <c r="W149" s="14">
        <f t="shared" si="441"/>
        <v>194.6479373</v>
      </c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>
      <c r="A150" s="7" t="s">
        <v>23</v>
      </c>
      <c r="B150" s="16" t="s">
        <v>66</v>
      </c>
      <c r="C150" s="20">
        <v>2021.0</v>
      </c>
      <c r="D150" s="17">
        <f>2767.5+2962.5</f>
        <v>5730</v>
      </c>
      <c r="E150" s="18">
        <v>213779.0</v>
      </c>
      <c r="F150" s="19">
        <v>2.07</v>
      </c>
      <c r="G150" s="10">
        <f t="shared" si="1"/>
        <v>4.4252253</v>
      </c>
      <c r="H150" s="19">
        <v>1.45</v>
      </c>
      <c r="I150" s="8">
        <f t="shared" si="2"/>
        <v>3.0997955</v>
      </c>
      <c r="J150" s="19">
        <v>2.93</v>
      </c>
      <c r="K150" s="11">
        <f t="shared" si="3"/>
        <v>6.2637247</v>
      </c>
      <c r="L150" s="11">
        <f t="shared" si="13"/>
        <v>77.22906283</v>
      </c>
      <c r="M150" s="12">
        <f>(I150/D150)*100000</f>
        <v>54.09765271</v>
      </c>
      <c r="N150" s="11">
        <f>(K150/D150)*100000</f>
        <v>109.3145672</v>
      </c>
      <c r="O150" s="19">
        <v>5.84</v>
      </c>
      <c r="P150" s="8">
        <f t="shared" si="446"/>
        <v>12.4846936</v>
      </c>
      <c r="Q150" s="19">
        <v>2.6</v>
      </c>
      <c r="R150" s="8">
        <f t="shared" si="447"/>
        <v>5.558254</v>
      </c>
      <c r="S150" s="19">
        <v>10.84</v>
      </c>
      <c r="T150" s="11">
        <f t="shared" si="448"/>
        <v>23.1736436</v>
      </c>
      <c r="U150" s="11">
        <f>(P150/D150)*100000</f>
        <v>217.8829599</v>
      </c>
      <c r="V150" s="11">
        <f>(R150/D150)*100000</f>
        <v>97.00268761</v>
      </c>
      <c r="W150" s="11">
        <f>(T150/D150)*100000</f>
        <v>404.4265899</v>
      </c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hidden="1">
      <c r="A151" s="7" t="s">
        <v>25</v>
      </c>
      <c r="B151" s="16" t="s">
        <v>66</v>
      </c>
      <c r="C151" s="23">
        <v>2030.0</v>
      </c>
      <c r="D151" s="17">
        <f>2591+2781</f>
        <v>5372</v>
      </c>
      <c r="E151" s="10">
        <v>225971.0</v>
      </c>
      <c r="F151" s="19">
        <v>2.07</v>
      </c>
      <c r="G151" s="10">
        <f t="shared" si="1"/>
        <v>4.6775997</v>
      </c>
      <c r="H151" s="19">
        <v>1.45</v>
      </c>
      <c r="I151" s="8">
        <f t="shared" si="2"/>
        <v>3.2765795</v>
      </c>
      <c r="J151" s="19">
        <v>2.93</v>
      </c>
      <c r="K151" s="11">
        <f t="shared" si="3"/>
        <v>6.6209503</v>
      </c>
      <c r="L151" s="11">
        <f t="shared" si="13"/>
        <v>87.07370998</v>
      </c>
      <c r="M151" s="11">
        <f t="shared" ref="M151:M153" si="449">(I151*D151)/100000</f>
        <v>0.1760178507</v>
      </c>
      <c r="N151" s="11">
        <f t="shared" ref="N151:N153" si="450">(K151*D151)/100000</f>
        <v>0.3556774501</v>
      </c>
      <c r="O151" s="19">
        <v>5.84</v>
      </c>
      <c r="P151" s="19"/>
      <c r="Q151" s="19">
        <v>2.6</v>
      </c>
      <c r="R151" s="19"/>
      <c r="S151" s="19">
        <v>10.84</v>
      </c>
      <c r="T151" s="14"/>
      <c r="U151" s="14">
        <f t="shared" ref="U151:U153" si="451">(O151*D151)/100000</f>
        <v>0.3137248</v>
      </c>
      <c r="V151" s="14">
        <f t="shared" ref="V151:V153" si="452">(Q151*D151)/100000</f>
        <v>0.139672</v>
      </c>
      <c r="W151" s="14">
        <f t="shared" ref="W151:W153" si="453">(S151*D151)/100000</f>
        <v>0.5823248</v>
      </c>
      <c r="X151" s="13"/>
      <c r="Y151" s="13"/>
      <c r="Z151" s="13" t="str">
        <f t="shared" ref="Z151:Z152" si="454">ROUND(F151, 0) &amp; " (" &amp; ROUND(H151, 0) &amp; "-" &amp; ROUND(J151, 0) &amp; ")"</f>
        <v>2 (1-3)</v>
      </c>
      <c r="AA151" s="13" t="str">
        <f t="shared" ref="AA151:AA152" si="455">ROUND(L151, 0) &amp; " (" &amp; ROUND(M151, 0) &amp; "-" &amp; ROUND(N151, 0) &amp; ")"</f>
        <v>87 (0-0)</v>
      </c>
      <c r="AB151" s="13" t="str">
        <f t="shared" ref="AB151:AB152" si="456">ROUND(O151, 0) &amp; " (" &amp; ROUND(Q151, 0) &amp; "-" &amp; ROUND(S151, 0) &amp; ")"</f>
        <v>6 (3-11)</v>
      </c>
      <c r="AC151" s="13" t="str">
        <f t="shared" ref="AC151:AC152" si="457">ROUND(U151, 0) &amp; " (" &amp; ROUND(V151, 0) &amp; "-" &amp; ROUND(W151, 0) &amp; ")"</f>
        <v>0 (0-1)</v>
      </c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hidden="1">
      <c r="A152" s="7" t="s">
        <v>27</v>
      </c>
      <c r="B152" s="16" t="s">
        <v>66</v>
      </c>
      <c r="C152" s="23">
        <v>2040.0</v>
      </c>
      <c r="D152" s="17">
        <f>3019+3239</f>
        <v>6258</v>
      </c>
      <c r="E152" s="10">
        <v>247196.0</v>
      </c>
      <c r="F152" s="19">
        <v>2.07</v>
      </c>
      <c r="G152" s="10">
        <f t="shared" si="1"/>
        <v>5.1169572</v>
      </c>
      <c r="H152" s="19">
        <v>1.45</v>
      </c>
      <c r="I152" s="8">
        <f t="shared" si="2"/>
        <v>3.584342</v>
      </c>
      <c r="J152" s="19">
        <v>2.93</v>
      </c>
      <c r="K152" s="11">
        <f t="shared" si="3"/>
        <v>7.2428428</v>
      </c>
      <c r="L152" s="11">
        <f t="shared" si="13"/>
        <v>81.76665388</v>
      </c>
      <c r="M152" s="11">
        <f t="shared" si="449"/>
        <v>0.2243081224</v>
      </c>
      <c r="N152" s="11">
        <f t="shared" si="450"/>
        <v>0.4532571024</v>
      </c>
      <c r="O152" s="19">
        <v>5.84</v>
      </c>
      <c r="P152" s="19"/>
      <c r="Q152" s="19">
        <v>2.6</v>
      </c>
      <c r="R152" s="19"/>
      <c r="S152" s="19">
        <v>10.84</v>
      </c>
      <c r="T152" s="14"/>
      <c r="U152" s="14">
        <f t="shared" si="451"/>
        <v>0.3654672</v>
      </c>
      <c r="V152" s="14">
        <f t="shared" si="452"/>
        <v>0.162708</v>
      </c>
      <c r="W152" s="14">
        <f t="shared" si="453"/>
        <v>0.6783672</v>
      </c>
      <c r="X152" s="13"/>
      <c r="Y152" s="13"/>
      <c r="Z152" s="13" t="str">
        <f t="shared" si="454"/>
        <v>2 (1-3)</v>
      </c>
      <c r="AA152" s="13" t="str">
        <f t="shared" si="455"/>
        <v>82 (0-0)</v>
      </c>
      <c r="AB152" s="13" t="str">
        <f t="shared" si="456"/>
        <v>6 (3-11)</v>
      </c>
      <c r="AC152" s="13" t="str">
        <f t="shared" si="457"/>
        <v>0 (0-1)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hidden="1">
      <c r="A153" s="7" t="s">
        <v>29</v>
      </c>
      <c r="B153" s="16" t="s">
        <v>66</v>
      </c>
      <c r="C153" s="23">
        <v>2050.0</v>
      </c>
      <c r="D153" s="17">
        <f>2873+3085</f>
        <v>5958</v>
      </c>
      <c r="E153" s="10">
        <v>272726.0</v>
      </c>
      <c r="F153" s="19">
        <v>2.07</v>
      </c>
      <c r="G153" s="10">
        <f t="shared" si="1"/>
        <v>5.6454282</v>
      </c>
      <c r="H153" s="19">
        <v>1.45</v>
      </c>
      <c r="I153" s="8">
        <f t="shared" si="2"/>
        <v>3.954527</v>
      </c>
      <c r="J153" s="19">
        <v>2.93</v>
      </c>
      <c r="K153" s="11">
        <f t="shared" si="3"/>
        <v>7.9908718</v>
      </c>
      <c r="L153" s="11">
        <f t="shared" si="13"/>
        <v>94.75374622</v>
      </c>
      <c r="M153" s="11">
        <f t="shared" si="449"/>
        <v>0.2356107187</v>
      </c>
      <c r="N153" s="11">
        <f t="shared" si="450"/>
        <v>0.4760961418</v>
      </c>
      <c r="O153" s="19">
        <v>5.84</v>
      </c>
      <c r="P153" s="8">
        <f t="shared" ref="P153:P154" si="458">(O153/100000)*E153</f>
        <v>15.9271984</v>
      </c>
      <c r="Q153" s="19">
        <v>2.6</v>
      </c>
      <c r="R153" s="8">
        <f t="shared" ref="R153:R154" si="459">(Q153/100000)*E153</f>
        <v>7.090876</v>
      </c>
      <c r="S153" s="19">
        <v>10.84</v>
      </c>
      <c r="T153" s="11">
        <f t="shared" ref="T153:T154" si="460">(S153/100000)*E153</f>
        <v>29.5634984</v>
      </c>
      <c r="U153" s="14">
        <f t="shared" si="451"/>
        <v>0.3479472</v>
      </c>
      <c r="V153" s="14">
        <f t="shared" si="452"/>
        <v>0.154908</v>
      </c>
      <c r="W153" s="14">
        <f t="shared" si="453"/>
        <v>0.6458472</v>
      </c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>
      <c r="A154" s="7" t="s">
        <v>23</v>
      </c>
      <c r="B154" s="16" t="s">
        <v>67</v>
      </c>
      <c r="C154" s="20">
        <v>2021.0</v>
      </c>
      <c r="D154" s="17">
        <f>10014+10681.5</f>
        <v>20695.5</v>
      </c>
      <c r="E154" s="18">
        <v>762591.0</v>
      </c>
      <c r="F154" s="19">
        <v>1.89</v>
      </c>
      <c r="G154" s="10">
        <f t="shared" si="1"/>
        <v>14.4129699</v>
      </c>
      <c r="H154" s="19">
        <v>1.34</v>
      </c>
      <c r="I154" s="8">
        <f t="shared" si="2"/>
        <v>10.2187194</v>
      </c>
      <c r="J154" s="19">
        <v>2.73</v>
      </c>
      <c r="K154" s="11">
        <f t="shared" si="3"/>
        <v>20.8187343</v>
      </c>
      <c r="L154" s="11">
        <f t="shared" si="13"/>
        <v>69.6430137</v>
      </c>
      <c r="M154" s="12">
        <f>(I154/D154)*100000</f>
        <v>49.37652823</v>
      </c>
      <c r="N154" s="11">
        <f>(K154/D154)*100000</f>
        <v>100.5954642</v>
      </c>
      <c r="O154" s="19">
        <v>12.6</v>
      </c>
      <c r="P154" s="8">
        <f t="shared" si="458"/>
        <v>96.086466</v>
      </c>
      <c r="Q154" s="19">
        <v>3.5</v>
      </c>
      <c r="R154" s="8">
        <f t="shared" si="459"/>
        <v>26.690685</v>
      </c>
      <c r="S154" s="19">
        <v>30.04</v>
      </c>
      <c r="T154" s="11">
        <f t="shared" si="460"/>
        <v>229.0823364</v>
      </c>
      <c r="U154" s="11">
        <f>(P154/D154)*100000</f>
        <v>464.286758</v>
      </c>
      <c r="V154" s="11">
        <f>(R154/D154)*100000</f>
        <v>128.9685439</v>
      </c>
      <c r="W154" s="11">
        <f>(T154/D154)*100000</f>
        <v>1106.918588</v>
      </c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hidden="1">
      <c r="A155" s="7" t="s">
        <v>25</v>
      </c>
      <c r="B155" s="16" t="s">
        <v>67</v>
      </c>
      <c r="C155" s="23">
        <v>2030.0</v>
      </c>
      <c r="D155" s="17">
        <f>11215+11960</f>
        <v>23175</v>
      </c>
      <c r="E155" s="10">
        <v>938348.0</v>
      </c>
      <c r="F155" s="19">
        <v>1.89</v>
      </c>
      <c r="G155" s="10">
        <f t="shared" si="1"/>
        <v>17.7347772</v>
      </c>
      <c r="H155" s="19">
        <v>1.34</v>
      </c>
      <c r="I155" s="8">
        <f t="shared" si="2"/>
        <v>12.5738632</v>
      </c>
      <c r="J155" s="19">
        <v>2.73</v>
      </c>
      <c r="K155" s="11">
        <f t="shared" si="3"/>
        <v>25.6169004</v>
      </c>
      <c r="L155" s="11">
        <f t="shared" si="13"/>
        <v>76.52546796</v>
      </c>
      <c r="M155" s="11">
        <f t="shared" ref="M155:M157" si="461">(I155*D155)/100000</f>
        <v>2.913992797</v>
      </c>
      <c r="N155" s="11">
        <f t="shared" ref="N155:N157" si="462">(K155*D155)/100000</f>
        <v>5.936716668</v>
      </c>
      <c r="O155" s="19">
        <v>12.6</v>
      </c>
      <c r="P155" s="19"/>
      <c r="Q155" s="19">
        <v>3.5</v>
      </c>
      <c r="R155" s="19"/>
      <c r="S155" s="19">
        <v>30.04</v>
      </c>
      <c r="T155" s="14"/>
      <c r="U155" s="14">
        <f t="shared" ref="U155:U157" si="463">(O155*D155)/100000</f>
        <v>2.92005</v>
      </c>
      <c r="V155" s="14">
        <f t="shared" ref="V155:V157" si="464">(Q155*D155)/100000</f>
        <v>0.811125</v>
      </c>
      <c r="W155" s="14">
        <f t="shared" ref="W155:W157" si="465">(S155*D155)/100000</f>
        <v>6.96177</v>
      </c>
      <c r="X155" s="13"/>
      <c r="Y155" s="13"/>
      <c r="Z155" s="13" t="str">
        <f t="shared" ref="Z155:Z156" si="466">ROUND(F155, 0) &amp; " (" &amp; ROUND(H155, 0) &amp; "-" &amp; ROUND(J155, 0) &amp; ")"</f>
        <v>2 (1-3)</v>
      </c>
      <c r="AA155" s="13" t="str">
        <f t="shared" ref="AA155:AA156" si="467">ROUND(L155, 0) &amp; " (" &amp; ROUND(M155, 0) &amp; "-" &amp; ROUND(N155, 0) &amp; ")"</f>
        <v>77 (3-6)</v>
      </c>
      <c r="AB155" s="13" t="str">
        <f t="shared" ref="AB155:AB156" si="468">ROUND(O155, 0) &amp; " (" &amp; ROUND(Q155, 0) &amp; "-" &amp; ROUND(S155, 0) &amp; ")"</f>
        <v>13 (4-30)</v>
      </c>
      <c r="AC155" s="13" t="str">
        <f t="shared" ref="AC155:AC156" si="469">ROUND(U155, 0) &amp; " (" &amp; ROUND(V155, 0) &amp; "-" &amp; ROUND(W155, 0) &amp; ")"</f>
        <v>3 (1-7)</v>
      </c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hidden="1">
      <c r="A156" s="7" t="s">
        <v>27</v>
      </c>
      <c r="B156" s="16" t="s">
        <v>67</v>
      </c>
      <c r="C156" s="23">
        <v>2040.0</v>
      </c>
      <c r="D156" s="17">
        <f>12233+13043</f>
        <v>25276</v>
      </c>
      <c r="E156" s="10">
        <v>1135455.0</v>
      </c>
      <c r="F156" s="19">
        <v>1.89</v>
      </c>
      <c r="G156" s="10">
        <f t="shared" si="1"/>
        <v>21.4600995</v>
      </c>
      <c r="H156" s="19">
        <v>1.34</v>
      </c>
      <c r="I156" s="8">
        <f t="shared" si="2"/>
        <v>15.215097</v>
      </c>
      <c r="J156" s="19">
        <v>2.73</v>
      </c>
      <c r="K156" s="11">
        <f t="shared" si="3"/>
        <v>30.9979215</v>
      </c>
      <c r="L156" s="11">
        <f t="shared" si="13"/>
        <v>84.90306813</v>
      </c>
      <c r="M156" s="11">
        <f t="shared" si="461"/>
        <v>3.845767918</v>
      </c>
      <c r="N156" s="11">
        <f t="shared" si="462"/>
        <v>7.835034638</v>
      </c>
      <c r="O156" s="19">
        <v>12.6</v>
      </c>
      <c r="P156" s="19"/>
      <c r="Q156" s="19">
        <v>3.5</v>
      </c>
      <c r="R156" s="19"/>
      <c r="S156" s="19">
        <v>30.04</v>
      </c>
      <c r="T156" s="14"/>
      <c r="U156" s="14">
        <f t="shared" si="463"/>
        <v>3.184776</v>
      </c>
      <c r="V156" s="14">
        <f t="shared" si="464"/>
        <v>0.88466</v>
      </c>
      <c r="W156" s="14">
        <f t="shared" si="465"/>
        <v>7.5929104</v>
      </c>
      <c r="X156" s="13"/>
      <c r="Y156" s="13"/>
      <c r="Z156" s="13" t="str">
        <f t="shared" si="466"/>
        <v>2 (1-3)</v>
      </c>
      <c r="AA156" s="13" t="str">
        <f t="shared" si="467"/>
        <v>85 (4-8)</v>
      </c>
      <c r="AB156" s="13" t="str">
        <f t="shared" si="468"/>
        <v>13 (4-30)</v>
      </c>
      <c r="AC156" s="13" t="str">
        <f t="shared" si="469"/>
        <v>3 (1-8)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hidden="1">
      <c r="A157" s="7" t="s">
        <v>29</v>
      </c>
      <c r="B157" s="16" t="s">
        <v>67</v>
      </c>
      <c r="C157" s="23">
        <v>2050.0</v>
      </c>
      <c r="D157" s="17">
        <f>12376+13197</f>
        <v>25573</v>
      </c>
      <c r="E157" s="10">
        <v>1309110.0</v>
      </c>
      <c r="F157" s="19">
        <v>1.89</v>
      </c>
      <c r="G157" s="10">
        <f t="shared" si="1"/>
        <v>24.742179</v>
      </c>
      <c r="H157" s="19">
        <v>1.34</v>
      </c>
      <c r="I157" s="8">
        <f t="shared" si="2"/>
        <v>17.542074</v>
      </c>
      <c r="J157" s="19">
        <v>2.73</v>
      </c>
      <c r="K157" s="11">
        <f t="shared" si="3"/>
        <v>35.738703</v>
      </c>
      <c r="L157" s="11">
        <f t="shared" si="13"/>
        <v>96.75117898</v>
      </c>
      <c r="M157" s="11">
        <f t="shared" si="461"/>
        <v>4.486034584</v>
      </c>
      <c r="N157" s="11">
        <f t="shared" si="462"/>
        <v>9.139458518</v>
      </c>
      <c r="O157" s="19">
        <v>12.6</v>
      </c>
      <c r="P157" s="8">
        <f t="shared" ref="P157:P158" si="470">(O157/100000)*E157</f>
        <v>164.94786</v>
      </c>
      <c r="Q157" s="19">
        <v>3.5</v>
      </c>
      <c r="R157" s="8">
        <f t="shared" ref="R157:R158" si="471">(Q157/100000)*E157</f>
        <v>45.81885</v>
      </c>
      <c r="S157" s="19">
        <v>30.04</v>
      </c>
      <c r="T157" s="11">
        <f t="shared" ref="T157:T158" si="472">(S157/100000)*E157</f>
        <v>393.256644</v>
      </c>
      <c r="U157" s="14">
        <f t="shared" si="463"/>
        <v>3.222198</v>
      </c>
      <c r="V157" s="14">
        <f t="shared" si="464"/>
        <v>0.895055</v>
      </c>
      <c r="W157" s="14">
        <f t="shared" si="465"/>
        <v>7.6821292</v>
      </c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>
      <c r="A158" s="7" t="s">
        <v>23</v>
      </c>
      <c r="B158" s="16" t="s">
        <v>68</v>
      </c>
      <c r="C158" s="20">
        <v>2021.0</v>
      </c>
      <c r="D158" s="17">
        <f>1158+1249</f>
        <v>2407</v>
      </c>
      <c r="E158" s="18">
        <v>105490.0</v>
      </c>
      <c r="F158" s="19">
        <v>1.91</v>
      </c>
      <c r="G158" s="10">
        <f t="shared" si="1"/>
        <v>2.014859</v>
      </c>
      <c r="H158" s="19">
        <v>1.32</v>
      </c>
      <c r="I158" s="8">
        <f t="shared" si="2"/>
        <v>1.392468</v>
      </c>
      <c r="J158" s="19">
        <v>2.82</v>
      </c>
      <c r="K158" s="11">
        <f t="shared" si="3"/>
        <v>2.974818</v>
      </c>
      <c r="L158" s="11">
        <f t="shared" si="13"/>
        <v>83.7083091</v>
      </c>
      <c r="M158" s="12">
        <f>(I158/D158)*100000</f>
        <v>57.85076859</v>
      </c>
      <c r="N158" s="11">
        <f>(K158/D158)*100000</f>
        <v>123.5902784</v>
      </c>
      <c r="O158" s="19">
        <v>3.89</v>
      </c>
      <c r="P158" s="8">
        <f t="shared" si="470"/>
        <v>4.103561</v>
      </c>
      <c r="Q158" s="19">
        <v>2.07</v>
      </c>
      <c r="R158" s="8">
        <f t="shared" si="471"/>
        <v>2.183643</v>
      </c>
      <c r="S158" s="19">
        <v>7.08</v>
      </c>
      <c r="T158" s="11">
        <f t="shared" si="472"/>
        <v>7.468692</v>
      </c>
      <c r="U158" s="11">
        <f>(P158/D158)*100000</f>
        <v>170.484462</v>
      </c>
      <c r="V158" s="11">
        <f>(R158/D158)*100000</f>
        <v>90.72052347</v>
      </c>
      <c r="W158" s="11">
        <f>(T158/D158)*100000</f>
        <v>310.2904861</v>
      </c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hidden="1">
      <c r="A159" s="7" t="s">
        <v>25</v>
      </c>
      <c r="B159" s="16" t="s">
        <v>68</v>
      </c>
      <c r="C159" s="23">
        <v>2030.0</v>
      </c>
      <c r="D159" s="17">
        <f>1067+1153</f>
        <v>2220</v>
      </c>
      <c r="E159" s="10">
        <v>102072.0</v>
      </c>
      <c r="F159" s="19">
        <v>1.91</v>
      </c>
      <c r="G159" s="10">
        <f t="shared" si="1"/>
        <v>1.9495752</v>
      </c>
      <c r="H159" s="19">
        <v>1.32</v>
      </c>
      <c r="I159" s="8">
        <f t="shared" si="2"/>
        <v>1.3473504</v>
      </c>
      <c r="J159" s="19">
        <v>2.82</v>
      </c>
      <c r="K159" s="11">
        <f t="shared" si="3"/>
        <v>2.8784304</v>
      </c>
      <c r="L159" s="11">
        <f t="shared" si="13"/>
        <v>87.8187027</v>
      </c>
      <c r="M159" s="11">
        <f t="shared" ref="M159:M161" si="473">(I159*D159)/100000</f>
        <v>0.02991117888</v>
      </c>
      <c r="N159" s="11">
        <f t="shared" ref="N159:N161" si="474">(K159*D159)/100000</f>
        <v>0.06390115488</v>
      </c>
      <c r="O159" s="19">
        <v>3.89</v>
      </c>
      <c r="P159" s="19"/>
      <c r="Q159" s="19">
        <v>2.07</v>
      </c>
      <c r="R159" s="19"/>
      <c r="S159" s="19">
        <v>7.08</v>
      </c>
      <c r="T159" s="14"/>
      <c r="U159" s="14">
        <f t="shared" ref="U159:U161" si="475">(O159*D159)/100000</f>
        <v>0.086358</v>
      </c>
      <c r="V159" s="14">
        <f t="shared" ref="V159:V161" si="476">(Q159*D159)/100000</f>
        <v>0.045954</v>
      </c>
      <c r="W159" s="14">
        <f t="shared" ref="W159:W161" si="477">(S159*D159)/100000</f>
        <v>0.157176</v>
      </c>
      <c r="X159" s="13"/>
      <c r="Y159" s="13"/>
      <c r="Z159" s="13" t="str">
        <f t="shared" ref="Z159:Z160" si="478">ROUND(F159, 0) &amp; " (" &amp; ROUND(H159, 0) &amp; "-" &amp; ROUND(J159, 0) &amp; ")"</f>
        <v>2 (1-3)</v>
      </c>
      <c r="AA159" s="13" t="str">
        <f t="shared" ref="AA159:AA160" si="479">ROUND(L159, 0) &amp; " (" &amp; ROUND(M159, 0) &amp; "-" &amp; ROUND(N159, 0) &amp; ")"</f>
        <v>88 (0-0)</v>
      </c>
      <c r="AB159" s="13" t="str">
        <f t="shared" ref="AB159:AB160" si="480">ROUND(O159, 0) &amp; " (" &amp; ROUND(Q159, 0) &amp; "-" &amp; ROUND(S159, 0) &amp; ")"</f>
        <v>4 (2-7)</v>
      </c>
      <c r="AC159" s="13" t="str">
        <f t="shared" ref="AC159:AC160" si="481">ROUND(U159, 0) &amp; " (" &amp; ROUND(V159, 0) &amp; "-" &amp; ROUND(W159, 0) &amp; ")"</f>
        <v>0 (0-0)</v>
      </c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hidden="1">
      <c r="A160" s="7" t="s">
        <v>27</v>
      </c>
      <c r="B160" s="16" t="s">
        <v>68</v>
      </c>
      <c r="C160" s="23">
        <v>2040.0</v>
      </c>
      <c r="D160" s="17">
        <f>1073+1160</f>
        <v>2233</v>
      </c>
      <c r="E160" s="10">
        <v>102565.0</v>
      </c>
      <c r="F160" s="19">
        <v>1.91</v>
      </c>
      <c r="G160" s="10">
        <f t="shared" si="1"/>
        <v>1.9589915</v>
      </c>
      <c r="H160" s="19">
        <v>1.32</v>
      </c>
      <c r="I160" s="8">
        <f t="shared" si="2"/>
        <v>1.353858</v>
      </c>
      <c r="J160" s="19">
        <v>2.82</v>
      </c>
      <c r="K160" s="11">
        <f t="shared" si="3"/>
        <v>2.892333</v>
      </c>
      <c r="L160" s="11">
        <f t="shared" si="13"/>
        <v>87.72913121</v>
      </c>
      <c r="M160" s="11">
        <f t="shared" si="473"/>
        <v>0.03023164914</v>
      </c>
      <c r="N160" s="11">
        <f t="shared" si="474"/>
        <v>0.06458579589</v>
      </c>
      <c r="O160" s="19">
        <v>3.89</v>
      </c>
      <c r="P160" s="19"/>
      <c r="Q160" s="19">
        <v>2.07</v>
      </c>
      <c r="R160" s="19"/>
      <c r="S160" s="19">
        <v>7.08</v>
      </c>
      <c r="T160" s="14"/>
      <c r="U160" s="14">
        <f t="shared" si="475"/>
        <v>0.0868637</v>
      </c>
      <c r="V160" s="14">
        <f t="shared" si="476"/>
        <v>0.0462231</v>
      </c>
      <c r="W160" s="14">
        <f t="shared" si="477"/>
        <v>0.1580964</v>
      </c>
      <c r="X160" s="13"/>
      <c r="Y160" s="13"/>
      <c r="Z160" s="13" t="str">
        <f t="shared" si="478"/>
        <v>2 (1-3)</v>
      </c>
      <c r="AA160" s="13" t="str">
        <f t="shared" si="479"/>
        <v>88 (0-0)</v>
      </c>
      <c r="AB160" s="13" t="str">
        <f t="shared" si="480"/>
        <v>4 (2-7)</v>
      </c>
      <c r="AC160" s="13" t="str">
        <f t="shared" si="481"/>
        <v>0 (0-0)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hidden="1">
      <c r="A161" s="7" t="s">
        <v>29</v>
      </c>
      <c r="B161" s="16" t="s">
        <v>68</v>
      </c>
      <c r="C161" s="23">
        <v>2050.0</v>
      </c>
      <c r="D161" s="17">
        <f>935+1011</f>
        <v>1946</v>
      </c>
      <c r="E161" s="10">
        <v>105195.0</v>
      </c>
      <c r="F161" s="19">
        <v>1.91</v>
      </c>
      <c r="G161" s="10">
        <f t="shared" si="1"/>
        <v>2.0092245</v>
      </c>
      <c r="H161" s="19">
        <v>1.32</v>
      </c>
      <c r="I161" s="8">
        <f t="shared" si="2"/>
        <v>1.388574</v>
      </c>
      <c r="J161" s="19">
        <v>2.82</v>
      </c>
      <c r="K161" s="11">
        <f t="shared" si="3"/>
        <v>2.966499</v>
      </c>
      <c r="L161" s="11">
        <f t="shared" si="13"/>
        <v>103.2489466</v>
      </c>
      <c r="M161" s="11">
        <f t="shared" si="473"/>
        <v>0.02702165004</v>
      </c>
      <c r="N161" s="11">
        <f t="shared" si="474"/>
        <v>0.05772807054</v>
      </c>
      <c r="O161" s="19">
        <v>3.89</v>
      </c>
      <c r="P161" s="8">
        <f t="shared" ref="P161:P162" si="482">(O161/100000)*E161</f>
        <v>4.0920855</v>
      </c>
      <c r="Q161" s="19">
        <v>2.07</v>
      </c>
      <c r="R161" s="8">
        <f t="shared" ref="R161:R162" si="483">(Q161/100000)*E161</f>
        <v>2.1775365</v>
      </c>
      <c r="S161" s="19">
        <v>7.08</v>
      </c>
      <c r="T161" s="11">
        <f t="shared" ref="T161:T162" si="484">(S161/100000)*E161</f>
        <v>7.447806</v>
      </c>
      <c r="U161" s="14">
        <f t="shared" si="475"/>
        <v>0.0756994</v>
      </c>
      <c r="V161" s="14">
        <f t="shared" si="476"/>
        <v>0.0402822</v>
      </c>
      <c r="W161" s="14">
        <f t="shared" si="477"/>
        <v>0.1377768</v>
      </c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>
      <c r="A162" s="7" t="s">
        <v>23</v>
      </c>
      <c r="B162" s="16" t="s">
        <v>69</v>
      </c>
      <c r="C162" s="20">
        <v>2021.0</v>
      </c>
      <c r="D162" s="17">
        <f>101.5+119</f>
        <v>220.5</v>
      </c>
      <c r="E162" s="18">
        <v>10194.0</v>
      </c>
      <c r="F162" s="19">
        <v>1.45</v>
      </c>
      <c r="G162" s="21">
        <f t="shared" si="1"/>
        <v>0.147813</v>
      </c>
      <c r="H162" s="19">
        <v>1.02</v>
      </c>
      <c r="I162" s="22">
        <f t="shared" si="2"/>
        <v>0.1039788</v>
      </c>
      <c r="J162" s="19">
        <v>2.13</v>
      </c>
      <c r="K162" s="14">
        <f t="shared" si="3"/>
        <v>0.2171322</v>
      </c>
      <c r="L162" s="11">
        <f t="shared" si="13"/>
        <v>67.03537415</v>
      </c>
      <c r="M162" s="12">
        <f>(I162/D162)*100000</f>
        <v>47.15591837</v>
      </c>
      <c r="N162" s="11">
        <f>(K162/D162)*100000</f>
        <v>98.47265306</v>
      </c>
      <c r="O162" s="19">
        <v>5.98</v>
      </c>
      <c r="P162" s="8">
        <f t="shared" si="482"/>
        <v>0.6096012</v>
      </c>
      <c r="Q162" s="19">
        <v>2.68</v>
      </c>
      <c r="R162" s="8">
        <f t="shared" si="483"/>
        <v>0.2731992</v>
      </c>
      <c r="S162" s="19">
        <v>11.57</v>
      </c>
      <c r="T162" s="11">
        <f t="shared" si="484"/>
        <v>1.1794458</v>
      </c>
      <c r="U162" s="11">
        <f>(P162/D162)*100000</f>
        <v>276.4631293</v>
      </c>
      <c r="V162" s="11">
        <f>(R162/D162)*100000</f>
        <v>123.8998639</v>
      </c>
      <c r="W162" s="11">
        <f>(T162/D162)*100000</f>
        <v>534.8960544</v>
      </c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hidden="1">
      <c r="A163" s="7" t="s">
        <v>25</v>
      </c>
      <c r="B163" s="16" t="s">
        <v>69</v>
      </c>
      <c r="C163" s="23">
        <v>2030.0</v>
      </c>
      <c r="D163" s="17">
        <f>81+86</f>
        <v>167</v>
      </c>
      <c r="E163" s="10">
        <v>9047.0</v>
      </c>
      <c r="F163" s="19">
        <v>1.45</v>
      </c>
      <c r="G163" s="21">
        <f t="shared" si="1"/>
        <v>0.1311815</v>
      </c>
      <c r="H163" s="19">
        <v>1.02</v>
      </c>
      <c r="I163" s="22">
        <f t="shared" si="2"/>
        <v>0.0922794</v>
      </c>
      <c r="J163" s="19">
        <v>2.13</v>
      </c>
      <c r="K163" s="14">
        <f t="shared" si="3"/>
        <v>0.1927011</v>
      </c>
      <c r="L163" s="11">
        <f t="shared" si="13"/>
        <v>78.55179641</v>
      </c>
      <c r="M163" s="11">
        <f t="shared" ref="M163:M165" si="485">(I163*D163)/100000</f>
        <v>0.000154106598</v>
      </c>
      <c r="N163" s="11">
        <f t="shared" ref="N163:N165" si="486">(K163*D163)/100000</f>
        <v>0.000321810837</v>
      </c>
      <c r="O163" s="19">
        <v>5.98</v>
      </c>
      <c r="P163" s="19"/>
      <c r="Q163" s="19">
        <v>2.68</v>
      </c>
      <c r="R163" s="19"/>
      <c r="S163" s="19">
        <v>11.57</v>
      </c>
      <c r="T163" s="14"/>
      <c r="U163" s="14">
        <f t="shared" ref="U163:U165" si="487">(O163*D163)/100000</f>
        <v>0.0099866</v>
      </c>
      <c r="V163" s="14">
        <f t="shared" ref="V163:V165" si="488">(Q163*D163)/100000</f>
        <v>0.0044756</v>
      </c>
      <c r="W163" s="14">
        <f t="shared" ref="W163:W165" si="489">(S163*D163)/100000</f>
        <v>0.0193219</v>
      </c>
      <c r="X163" s="13"/>
      <c r="Y163" s="13"/>
      <c r="Z163" s="13" t="str">
        <f t="shared" ref="Z163:Z164" si="490">ROUND(F163, 0) &amp; " (" &amp; ROUND(H163, 0) &amp; "-" &amp; ROUND(J163, 0) &amp; ")"</f>
        <v>1 (1-2)</v>
      </c>
      <c r="AA163" s="13" t="str">
        <f t="shared" ref="AA163:AA164" si="491">ROUND(L163, 0) &amp; " (" &amp; ROUND(M163, 0) &amp; "-" &amp; ROUND(N163, 0) &amp; ")"</f>
        <v>79 (0-0)</v>
      </c>
      <c r="AB163" s="13" t="str">
        <f t="shared" ref="AB163:AB164" si="492">ROUND(O163, 0) &amp; " (" &amp; ROUND(Q163, 0) &amp; "-" &amp; ROUND(S163, 0) &amp; ")"</f>
        <v>6 (3-12)</v>
      </c>
      <c r="AC163" s="13" t="str">
        <f t="shared" ref="AC163:AC164" si="493">ROUND(U163, 0) &amp; " (" &amp; ROUND(V163, 0) &amp; "-" &amp; ROUND(W163, 0) &amp; ")"</f>
        <v>0 (0-0)</v>
      </c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hidden="1">
      <c r="A164" s="7" t="s">
        <v>27</v>
      </c>
      <c r="B164" s="16" t="s">
        <v>69</v>
      </c>
      <c r="C164" s="23">
        <v>2040.0</v>
      </c>
      <c r="D164" s="17">
        <f>89+95</f>
        <v>184</v>
      </c>
      <c r="E164" s="10">
        <v>9140.0</v>
      </c>
      <c r="F164" s="19">
        <v>1.45</v>
      </c>
      <c r="G164" s="21">
        <f t="shared" si="1"/>
        <v>0.13253</v>
      </c>
      <c r="H164" s="19">
        <v>1.02</v>
      </c>
      <c r="I164" s="22">
        <f t="shared" si="2"/>
        <v>0.093228</v>
      </c>
      <c r="J164" s="19">
        <v>2.13</v>
      </c>
      <c r="K164" s="14">
        <f t="shared" si="3"/>
        <v>0.194682</v>
      </c>
      <c r="L164" s="11">
        <f t="shared" si="13"/>
        <v>72.02717391</v>
      </c>
      <c r="M164" s="11">
        <f t="shared" si="485"/>
        <v>0.00017153952</v>
      </c>
      <c r="N164" s="11">
        <f t="shared" si="486"/>
        <v>0.00035821488</v>
      </c>
      <c r="O164" s="19">
        <v>5.98</v>
      </c>
      <c r="P164" s="19"/>
      <c r="Q164" s="19">
        <v>2.68</v>
      </c>
      <c r="R164" s="19"/>
      <c r="S164" s="19">
        <v>11.57</v>
      </c>
      <c r="T164" s="14"/>
      <c r="U164" s="14">
        <f t="shared" si="487"/>
        <v>0.0110032</v>
      </c>
      <c r="V164" s="14">
        <f t="shared" si="488"/>
        <v>0.0049312</v>
      </c>
      <c r="W164" s="14">
        <f t="shared" si="489"/>
        <v>0.0212888</v>
      </c>
      <c r="X164" s="13"/>
      <c r="Y164" s="13"/>
      <c r="Z164" s="13" t="str">
        <f t="shared" si="490"/>
        <v>1 (1-2)</v>
      </c>
      <c r="AA164" s="13" t="str">
        <f t="shared" si="491"/>
        <v>72 (0-0)</v>
      </c>
      <c r="AB164" s="13" t="str">
        <f t="shared" si="492"/>
        <v>6 (3-12)</v>
      </c>
      <c r="AC164" s="13" t="str">
        <f t="shared" si="493"/>
        <v>0 (0-0)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hidden="1">
      <c r="A165" s="7" t="s">
        <v>29</v>
      </c>
      <c r="B165" s="16" t="s">
        <v>69</v>
      </c>
      <c r="C165" s="23">
        <v>2050.0</v>
      </c>
      <c r="D165" s="17">
        <f>90+96</f>
        <v>186</v>
      </c>
      <c r="E165" s="10">
        <v>9781.0</v>
      </c>
      <c r="F165" s="19">
        <v>1.45</v>
      </c>
      <c r="G165" s="21">
        <f t="shared" si="1"/>
        <v>0.1418245</v>
      </c>
      <c r="H165" s="19">
        <v>1.02</v>
      </c>
      <c r="I165" s="22">
        <f t="shared" si="2"/>
        <v>0.0997662</v>
      </c>
      <c r="J165" s="19">
        <v>2.13</v>
      </c>
      <c r="K165" s="14">
        <f t="shared" si="3"/>
        <v>0.2083353</v>
      </c>
      <c r="L165" s="11">
        <f t="shared" si="13"/>
        <v>76.24973118</v>
      </c>
      <c r="M165" s="11">
        <f t="shared" si="485"/>
        <v>0.000185565132</v>
      </c>
      <c r="N165" s="11">
        <f t="shared" si="486"/>
        <v>0.000387503658</v>
      </c>
      <c r="O165" s="19">
        <v>5.98</v>
      </c>
      <c r="P165" s="8">
        <f t="shared" ref="P165:P166" si="494">(O165/100000)*E165</f>
        <v>0.5849038</v>
      </c>
      <c r="Q165" s="19">
        <v>2.68</v>
      </c>
      <c r="R165" s="8">
        <f t="shared" ref="R165:R166" si="495">(Q165/100000)*E165</f>
        <v>0.2621308</v>
      </c>
      <c r="S165" s="19">
        <v>11.57</v>
      </c>
      <c r="T165" s="11">
        <f t="shared" ref="T165:T166" si="496">(S165/100000)*E165</f>
        <v>1.1316617</v>
      </c>
      <c r="U165" s="14">
        <f t="shared" si="487"/>
        <v>0.0111228</v>
      </c>
      <c r="V165" s="14">
        <f t="shared" si="488"/>
        <v>0.0049848</v>
      </c>
      <c r="W165" s="14">
        <f t="shared" si="489"/>
        <v>0.0215202</v>
      </c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>
      <c r="A166" s="7" t="s">
        <v>23</v>
      </c>
      <c r="B166" s="16" t="s">
        <v>70</v>
      </c>
      <c r="C166" s="20">
        <v>2021.0</v>
      </c>
      <c r="D166" s="18">
        <f>4272+4561.5</f>
        <v>8833.5</v>
      </c>
      <c r="E166" s="18">
        <v>305868.0</v>
      </c>
      <c r="F166" s="19">
        <v>1.84</v>
      </c>
      <c r="G166" s="10">
        <f t="shared" si="1"/>
        <v>5.6279712</v>
      </c>
      <c r="H166" s="19">
        <v>1.32</v>
      </c>
      <c r="I166" s="8">
        <f t="shared" si="2"/>
        <v>4.0374576</v>
      </c>
      <c r="J166" s="19">
        <v>2.61</v>
      </c>
      <c r="K166" s="11">
        <f t="shared" si="3"/>
        <v>7.9831548</v>
      </c>
      <c r="L166" s="11">
        <f t="shared" si="13"/>
        <v>63.7116794</v>
      </c>
      <c r="M166" s="12">
        <f>(I166/D166)*100000</f>
        <v>45.70620479</v>
      </c>
      <c r="N166" s="11">
        <f>(K166/D166)*100000</f>
        <v>90.3736322</v>
      </c>
      <c r="O166" s="19">
        <v>7.62</v>
      </c>
      <c r="P166" s="8">
        <f t="shared" si="494"/>
        <v>23.3071416</v>
      </c>
      <c r="Q166" s="19">
        <v>2.47</v>
      </c>
      <c r="R166" s="8">
        <f t="shared" si="495"/>
        <v>7.5549396</v>
      </c>
      <c r="S166" s="19">
        <v>19.75</v>
      </c>
      <c r="T166" s="11">
        <f t="shared" si="496"/>
        <v>60.40893</v>
      </c>
      <c r="U166" s="11">
        <f>(P166/D166)*100000</f>
        <v>263.8494549</v>
      </c>
      <c r="V166" s="11">
        <f>(R166/D166)*100000</f>
        <v>85.52600442</v>
      </c>
      <c r="W166" s="11">
        <f>(T166/D166)*100000</f>
        <v>683.8617762</v>
      </c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hidden="1">
      <c r="A167" s="7" t="s">
        <v>25</v>
      </c>
      <c r="B167" s="16" t="s">
        <v>70</v>
      </c>
      <c r="C167" s="23">
        <v>2030.0</v>
      </c>
      <c r="D167" s="17">
        <f>4557+4863</f>
        <v>9420</v>
      </c>
      <c r="E167" s="10">
        <v>372428.0</v>
      </c>
      <c r="F167" s="19">
        <v>1.84</v>
      </c>
      <c r="G167" s="10">
        <f t="shared" si="1"/>
        <v>6.8526752</v>
      </c>
      <c r="H167" s="19">
        <v>1.32</v>
      </c>
      <c r="I167" s="8">
        <f t="shared" si="2"/>
        <v>4.9160496</v>
      </c>
      <c r="J167" s="19">
        <v>2.61</v>
      </c>
      <c r="K167" s="11">
        <f t="shared" si="3"/>
        <v>9.7203708</v>
      </c>
      <c r="L167" s="11">
        <f t="shared" si="13"/>
        <v>72.74602123</v>
      </c>
      <c r="M167" s="11">
        <f t="shared" ref="M167:M169" si="497">(I167*D167)/100000</f>
        <v>0.4630918723</v>
      </c>
      <c r="N167" s="11">
        <f t="shared" ref="N167:N169" si="498">(K167*D167)/100000</f>
        <v>0.9156589294</v>
      </c>
      <c r="O167" s="19">
        <v>7.62</v>
      </c>
      <c r="P167" s="19"/>
      <c r="Q167" s="19">
        <v>2.47</v>
      </c>
      <c r="R167" s="19"/>
      <c r="S167" s="19">
        <v>19.75</v>
      </c>
      <c r="T167" s="14"/>
      <c r="U167" s="14">
        <f t="shared" ref="U167:U169" si="499">(O167*D167)/100000</f>
        <v>0.717804</v>
      </c>
      <c r="V167" s="14">
        <f t="shared" ref="V167:V169" si="500">(Q167*D167)/100000</f>
        <v>0.232674</v>
      </c>
      <c r="W167" s="14">
        <f t="shared" ref="W167:W169" si="501">(S167*D167)/100000</f>
        <v>1.86045</v>
      </c>
      <c r="X167" s="13"/>
      <c r="Y167" s="13"/>
      <c r="Z167" s="13" t="str">
        <f t="shared" ref="Z167:Z168" si="502">ROUND(F167, 0) &amp; " (" &amp; ROUND(H167, 0) &amp; "-" &amp; ROUND(J167, 0) &amp; ")"</f>
        <v>2 (1-3)</v>
      </c>
      <c r="AA167" s="13" t="str">
        <f t="shared" ref="AA167:AA168" si="503">ROUND(L167, 0) &amp; " (" &amp; ROUND(M167, 0) &amp; "-" &amp; ROUND(N167, 0) &amp; ")"</f>
        <v>73 (0-1)</v>
      </c>
      <c r="AB167" s="13" t="str">
        <f t="shared" ref="AB167:AB168" si="504">ROUND(O167, 0) &amp; " (" &amp; ROUND(Q167, 0) &amp; "-" &amp; ROUND(S167, 0) &amp; ")"</f>
        <v>8 (2-20)</v>
      </c>
      <c r="AC167" s="13" t="str">
        <f t="shared" ref="AC167:AC168" si="505">ROUND(U167, 0) &amp; " (" &amp; ROUND(V167, 0) &amp; "-" &amp; ROUND(W167, 0) &amp; ")"</f>
        <v>1 (0-2)</v>
      </c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hidden="1">
      <c r="A168" s="7" t="s">
        <v>27</v>
      </c>
      <c r="B168" s="16" t="s">
        <v>70</v>
      </c>
      <c r="C168" s="23">
        <v>2040.0</v>
      </c>
      <c r="D168" s="17">
        <f>5233+5584</f>
        <v>10817</v>
      </c>
      <c r="E168" s="10">
        <v>451512.0</v>
      </c>
      <c r="F168" s="19">
        <v>1.84</v>
      </c>
      <c r="G168" s="10">
        <f t="shared" si="1"/>
        <v>8.3078208</v>
      </c>
      <c r="H168" s="19">
        <v>1.32</v>
      </c>
      <c r="I168" s="8">
        <f t="shared" si="2"/>
        <v>5.9599584</v>
      </c>
      <c r="J168" s="19">
        <v>2.61</v>
      </c>
      <c r="K168" s="11">
        <f t="shared" si="3"/>
        <v>11.7844632</v>
      </c>
      <c r="L168" s="11">
        <f t="shared" si="13"/>
        <v>76.80337247</v>
      </c>
      <c r="M168" s="11">
        <f t="shared" si="497"/>
        <v>0.6446887001</v>
      </c>
      <c r="N168" s="11">
        <f t="shared" si="498"/>
        <v>1.274725384</v>
      </c>
      <c r="O168" s="19">
        <v>7.62</v>
      </c>
      <c r="P168" s="19"/>
      <c r="Q168" s="19">
        <v>2.47</v>
      </c>
      <c r="R168" s="19"/>
      <c r="S168" s="19">
        <v>19.75</v>
      </c>
      <c r="T168" s="14"/>
      <c r="U168" s="14">
        <f t="shared" si="499"/>
        <v>0.8242554</v>
      </c>
      <c r="V168" s="14">
        <f t="shared" si="500"/>
        <v>0.2671799</v>
      </c>
      <c r="W168" s="14">
        <f t="shared" si="501"/>
        <v>2.1363575</v>
      </c>
      <c r="X168" s="13"/>
      <c r="Y168" s="13"/>
      <c r="Z168" s="13" t="str">
        <f t="shared" si="502"/>
        <v>2 (1-3)</v>
      </c>
      <c r="AA168" s="13" t="str">
        <f t="shared" si="503"/>
        <v>77 (1-1)</v>
      </c>
      <c r="AB168" s="13" t="str">
        <f t="shared" si="504"/>
        <v>8 (2-20)</v>
      </c>
      <c r="AC168" s="13" t="str">
        <f t="shared" si="505"/>
        <v>1 (0-2)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hidden="1">
      <c r="A169" s="7" t="s">
        <v>29</v>
      </c>
      <c r="B169" s="16" t="s">
        <v>70</v>
      </c>
      <c r="C169" s="23">
        <v>2050.0</v>
      </c>
      <c r="D169" s="17">
        <f>5538+5913</f>
        <v>11451</v>
      </c>
      <c r="E169" s="10">
        <v>534388.0</v>
      </c>
      <c r="F169" s="19">
        <v>1.84</v>
      </c>
      <c r="G169" s="10">
        <f t="shared" si="1"/>
        <v>9.8327392</v>
      </c>
      <c r="H169" s="19">
        <v>1.32</v>
      </c>
      <c r="I169" s="8">
        <f t="shared" si="2"/>
        <v>7.0539216</v>
      </c>
      <c r="J169" s="19">
        <v>2.61</v>
      </c>
      <c r="K169" s="11">
        <f t="shared" si="3"/>
        <v>13.9475268</v>
      </c>
      <c r="L169" s="11">
        <f t="shared" si="13"/>
        <v>85.86795214</v>
      </c>
      <c r="M169" s="11">
        <f t="shared" si="497"/>
        <v>0.8077445624</v>
      </c>
      <c r="N169" s="11">
        <f t="shared" si="498"/>
        <v>1.597131294</v>
      </c>
      <c r="O169" s="19">
        <v>7.62</v>
      </c>
      <c r="P169" s="8">
        <f t="shared" ref="P169:P170" si="506">(O169/100000)*E169</f>
        <v>40.7203656</v>
      </c>
      <c r="Q169" s="19">
        <v>2.47</v>
      </c>
      <c r="R169" s="8">
        <f t="shared" ref="R169:R170" si="507">(Q169/100000)*E169</f>
        <v>13.1993836</v>
      </c>
      <c r="S169" s="19">
        <v>19.75</v>
      </c>
      <c r="T169" s="11">
        <f t="shared" ref="T169:T170" si="508">(S169/100000)*E169</f>
        <v>105.54163</v>
      </c>
      <c r="U169" s="14">
        <f t="shared" si="499"/>
        <v>0.8725662</v>
      </c>
      <c r="V169" s="14">
        <f t="shared" si="500"/>
        <v>0.2828397</v>
      </c>
      <c r="W169" s="14">
        <f t="shared" si="501"/>
        <v>2.2615725</v>
      </c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>
      <c r="A170" s="7" t="s">
        <v>23</v>
      </c>
      <c r="B170" s="16" t="s">
        <v>71</v>
      </c>
      <c r="C170" s="20">
        <v>2021.0</v>
      </c>
      <c r="D170" s="17">
        <f>178854+187354</f>
        <v>366208</v>
      </c>
      <c r="E170" s="18">
        <v>1.6974305E7</v>
      </c>
      <c r="F170" s="19">
        <v>3.0</v>
      </c>
      <c r="G170" s="10">
        <f t="shared" si="1"/>
        <v>509.22915</v>
      </c>
      <c r="H170" s="19">
        <v>2.12</v>
      </c>
      <c r="I170" s="8">
        <f t="shared" si="2"/>
        <v>359.855266</v>
      </c>
      <c r="J170" s="19">
        <v>3.99</v>
      </c>
      <c r="K170" s="11">
        <f t="shared" si="3"/>
        <v>677.2747695</v>
      </c>
      <c r="L170" s="11">
        <f t="shared" si="13"/>
        <v>139.054622</v>
      </c>
      <c r="M170" s="12">
        <f>(I170/D170)*100000</f>
        <v>98.26526619</v>
      </c>
      <c r="N170" s="11">
        <f>(K170/D170)*100000</f>
        <v>184.9426472</v>
      </c>
      <c r="O170" s="19">
        <v>19.0</v>
      </c>
      <c r="P170" s="8">
        <f t="shared" si="506"/>
        <v>3225.11795</v>
      </c>
      <c r="Q170" s="19">
        <v>4.88</v>
      </c>
      <c r="R170" s="8">
        <f t="shared" si="507"/>
        <v>828.346084</v>
      </c>
      <c r="S170" s="19">
        <v>77.41</v>
      </c>
      <c r="T170" s="11">
        <f t="shared" si="508"/>
        <v>13139.8095</v>
      </c>
      <c r="U170" s="11">
        <f>(P170/D170)*100000</f>
        <v>880.6792724</v>
      </c>
      <c r="V170" s="11">
        <f>(R170/D170)*100000</f>
        <v>226.1955184</v>
      </c>
      <c r="W170" s="11">
        <f>(T170/D170)*100000</f>
        <v>3588.072762</v>
      </c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hidden="1">
      <c r="A171" s="7" t="s">
        <v>25</v>
      </c>
      <c r="B171" s="16" t="s">
        <v>71</v>
      </c>
      <c r="C171" s="23">
        <v>2030.0</v>
      </c>
      <c r="D171" s="17">
        <f>166409+174319</f>
        <v>340728</v>
      </c>
      <c r="E171" s="10">
        <v>1.8827388E7</v>
      </c>
      <c r="F171" s="19">
        <v>3.0</v>
      </c>
      <c r="G171" s="10">
        <f t="shared" si="1"/>
        <v>564.82164</v>
      </c>
      <c r="H171" s="19">
        <v>2.12</v>
      </c>
      <c r="I171" s="8">
        <f t="shared" si="2"/>
        <v>399.1406256</v>
      </c>
      <c r="J171" s="19">
        <v>3.99</v>
      </c>
      <c r="K171" s="11">
        <f t="shared" si="3"/>
        <v>751.2127812</v>
      </c>
      <c r="L171" s="11">
        <f t="shared" si="13"/>
        <v>165.7690709</v>
      </c>
      <c r="M171" s="11">
        <f t="shared" ref="M171:M173" si="509">(I171*D171)/100000</f>
        <v>1359.983871</v>
      </c>
      <c r="N171" s="11">
        <f t="shared" ref="N171:N173" si="510">(K171*D171)/100000</f>
        <v>2559.592285</v>
      </c>
      <c r="O171" s="19">
        <v>19.0</v>
      </c>
      <c r="P171" s="19"/>
      <c r="Q171" s="19">
        <v>4.88</v>
      </c>
      <c r="R171" s="19"/>
      <c r="S171" s="19">
        <v>77.41</v>
      </c>
      <c r="T171" s="14"/>
      <c r="U171" s="14">
        <f t="shared" ref="U171:U173" si="511">(O171*D171)/100000</f>
        <v>64.73832</v>
      </c>
      <c r="V171" s="14">
        <f t="shared" ref="V171:V173" si="512">(Q171*D171)/100000</f>
        <v>16.6275264</v>
      </c>
      <c r="W171" s="14">
        <f t="shared" ref="W171:W173" si="513">(S171*D171)/100000</f>
        <v>263.7575448</v>
      </c>
      <c r="X171" s="13"/>
      <c r="Y171" s="13"/>
      <c r="Z171" s="13" t="str">
        <f t="shared" ref="Z171:Z172" si="514">ROUND(F171, 0) &amp; " (" &amp; ROUND(H171, 0) &amp; "-" &amp; ROUND(J171, 0) &amp; ")"</f>
        <v>3 (2-4)</v>
      </c>
      <c r="AA171" s="13" t="str">
        <f t="shared" ref="AA171:AA172" si="515">ROUND(L171, 0) &amp; " (" &amp; ROUND(M171, 0) &amp; "-" &amp; ROUND(N171, 0) &amp; ")"</f>
        <v>166 (1360-2560)</v>
      </c>
      <c r="AB171" s="13" t="str">
        <f t="shared" ref="AB171:AB172" si="516">ROUND(O171, 0) &amp; " (" &amp; ROUND(Q171, 0) &amp; "-" &amp; ROUND(S171, 0) &amp; ")"</f>
        <v>19 (5-77)</v>
      </c>
      <c r="AC171" s="13" t="str">
        <f t="shared" ref="AC171:AC172" si="517">ROUND(U171, 0) &amp; " (" &amp; ROUND(V171, 0) &amp; "-" &amp; ROUND(W171, 0) &amp; ")"</f>
        <v>65 (17-264)</v>
      </c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hidden="1">
      <c r="A172" s="7" t="s">
        <v>27</v>
      </c>
      <c r="B172" s="16" t="s">
        <v>71</v>
      </c>
      <c r="C172" s="23">
        <v>2040.0</v>
      </c>
      <c r="D172" s="17">
        <f>165065+172869</f>
        <v>337934</v>
      </c>
      <c r="E172" s="10">
        <v>2.0540682E7</v>
      </c>
      <c r="F172" s="19">
        <v>3.0</v>
      </c>
      <c r="G172" s="10">
        <f t="shared" si="1"/>
        <v>616.22046</v>
      </c>
      <c r="H172" s="19">
        <v>2.12</v>
      </c>
      <c r="I172" s="8">
        <f t="shared" si="2"/>
        <v>435.4624584</v>
      </c>
      <c r="J172" s="19">
        <v>3.99</v>
      </c>
      <c r="K172" s="11">
        <f t="shared" si="3"/>
        <v>819.5732118</v>
      </c>
      <c r="L172" s="11">
        <f t="shared" si="13"/>
        <v>182.3493522</v>
      </c>
      <c r="M172" s="11">
        <f t="shared" si="509"/>
        <v>1471.575704</v>
      </c>
      <c r="N172" s="11">
        <f t="shared" si="510"/>
        <v>2769.616538</v>
      </c>
      <c r="O172" s="19">
        <v>19.0</v>
      </c>
      <c r="P172" s="19"/>
      <c r="Q172" s="19">
        <v>4.88</v>
      </c>
      <c r="R172" s="19"/>
      <c r="S172" s="19">
        <v>77.41</v>
      </c>
      <c r="T172" s="14"/>
      <c r="U172" s="14">
        <f t="shared" si="511"/>
        <v>64.20746</v>
      </c>
      <c r="V172" s="14">
        <f t="shared" si="512"/>
        <v>16.4911792</v>
      </c>
      <c r="W172" s="14">
        <f t="shared" si="513"/>
        <v>261.5947094</v>
      </c>
      <c r="X172" s="13"/>
      <c r="Y172" s="13"/>
      <c r="Z172" s="13" t="str">
        <f t="shared" si="514"/>
        <v>3 (2-4)</v>
      </c>
      <c r="AA172" s="13" t="str">
        <f t="shared" si="515"/>
        <v>182 (1472-2770)</v>
      </c>
      <c r="AB172" s="13" t="str">
        <f t="shared" si="516"/>
        <v>19 (5-77)</v>
      </c>
      <c r="AC172" s="13" t="str">
        <f t="shared" si="517"/>
        <v>64 (16-262)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hidden="1">
      <c r="A173" s="7" t="s">
        <v>29</v>
      </c>
      <c r="B173" s="16" t="s">
        <v>71</v>
      </c>
      <c r="C173" s="23">
        <v>2050.0</v>
      </c>
      <c r="D173" s="17">
        <f>159119+166756</f>
        <v>325875</v>
      </c>
      <c r="E173" s="10">
        <v>2.1931455E7</v>
      </c>
      <c r="F173" s="19">
        <v>3.0</v>
      </c>
      <c r="G173" s="10">
        <f t="shared" si="1"/>
        <v>657.94365</v>
      </c>
      <c r="H173" s="19">
        <v>2.12</v>
      </c>
      <c r="I173" s="8">
        <f t="shared" si="2"/>
        <v>464.946846</v>
      </c>
      <c r="J173" s="19">
        <v>3.99</v>
      </c>
      <c r="K173" s="11">
        <f t="shared" si="3"/>
        <v>875.0650545</v>
      </c>
      <c r="L173" s="11">
        <f t="shared" si="13"/>
        <v>201.9006214</v>
      </c>
      <c r="M173" s="11">
        <f t="shared" si="509"/>
        <v>1515.145534</v>
      </c>
      <c r="N173" s="11">
        <f t="shared" si="510"/>
        <v>2851.618246</v>
      </c>
      <c r="O173" s="19">
        <v>19.0</v>
      </c>
      <c r="P173" s="8">
        <f t="shared" ref="P173:P174" si="518">(O173/100000)*E173</f>
        <v>4166.97645</v>
      </c>
      <c r="Q173" s="19">
        <v>4.88</v>
      </c>
      <c r="R173" s="8">
        <f t="shared" ref="R173:R174" si="519">(Q173/100000)*E173</f>
        <v>1070.255004</v>
      </c>
      <c r="S173" s="19">
        <v>77.41</v>
      </c>
      <c r="T173" s="11">
        <f t="shared" ref="T173:T174" si="520">(S173/100000)*E173</f>
        <v>16977.13932</v>
      </c>
      <c r="U173" s="14">
        <f t="shared" si="511"/>
        <v>61.91625</v>
      </c>
      <c r="V173" s="14">
        <f t="shared" si="512"/>
        <v>15.9027</v>
      </c>
      <c r="W173" s="14">
        <f t="shared" si="513"/>
        <v>252.2598375</v>
      </c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>
      <c r="A174" s="7" t="s">
        <v>23</v>
      </c>
      <c r="B174" s="16" t="s">
        <v>72</v>
      </c>
      <c r="C174" s="20">
        <v>2021.0</v>
      </c>
      <c r="D174" s="17">
        <f>2182109+2304836</f>
        <v>4486945</v>
      </c>
      <c r="E174" s="18">
        <v>2.76758053E8</v>
      </c>
      <c r="F174" s="19">
        <v>2.01</v>
      </c>
      <c r="G174" s="10">
        <f t="shared" si="1"/>
        <v>5562.836865</v>
      </c>
      <c r="H174" s="19">
        <v>1.41</v>
      </c>
      <c r="I174" s="8">
        <f t="shared" si="2"/>
        <v>3902.288547</v>
      </c>
      <c r="J174" s="19">
        <v>2.67</v>
      </c>
      <c r="K174" s="11">
        <f t="shared" si="3"/>
        <v>7389.440015</v>
      </c>
      <c r="L174" s="11">
        <f t="shared" si="13"/>
        <v>123.9782717</v>
      </c>
      <c r="M174" s="12">
        <f>(I174/D174)*100000</f>
        <v>86.96983242</v>
      </c>
      <c r="N174" s="11">
        <f>(K174/D174)*100000</f>
        <v>164.687555</v>
      </c>
      <c r="O174" s="19">
        <v>3.83</v>
      </c>
      <c r="P174" s="8">
        <f t="shared" si="518"/>
        <v>10599.83343</v>
      </c>
      <c r="Q174" s="19">
        <v>2.27</v>
      </c>
      <c r="R174" s="8">
        <f t="shared" si="519"/>
        <v>6282.407803</v>
      </c>
      <c r="S174" s="19">
        <v>5.96</v>
      </c>
      <c r="T174" s="11">
        <f t="shared" si="520"/>
        <v>16494.77996</v>
      </c>
      <c r="U174" s="11">
        <f>(P174/D174)*100000</f>
        <v>236.2372044</v>
      </c>
      <c r="V174" s="11">
        <f>(R174/D174)*100000</f>
        <v>140.0152621</v>
      </c>
      <c r="W174" s="11">
        <f>(T174/D174)*100000</f>
        <v>367.617164</v>
      </c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hidden="1">
      <c r="A175" s="7" t="s">
        <v>25</v>
      </c>
      <c r="B175" s="16" t="s">
        <v>72</v>
      </c>
      <c r="C175" s="23">
        <v>2030.0</v>
      </c>
      <c r="D175" s="17">
        <f>2088480+2207070</f>
        <v>4295550</v>
      </c>
      <c r="E175" s="10">
        <v>2.95876648E8</v>
      </c>
      <c r="F175" s="19">
        <v>2.01</v>
      </c>
      <c r="G175" s="10">
        <f t="shared" si="1"/>
        <v>5947.120625</v>
      </c>
      <c r="H175" s="19">
        <v>1.41</v>
      </c>
      <c r="I175" s="8">
        <f t="shared" si="2"/>
        <v>4171.860737</v>
      </c>
      <c r="J175" s="19">
        <v>2.67</v>
      </c>
      <c r="K175" s="11">
        <f t="shared" si="3"/>
        <v>7899.906502</v>
      </c>
      <c r="L175" s="11">
        <f t="shared" si="13"/>
        <v>138.4484088</v>
      </c>
      <c r="M175" s="11">
        <f t="shared" ref="M175:M177" si="521">(I175*D175)/100000</f>
        <v>179204.3639</v>
      </c>
      <c r="N175" s="11">
        <f t="shared" ref="N175:N177" si="522">(K175*D175)/100000</f>
        <v>339344.4337</v>
      </c>
      <c r="O175" s="19">
        <v>3.83</v>
      </c>
      <c r="P175" s="19"/>
      <c r="Q175" s="19">
        <v>2.27</v>
      </c>
      <c r="R175" s="19"/>
      <c r="S175" s="19">
        <v>5.96</v>
      </c>
      <c r="T175" s="14"/>
      <c r="U175" s="14">
        <f t="shared" ref="U175:U177" si="523">(O175*D175)/100000</f>
        <v>164.519565</v>
      </c>
      <c r="V175" s="14">
        <f t="shared" ref="V175:V177" si="524">(Q175*D175)/100000</f>
        <v>97.508985</v>
      </c>
      <c r="W175" s="14">
        <f t="shared" ref="W175:W177" si="525">(S175*D175)/100000</f>
        <v>256.01478</v>
      </c>
      <c r="X175" s="13"/>
      <c r="Y175" s="13"/>
      <c r="Z175" s="13" t="str">
        <f t="shared" ref="Z175:Z176" si="526">ROUND(F175, 0) &amp; " (" &amp; ROUND(H175, 0) &amp; "-" &amp; ROUND(J175, 0) &amp; ")"</f>
        <v>2 (1-3)</v>
      </c>
      <c r="AA175" s="13" t="str">
        <f t="shared" ref="AA175:AA176" si="527">ROUND(L175, 0) &amp; " (" &amp; ROUND(M175, 0) &amp; "-" &amp; ROUND(N175, 0) &amp; ")"</f>
        <v>138 (179204-339344)</v>
      </c>
      <c r="AB175" s="13" t="str">
        <f t="shared" ref="AB175:AB176" si="528">ROUND(O175, 0) &amp; " (" &amp; ROUND(Q175, 0) &amp; "-" &amp; ROUND(S175, 0) &amp; ")"</f>
        <v>4 (2-6)</v>
      </c>
      <c r="AC175" s="13" t="str">
        <f t="shared" ref="AC175:AC176" si="529">ROUND(U175, 0) &amp; " (" &amp; ROUND(V175, 0) &amp; "-" &amp; ROUND(W175, 0) &amp; ")"</f>
        <v>165 (98-256)</v>
      </c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hidden="1">
      <c r="A176" s="7" t="s">
        <v>27</v>
      </c>
      <c r="B176" s="16" t="s">
        <v>72</v>
      </c>
      <c r="C176" s="23">
        <v>2040.0</v>
      </c>
      <c r="D176" s="17">
        <f>2051654+2168723</f>
        <v>4220377</v>
      </c>
      <c r="E176" s="10">
        <v>3.11797395E8</v>
      </c>
      <c r="F176" s="19">
        <v>2.01</v>
      </c>
      <c r="G176" s="10">
        <f t="shared" si="1"/>
        <v>6267.12764</v>
      </c>
      <c r="H176" s="19">
        <v>1.41</v>
      </c>
      <c r="I176" s="8">
        <f t="shared" si="2"/>
        <v>4396.34327</v>
      </c>
      <c r="J176" s="19">
        <v>2.67</v>
      </c>
      <c r="K176" s="11">
        <f t="shared" si="3"/>
        <v>8324.990447</v>
      </c>
      <c r="L176" s="11">
        <f t="shared" si="13"/>
        <v>148.4968674</v>
      </c>
      <c r="M176" s="11">
        <f t="shared" si="521"/>
        <v>185542.2602</v>
      </c>
      <c r="N176" s="11">
        <f t="shared" si="522"/>
        <v>351345.9821</v>
      </c>
      <c r="O176" s="19">
        <v>3.83</v>
      </c>
      <c r="P176" s="19"/>
      <c r="Q176" s="19">
        <v>2.27</v>
      </c>
      <c r="R176" s="19"/>
      <c r="S176" s="19">
        <v>5.96</v>
      </c>
      <c r="T176" s="14"/>
      <c r="U176" s="14">
        <f t="shared" si="523"/>
        <v>161.6404391</v>
      </c>
      <c r="V176" s="14">
        <f t="shared" si="524"/>
        <v>95.8025579</v>
      </c>
      <c r="W176" s="14">
        <f t="shared" si="525"/>
        <v>251.5344692</v>
      </c>
      <c r="X176" s="13"/>
      <c r="Y176" s="13"/>
      <c r="Z176" s="13" t="str">
        <f t="shared" si="526"/>
        <v>2 (1-3)</v>
      </c>
      <c r="AA176" s="13" t="str">
        <f t="shared" si="527"/>
        <v>148 (185542-351346)</v>
      </c>
      <c r="AB176" s="13" t="str">
        <f t="shared" si="528"/>
        <v>4 (2-6)</v>
      </c>
      <c r="AC176" s="13" t="str">
        <f t="shared" si="529"/>
        <v>162 (96-252)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hidden="1">
      <c r="A177" s="7" t="s">
        <v>29</v>
      </c>
      <c r="B177" s="16" t="s">
        <v>72</v>
      </c>
      <c r="C177" s="23">
        <v>2050.0</v>
      </c>
      <c r="D177" s="17">
        <f>1903823+2013816</f>
        <v>3917639</v>
      </c>
      <c r="E177" s="10">
        <v>3.20712949E8</v>
      </c>
      <c r="F177" s="19">
        <v>2.01</v>
      </c>
      <c r="G177" s="10">
        <f t="shared" si="1"/>
        <v>6446.330275</v>
      </c>
      <c r="H177" s="19">
        <v>1.41</v>
      </c>
      <c r="I177" s="8">
        <f t="shared" si="2"/>
        <v>4522.052581</v>
      </c>
      <c r="J177" s="19">
        <v>2.67</v>
      </c>
      <c r="K177" s="11">
        <f t="shared" si="3"/>
        <v>8563.035738</v>
      </c>
      <c r="L177" s="11">
        <f t="shared" si="13"/>
        <v>164.5463065</v>
      </c>
      <c r="M177" s="11">
        <f t="shared" si="521"/>
        <v>177157.6955</v>
      </c>
      <c r="N177" s="11">
        <f t="shared" si="522"/>
        <v>335468.8277</v>
      </c>
      <c r="O177" s="19">
        <v>3.83</v>
      </c>
      <c r="P177" s="8">
        <f t="shared" ref="P177:P178" si="530">(O177/100000)*E177</f>
        <v>12283.30595</v>
      </c>
      <c r="Q177" s="19">
        <v>2.27</v>
      </c>
      <c r="R177" s="8">
        <f t="shared" ref="R177:R178" si="531">(Q177/100000)*E177</f>
        <v>7280.183942</v>
      </c>
      <c r="S177" s="19">
        <v>5.96</v>
      </c>
      <c r="T177" s="11">
        <f t="shared" ref="T177:T178" si="532">(S177/100000)*E177</f>
        <v>19114.49176</v>
      </c>
      <c r="U177" s="14">
        <f t="shared" si="523"/>
        <v>150.0455737</v>
      </c>
      <c r="V177" s="14">
        <f t="shared" si="524"/>
        <v>88.9304053</v>
      </c>
      <c r="W177" s="14">
        <f t="shared" si="525"/>
        <v>233.4912844</v>
      </c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>
      <c r="A178" s="7" t="s">
        <v>23</v>
      </c>
      <c r="B178" s="16" t="s">
        <v>73</v>
      </c>
      <c r="C178" s="20">
        <v>2021.0</v>
      </c>
      <c r="D178" s="17">
        <f>78473+82115.5</f>
        <v>160588.5</v>
      </c>
      <c r="E178" s="18">
        <v>7453194.0</v>
      </c>
      <c r="F178" s="19">
        <v>3.95</v>
      </c>
      <c r="G178" s="10">
        <f t="shared" si="1"/>
        <v>294.401163</v>
      </c>
      <c r="H178" s="19">
        <v>2.83</v>
      </c>
      <c r="I178" s="8">
        <f t="shared" si="2"/>
        <v>210.9253902</v>
      </c>
      <c r="J178" s="19">
        <v>5.3</v>
      </c>
      <c r="K178" s="11">
        <f t="shared" si="3"/>
        <v>395.019282</v>
      </c>
      <c r="L178" s="11">
        <f t="shared" si="13"/>
        <v>183.3264294</v>
      </c>
      <c r="M178" s="12">
        <f>(I178/D178)*100000</f>
        <v>131.3452646</v>
      </c>
      <c r="N178" s="11">
        <f>(K178/D178)*100000</f>
        <v>245.9822976</v>
      </c>
      <c r="O178" s="19">
        <v>22.62</v>
      </c>
      <c r="P178" s="8">
        <f t="shared" si="530"/>
        <v>1685.912483</v>
      </c>
      <c r="Q178" s="19">
        <v>9.5</v>
      </c>
      <c r="R178" s="8">
        <f t="shared" si="531"/>
        <v>708.05343</v>
      </c>
      <c r="S178" s="19">
        <v>47.39</v>
      </c>
      <c r="T178" s="11">
        <f t="shared" si="532"/>
        <v>3532.068637</v>
      </c>
      <c r="U178" s="11">
        <f>(P178/D178)*100000</f>
        <v>1049.833882</v>
      </c>
      <c r="V178" s="11">
        <f>(R178/D178)*100000</f>
        <v>440.9116655</v>
      </c>
      <c r="W178" s="11">
        <f>(T178/D178)*100000</f>
        <v>2199.453035</v>
      </c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hidden="1">
      <c r="A179" s="7" t="s">
        <v>25</v>
      </c>
      <c r="B179" s="16" t="s">
        <v>73</v>
      </c>
      <c r="C179" s="23">
        <v>2030.0</v>
      </c>
      <c r="D179" s="17">
        <f>74289+77692</f>
        <v>151981</v>
      </c>
      <c r="E179" s="10">
        <v>8357023.0</v>
      </c>
      <c r="F179" s="19">
        <v>3.95</v>
      </c>
      <c r="G179" s="10">
        <f t="shared" si="1"/>
        <v>330.1024085</v>
      </c>
      <c r="H179" s="19">
        <v>2.83</v>
      </c>
      <c r="I179" s="8">
        <f t="shared" si="2"/>
        <v>236.5037509</v>
      </c>
      <c r="J179" s="19">
        <v>5.3</v>
      </c>
      <c r="K179" s="11">
        <f t="shared" si="3"/>
        <v>442.922219</v>
      </c>
      <c r="L179" s="11">
        <f t="shared" si="13"/>
        <v>217.1997871</v>
      </c>
      <c r="M179" s="11">
        <f t="shared" ref="M179:M181" si="533">(I179*D179)/100000</f>
        <v>359.4407657</v>
      </c>
      <c r="N179" s="11">
        <f t="shared" ref="N179:N181" si="534">(K179*D179)/100000</f>
        <v>673.1576177</v>
      </c>
      <c r="O179" s="19">
        <v>22.62</v>
      </c>
      <c r="P179" s="19"/>
      <c r="Q179" s="19">
        <v>9.5</v>
      </c>
      <c r="R179" s="19"/>
      <c r="S179" s="19">
        <v>47.39</v>
      </c>
      <c r="T179" s="14"/>
      <c r="U179" s="14">
        <f t="shared" ref="U179:U181" si="535">(O179*D179)/100000</f>
        <v>34.3781022</v>
      </c>
      <c r="V179" s="14">
        <f t="shared" ref="V179:V181" si="536">(Q179*D179)/100000</f>
        <v>14.438195</v>
      </c>
      <c r="W179" s="14">
        <f t="shared" ref="W179:W181" si="537">(S179*D179)/100000</f>
        <v>72.0237959</v>
      </c>
      <c r="X179" s="13"/>
      <c r="Y179" s="13"/>
      <c r="Z179" s="13" t="str">
        <f t="shared" ref="Z179:Z180" si="538">ROUND(F179, 0) &amp; " (" &amp; ROUND(H179, 0) &amp; "-" &amp; ROUND(J179, 0) &amp; ")"</f>
        <v>4 (3-5)</v>
      </c>
      <c r="AA179" s="13" t="str">
        <f t="shared" ref="AA179:AA180" si="539">ROUND(L179, 0) &amp; " (" &amp; ROUND(M179, 0) &amp; "-" &amp; ROUND(N179, 0) &amp; ")"</f>
        <v>217 (359-673)</v>
      </c>
      <c r="AB179" s="13" t="str">
        <f t="shared" ref="AB179:AB180" si="540">ROUND(O179, 0) &amp; " (" &amp; ROUND(Q179, 0) &amp; "-" &amp; ROUND(S179, 0) &amp; ")"</f>
        <v>23 (10-47)</v>
      </c>
      <c r="AC179" s="13" t="str">
        <f t="shared" ref="AC179:AC180" si="541">ROUND(U179, 0) &amp; " (" &amp; ROUND(V179, 0) &amp; "-" &amp; ROUND(W179, 0) &amp; ")"</f>
        <v>34 (14-72)</v>
      </c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hidden="1">
      <c r="A180" s="7" t="s">
        <v>27</v>
      </c>
      <c r="B180" s="16" t="s">
        <v>73</v>
      </c>
      <c r="C180" s="23">
        <v>2040.0</v>
      </c>
      <c r="D180" s="17">
        <f>70674+73919</f>
        <v>144593</v>
      </c>
      <c r="E180" s="10">
        <v>9169002.0</v>
      </c>
      <c r="F180" s="19">
        <v>3.95</v>
      </c>
      <c r="G180" s="10">
        <f t="shared" si="1"/>
        <v>362.175579</v>
      </c>
      <c r="H180" s="19">
        <v>2.83</v>
      </c>
      <c r="I180" s="8">
        <f t="shared" si="2"/>
        <v>259.4827566</v>
      </c>
      <c r="J180" s="19">
        <v>5.3</v>
      </c>
      <c r="K180" s="11">
        <f t="shared" si="3"/>
        <v>485.957106</v>
      </c>
      <c r="L180" s="11">
        <f t="shared" si="13"/>
        <v>250.4793309</v>
      </c>
      <c r="M180" s="11">
        <f t="shared" si="533"/>
        <v>375.1939023</v>
      </c>
      <c r="N180" s="11">
        <f t="shared" si="534"/>
        <v>702.6599583</v>
      </c>
      <c r="O180" s="19">
        <v>22.62</v>
      </c>
      <c r="P180" s="19"/>
      <c r="Q180" s="19">
        <v>9.5</v>
      </c>
      <c r="R180" s="19"/>
      <c r="S180" s="19">
        <v>47.39</v>
      </c>
      <c r="T180" s="14"/>
      <c r="U180" s="14">
        <f t="shared" si="535"/>
        <v>32.7069366</v>
      </c>
      <c r="V180" s="14">
        <f t="shared" si="536"/>
        <v>13.736335</v>
      </c>
      <c r="W180" s="14">
        <f t="shared" si="537"/>
        <v>68.5226227</v>
      </c>
      <c r="X180" s="13"/>
      <c r="Y180" s="13"/>
      <c r="Z180" s="13" t="str">
        <f t="shared" si="538"/>
        <v>4 (3-5)</v>
      </c>
      <c r="AA180" s="13" t="str">
        <f t="shared" si="539"/>
        <v>250 (375-703)</v>
      </c>
      <c r="AB180" s="13" t="str">
        <f t="shared" si="540"/>
        <v>23 (10-47)</v>
      </c>
      <c r="AC180" s="13" t="str">
        <f t="shared" si="541"/>
        <v>33 (14-69)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hidden="1">
      <c r="A181" s="7" t="s">
        <v>29</v>
      </c>
      <c r="B181" s="16" t="s">
        <v>73</v>
      </c>
      <c r="C181" s="23">
        <v>2050.0</v>
      </c>
      <c r="D181" s="17">
        <f>65617+68684</f>
        <v>134301</v>
      </c>
      <c r="E181" s="10">
        <v>9757285.0</v>
      </c>
      <c r="F181" s="19">
        <v>3.95</v>
      </c>
      <c r="G181" s="10">
        <f t="shared" si="1"/>
        <v>385.4127575</v>
      </c>
      <c r="H181" s="19">
        <v>2.83</v>
      </c>
      <c r="I181" s="8">
        <f t="shared" si="2"/>
        <v>276.1311655</v>
      </c>
      <c r="J181" s="19">
        <v>5.3</v>
      </c>
      <c r="K181" s="11">
        <f t="shared" si="3"/>
        <v>517.136105</v>
      </c>
      <c r="L181" s="11">
        <f t="shared" si="13"/>
        <v>286.9768338</v>
      </c>
      <c r="M181" s="11">
        <f t="shared" si="533"/>
        <v>370.8469166</v>
      </c>
      <c r="N181" s="11">
        <f t="shared" si="534"/>
        <v>694.5189604</v>
      </c>
      <c r="O181" s="19">
        <v>22.62</v>
      </c>
      <c r="P181" s="8">
        <f t="shared" ref="P181:P182" si="542">(O181/100000)*E181</f>
        <v>2207.097867</v>
      </c>
      <c r="Q181" s="19">
        <v>9.5</v>
      </c>
      <c r="R181" s="8">
        <f t="shared" ref="R181:R182" si="543">(Q181/100000)*E181</f>
        <v>926.942075</v>
      </c>
      <c r="S181" s="19">
        <v>47.39</v>
      </c>
      <c r="T181" s="11">
        <f t="shared" ref="T181:T182" si="544">(S181/100000)*E181</f>
        <v>4623.977362</v>
      </c>
      <c r="U181" s="14">
        <f t="shared" si="535"/>
        <v>30.3788862</v>
      </c>
      <c r="V181" s="14">
        <f t="shared" si="536"/>
        <v>12.758595</v>
      </c>
      <c r="W181" s="14">
        <f t="shared" si="537"/>
        <v>63.6452439</v>
      </c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>
      <c r="A182" s="7" t="s">
        <v>23</v>
      </c>
      <c r="B182" s="16" t="s">
        <v>74</v>
      </c>
      <c r="C182" s="20">
        <v>2021.0</v>
      </c>
      <c r="D182" s="17">
        <f>202686+226415</f>
        <v>429101</v>
      </c>
      <c r="E182" s="18">
        <v>3.4282399E7</v>
      </c>
      <c r="F182" s="19">
        <v>2.53</v>
      </c>
      <c r="G182" s="10">
        <f t="shared" si="1"/>
        <v>867.3446947</v>
      </c>
      <c r="H182" s="19">
        <v>1.83</v>
      </c>
      <c r="I182" s="8">
        <f t="shared" si="2"/>
        <v>627.3679017</v>
      </c>
      <c r="J182" s="19">
        <v>3.26</v>
      </c>
      <c r="K182" s="11">
        <f t="shared" si="3"/>
        <v>1117.606207</v>
      </c>
      <c r="L182" s="11">
        <f t="shared" si="13"/>
        <v>202.1306626</v>
      </c>
      <c r="M182" s="12">
        <f>(I182/D182)*100000</f>
        <v>146.2051829</v>
      </c>
      <c r="N182" s="11">
        <f>(K182/D182)*100000</f>
        <v>260.4529487</v>
      </c>
      <c r="O182" s="19">
        <v>3.01</v>
      </c>
      <c r="P182" s="8">
        <f t="shared" si="542"/>
        <v>1031.90021</v>
      </c>
      <c r="Q182" s="19">
        <v>1.83</v>
      </c>
      <c r="R182" s="8">
        <f t="shared" si="543"/>
        <v>627.3679017</v>
      </c>
      <c r="S182" s="19">
        <v>4.65</v>
      </c>
      <c r="T182" s="11">
        <f t="shared" si="544"/>
        <v>1594.131554</v>
      </c>
      <c r="U182" s="11">
        <f>(P182/D182)*100000</f>
        <v>240.4795631</v>
      </c>
      <c r="V182" s="11">
        <f>(R182/D182)*100000</f>
        <v>146.2051829</v>
      </c>
      <c r="W182" s="11">
        <f>(T182/D182)*100000</f>
        <v>371.5049728</v>
      </c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hidden="1">
      <c r="A183" s="7" t="s">
        <v>25</v>
      </c>
      <c r="B183" s="16" t="s">
        <v>74</v>
      </c>
      <c r="C183" s="23">
        <v>2030.0</v>
      </c>
      <c r="D183" s="17">
        <f>218041+231749</f>
        <v>449790</v>
      </c>
      <c r="E183" s="10">
        <v>3.7961719E7</v>
      </c>
      <c r="F183" s="19">
        <v>2.53</v>
      </c>
      <c r="G183" s="10">
        <f t="shared" si="1"/>
        <v>960.4314907</v>
      </c>
      <c r="H183" s="19">
        <v>1.83</v>
      </c>
      <c r="I183" s="8">
        <f t="shared" si="2"/>
        <v>694.6994577</v>
      </c>
      <c r="J183" s="19">
        <v>3.26</v>
      </c>
      <c r="K183" s="11">
        <f t="shared" si="3"/>
        <v>1237.552039</v>
      </c>
      <c r="L183" s="11">
        <f t="shared" si="13"/>
        <v>213.528867</v>
      </c>
      <c r="M183" s="11">
        <f t="shared" ref="M183:M185" si="545">(I183*D183)/100000</f>
        <v>3124.688691</v>
      </c>
      <c r="N183" s="11">
        <f t="shared" ref="N183:N185" si="546">(K183*D183)/100000</f>
        <v>5566.385318</v>
      </c>
      <c r="O183" s="19">
        <v>3.01</v>
      </c>
      <c r="P183" s="19"/>
      <c r="Q183" s="19">
        <v>1.83</v>
      </c>
      <c r="R183" s="19"/>
      <c r="S183" s="19">
        <v>4.65</v>
      </c>
      <c r="T183" s="14"/>
      <c r="U183" s="14">
        <f t="shared" ref="U183:U185" si="547">(O183*D183)/100000</f>
        <v>13.538679</v>
      </c>
      <c r="V183" s="14">
        <f t="shared" ref="V183:V185" si="548">(Q183*D183)/100000</f>
        <v>8.231157</v>
      </c>
      <c r="W183" s="14">
        <f t="shared" ref="W183:W185" si="549">(S183*D183)/100000</f>
        <v>20.915235</v>
      </c>
      <c r="X183" s="13"/>
      <c r="Y183" s="13"/>
      <c r="Z183" s="13" t="str">
        <f t="shared" ref="Z183:Z184" si="550">ROUND(F183, 0) &amp; " (" &amp; ROUND(H183, 0) &amp; "-" &amp; ROUND(J183, 0) &amp; ")"</f>
        <v>3 (2-3)</v>
      </c>
      <c r="AA183" s="13" t="str">
        <f t="shared" ref="AA183:AA184" si="551">ROUND(L183, 0) &amp; " (" &amp; ROUND(M183, 0) &amp; "-" &amp; ROUND(N183, 0) &amp; ")"</f>
        <v>214 (3125-5566)</v>
      </c>
      <c r="AB183" s="13" t="str">
        <f t="shared" ref="AB183:AB184" si="552">ROUND(O183, 0) &amp; " (" &amp; ROUND(Q183, 0) &amp; "-" &amp; ROUND(S183, 0) &amp; ")"</f>
        <v>3 (2-5)</v>
      </c>
      <c r="AC183" s="13" t="str">
        <f t="shared" ref="AC183:AC184" si="553">ROUND(U183, 0) &amp; " (" &amp; ROUND(V183, 0) &amp; "-" &amp; ROUND(W183, 0) &amp; ")"</f>
        <v>14 (8-21)</v>
      </c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hidden="1">
      <c r="A184" s="7" t="s">
        <v>27</v>
      </c>
      <c r="B184" s="16" t="s">
        <v>74</v>
      </c>
      <c r="C184" s="23">
        <v>2040.0</v>
      </c>
      <c r="D184" s="17">
        <f>226893+241060</f>
        <v>467953</v>
      </c>
      <c r="E184" s="10">
        <v>4.1509644E7</v>
      </c>
      <c r="F184" s="19">
        <v>2.53</v>
      </c>
      <c r="G184" s="10">
        <f t="shared" si="1"/>
        <v>1050.193993</v>
      </c>
      <c r="H184" s="19">
        <v>1.83</v>
      </c>
      <c r="I184" s="8">
        <f t="shared" si="2"/>
        <v>759.6264852</v>
      </c>
      <c r="J184" s="19">
        <v>3.26</v>
      </c>
      <c r="K184" s="11">
        <f t="shared" si="3"/>
        <v>1353.214394</v>
      </c>
      <c r="L184" s="11">
        <f t="shared" si="13"/>
        <v>224.4229641</v>
      </c>
      <c r="M184" s="11">
        <f t="shared" si="545"/>
        <v>3554.694926</v>
      </c>
      <c r="N184" s="11">
        <f t="shared" si="546"/>
        <v>6332.407355</v>
      </c>
      <c r="O184" s="19">
        <v>3.01</v>
      </c>
      <c r="P184" s="19"/>
      <c r="Q184" s="19">
        <v>1.83</v>
      </c>
      <c r="R184" s="19"/>
      <c r="S184" s="19">
        <v>4.65</v>
      </c>
      <c r="T184" s="14"/>
      <c r="U184" s="14">
        <f t="shared" si="547"/>
        <v>14.0853853</v>
      </c>
      <c r="V184" s="14">
        <f t="shared" si="548"/>
        <v>8.5635399</v>
      </c>
      <c r="W184" s="14">
        <f t="shared" si="549"/>
        <v>21.7598145</v>
      </c>
      <c r="X184" s="13"/>
      <c r="Y184" s="13"/>
      <c r="Z184" s="13" t="str">
        <f t="shared" si="550"/>
        <v>3 (2-3)</v>
      </c>
      <c r="AA184" s="13" t="str">
        <f t="shared" si="551"/>
        <v>224 (3555-6332)</v>
      </c>
      <c r="AB184" s="13" t="str">
        <f t="shared" si="552"/>
        <v>3 (2-5)</v>
      </c>
      <c r="AC184" s="13" t="str">
        <f t="shared" si="553"/>
        <v>14 (9-22)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hidden="1">
      <c r="A185" s="7" t="s">
        <v>29</v>
      </c>
      <c r="B185" s="16" t="s">
        <v>74</v>
      </c>
      <c r="C185" s="23">
        <v>2050.0</v>
      </c>
      <c r="D185" s="17">
        <f>216713+230215</f>
        <v>446928</v>
      </c>
      <c r="E185" s="10">
        <v>4.4289772E7</v>
      </c>
      <c r="F185" s="19">
        <v>2.53</v>
      </c>
      <c r="G185" s="10">
        <f t="shared" si="1"/>
        <v>1120.531232</v>
      </c>
      <c r="H185" s="19">
        <v>1.83</v>
      </c>
      <c r="I185" s="8">
        <f t="shared" si="2"/>
        <v>810.5028276</v>
      </c>
      <c r="J185" s="19">
        <v>3.26</v>
      </c>
      <c r="K185" s="11">
        <f t="shared" si="3"/>
        <v>1443.846567</v>
      </c>
      <c r="L185" s="11">
        <f t="shared" si="13"/>
        <v>250.7185121</v>
      </c>
      <c r="M185" s="11">
        <f t="shared" si="545"/>
        <v>3622.364077</v>
      </c>
      <c r="N185" s="11">
        <f t="shared" si="546"/>
        <v>6452.954586</v>
      </c>
      <c r="O185" s="19">
        <v>3.01</v>
      </c>
      <c r="P185" s="8">
        <f t="shared" ref="P185:P186" si="554">(O185/100000)*E185</f>
        <v>1333.122137</v>
      </c>
      <c r="Q185" s="19">
        <v>1.83</v>
      </c>
      <c r="R185" s="8">
        <f t="shared" ref="R185:R186" si="555">(Q185/100000)*E185</f>
        <v>810.5028276</v>
      </c>
      <c r="S185" s="19">
        <v>4.65</v>
      </c>
      <c r="T185" s="11">
        <f t="shared" ref="T185:T186" si="556">(S185/100000)*E185</f>
        <v>2059.474398</v>
      </c>
      <c r="U185" s="14">
        <f t="shared" si="547"/>
        <v>13.4525328</v>
      </c>
      <c r="V185" s="14">
        <f t="shared" si="548"/>
        <v>8.1787824</v>
      </c>
      <c r="W185" s="14">
        <f t="shared" si="549"/>
        <v>20.782152</v>
      </c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>
      <c r="A186" s="7" t="s">
        <v>23</v>
      </c>
      <c r="B186" s="16" t="s">
        <v>75</v>
      </c>
      <c r="C186" s="20">
        <v>2021.0</v>
      </c>
      <c r="D186" s="17">
        <f>2913.5+3196</f>
        <v>6109.5</v>
      </c>
      <c r="E186" s="18">
        <v>516154.0</v>
      </c>
      <c r="F186" s="19">
        <v>1.63</v>
      </c>
      <c r="G186" s="10">
        <f t="shared" si="1"/>
        <v>8.4133102</v>
      </c>
      <c r="H186" s="19">
        <v>1.11</v>
      </c>
      <c r="I186" s="8">
        <f t="shared" si="2"/>
        <v>5.7293094</v>
      </c>
      <c r="J186" s="19">
        <v>2.22</v>
      </c>
      <c r="K186" s="11">
        <f t="shared" si="3"/>
        <v>11.4586188</v>
      </c>
      <c r="L186" s="11">
        <f t="shared" si="13"/>
        <v>137.7086537</v>
      </c>
      <c r="M186" s="12">
        <f>(I186/D186)*100000</f>
        <v>93.77705868</v>
      </c>
      <c r="N186" s="11">
        <f>(K186/D186)*100000</f>
        <v>187.5541174</v>
      </c>
      <c r="O186" s="19">
        <v>4.9</v>
      </c>
      <c r="P186" s="8">
        <f t="shared" si="554"/>
        <v>25.291546</v>
      </c>
      <c r="Q186" s="19">
        <v>3.17</v>
      </c>
      <c r="R186" s="8">
        <f t="shared" si="555"/>
        <v>16.3620818</v>
      </c>
      <c r="S186" s="19">
        <v>7.32</v>
      </c>
      <c r="T186" s="11">
        <f t="shared" si="556"/>
        <v>37.7824728</v>
      </c>
      <c r="U186" s="11">
        <f>(P186/D186)*100000</f>
        <v>413.9707996</v>
      </c>
      <c r="V186" s="11">
        <f>(R186/D186)*100000</f>
        <v>267.8137622</v>
      </c>
      <c r="W186" s="11">
        <f>(T186/D186)*100000</f>
        <v>618.4216843</v>
      </c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hidden="1">
      <c r="A187" s="7" t="s">
        <v>25</v>
      </c>
      <c r="B187" s="16" t="s">
        <v>75</v>
      </c>
      <c r="C187" s="23">
        <v>2030.0</v>
      </c>
      <c r="D187" s="17">
        <f>2341+2451</f>
        <v>4792</v>
      </c>
      <c r="E187" s="10">
        <v>539667.0</v>
      </c>
      <c r="F187" s="19">
        <v>1.63</v>
      </c>
      <c r="G187" s="10">
        <f t="shared" si="1"/>
        <v>8.7965721</v>
      </c>
      <c r="H187" s="19">
        <v>1.11</v>
      </c>
      <c r="I187" s="8">
        <f t="shared" si="2"/>
        <v>5.9903037</v>
      </c>
      <c r="J187" s="19">
        <v>2.22</v>
      </c>
      <c r="K187" s="11">
        <f t="shared" si="3"/>
        <v>11.9806074</v>
      </c>
      <c r="L187" s="11">
        <f t="shared" si="13"/>
        <v>183.5678652</v>
      </c>
      <c r="M187" s="11">
        <f t="shared" ref="M187:M189" si="557">(I187*D187)/100000</f>
        <v>0.2870553533</v>
      </c>
      <c r="N187" s="11">
        <f t="shared" ref="N187:N189" si="558">(K187*D187)/100000</f>
        <v>0.5741107066</v>
      </c>
      <c r="O187" s="19">
        <v>4.9</v>
      </c>
      <c r="P187" s="19"/>
      <c r="Q187" s="19">
        <v>3.17</v>
      </c>
      <c r="R187" s="19"/>
      <c r="S187" s="19">
        <v>7.32</v>
      </c>
      <c r="T187" s="14"/>
      <c r="U187" s="14">
        <f t="shared" ref="U187:U189" si="559">(O187*D187)/100000</f>
        <v>0.234808</v>
      </c>
      <c r="V187" s="14">
        <f t="shared" ref="V187:V189" si="560">(Q187*D187)/100000</f>
        <v>0.1519064</v>
      </c>
      <c r="W187" s="14">
        <f t="shared" ref="W187:W189" si="561">(S187*D187)/100000</f>
        <v>0.3507744</v>
      </c>
      <c r="X187" s="13"/>
      <c r="Y187" s="13"/>
      <c r="Z187" s="13" t="str">
        <f t="shared" ref="Z187:Z188" si="562">ROUND(F187, 0) &amp; " (" &amp; ROUND(H187, 0) &amp; "-" &amp; ROUND(J187, 0) &amp; ")"</f>
        <v>2 (1-2)</v>
      </c>
      <c r="AA187" s="13" t="str">
        <f t="shared" ref="AA187:AA188" si="563">ROUND(L187, 0) &amp; " (" &amp; ROUND(M187, 0) &amp; "-" &amp; ROUND(N187, 0) &amp; ")"</f>
        <v>184 (0-1)</v>
      </c>
      <c r="AB187" s="13" t="str">
        <f t="shared" ref="AB187:AB188" si="564">ROUND(O187, 0) &amp; " (" &amp; ROUND(Q187, 0) &amp; "-" &amp; ROUND(S187, 0) &amp; ")"</f>
        <v>5 (3-7)</v>
      </c>
      <c r="AC187" s="13" t="str">
        <f t="shared" ref="AC187:AC188" si="565">ROUND(U187, 0) &amp; " (" &amp; ROUND(V187, 0) &amp; "-" &amp; ROUND(W187, 0) &amp; ")"</f>
        <v>0 (0-0)</v>
      </c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hidden="1">
      <c r="A188" s="7" t="s">
        <v>27</v>
      </c>
      <c r="B188" s="16" t="s">
        <v>75</v>
      </c>
      <c r="C188" s="23">
        <v>2040.0</v>
      </c>
      <c r="D188" s="17">
        <f>2468+2592</f>
        <v>5060</v>
      </c>
      <c r="E188" s="10">
        <v>564798.0</v>
      </c>
      <c r="F188" s="19">
        <v>1.63</v>
      </c>
      <c r="G188" s="10">
        <f t="shared" si="1"/>
        <v>9.2062074</v>
      </c>
      <c r="H188" s="19">
        <v>1.11</v>
      </c>
      <c r="I188" s="8">
        <f t="shared" si="2"/>
        <v>6.2692578</v>
      </c>
      <c r="J188" s="19">
        <v>2.22</v>
      </c>
      <c r="K188" s="11">
        <f t="shared" si="3"/>
        <v>12.5385156</v>
      </c>
      <c r="L188" s="11">
        <f t="shared" si="13"/>
        <v>181.9408577</v>
      </c>
      <c r="M188" s="11">
        <f t="shared" si="557"/>
        <v>0.3172244447</v>
      </c>
      <c r="N188" s="11">
        <f t="shared" si="558"/>
        <v>0.6344488894</v>
      </c>
      <c r="O188" s="19">
        <v>4.9</v>
      </c>
      <c r="P188" s="19"/>
      <c r="Q188" s="19">
        <v>3.17</v>
      </c>
      <c r="R188" s="19"/>
      <c r="S188" s="19">
        <v>7.32</v>
      </c>
      <c r="T188" s="14"/>
      <c r="U188" s="14">
        <f t="shared" si="559"/>
        <v>0.24794</v>
      </c>
      <c r="V188" s="14">
        <f t="shared" si="560"/>
        <v>0.160402</v>
      </c>
      <c r="W188" s="14">
        <f t="shared" si="561"/>
        <v>0.370392</v>
      </c>
      <c r="X188" s="13"/>
      <c r="Y188" s="13"/>
      <c r="Z188" s="13" t="str">
        <f t="shared" si="562"/>
        <v>2 (1-2)</v>
      </c>
      <c r="AA188" s="13" t="str">
        <f t="shared" si="563"/>
        <v>182 (0-1)</v>
      </c>
      <c r="AB188" s="13" t="str">
        <f t="shared" si="564"/>
        <v>5 (3-7)</v>
      </c>
      <c r="AC188" s="13" t="str">
        <f t="shared" si="565"/>
        <v>0 (0-0)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hidden="1">
      <c r="A189" s="7" t="s">
        <v>29</v>
      </c>
      <c r="B189" s="16" t="s">
        <v>75</v>
      </c>
      <c r="C189" s="23">
        <v>2050.0</v>
      </c>
      <c r="D189" s="17">
        <f>2584+2715</f>
        <v>5299</v>
      </c>
      <c r="E189" s="10">
        <v>589962.0</v>
      </c>
      <c r="F189" s="19">
        <v>1.63</v>
      </c>
      <c r="G189" s="10">
        <f t="shared" si="1"/>
        <v>9.6163806</v>
      </c>
      <c r="H189" s="19">
        <v>1.11</v>
      </c>
      <c r="I189" s="8">
        <f t="shared" si="2"/>
        <v>6.5485782</v>
      </c>
      <c r="J189" s="19">
        <v>2.22</v>
      </c>
      <c r="K189" s="11">
        <f t="shared" si="3"/>
        <v>13.0971564</v>
      </c>
      <c r="L189" s="11">
        <f t="shared" si="13"/>
        <v>181.475384</v>
      </c>
      <c r="M189" s="11">
        <f t="shared" si="557"/>
        <v>0.3470091588</v>
      </c>
      <c r="N189" s="11">
        <f t="shared" si="558"/>
        <v>0.6940183176</v>
      </c>
      <c r="O189" s="19">
        <v>4.9</v>
      </c>
      <c r="P189" s="8">
        <f t="shared" ref="P189:P190" si="566">(O189/100000)*E189</f>
        <v>28.908138</v>
      </c>
      <c r="Q189" s="19">
        <v>3.17</v>
      </c>
      <c r="R189" s="8">
        <f t="shared" ref="R189:R190" si="567">(Q189/100000)*E189</f>
        <v>18.7017954</v>
      </c>
      <c r="S189" s="19">
        <v>7.32</v>
      </c>
      <c r="T189" s="11">
        <f t="shared" ref="T189:T190" si="568">(S189/100000)*E189</f>
        <v>43.1852184</v>
      </c>
      <c r="U189" s="14">
        <f t="shared" si="559"/>
        <v>0.259651</v>
      </c>
      <c r="V189" s="14">
        <f t="shared" si="560"/>
        <v>0.1679783</v>
      </c>
      <c r="W189" s="14">
        <f t="shared" si="561"/>
        <v>0.3878868</v>
      </c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>
      <c r="A190" s="7" t="s">
        <v>23</v>
      </c>
      <c r="B190" s="16" t="s">
        <v>76</v>
      </c>
      <c r="C190" s="20">
        <v>2021.0</v>
      </c>
      <c r="D190" s="17">
        <f>6432+6026</f>
        <v>12458</v>
      </c>
      <c r="E190" s="18">
        <v>1266334.0</v>
      </c>
      <c r="F190" s="19">
        <v>1.0</v>
      </c>
      <c r="G190" s="10">
        <f t="shared" si="1"/>
        <v>12.66334</v>
      </c>
      <c r="H190" s="19">
        <v>0.63</v>
      </c>
      <c r="I190" s="8">
        <f t="shared" si="2"/>
        <v>7.9779042</v>
      </c>
      <c r="J190" s="19">
        <v>1.5</v>
      </c>
      <c r="K190" s="11">
        <f t="shared" si="3"/>
        <v>18.99501</v>
      </c>
      <c r="L190" s="11">
        <f t="shared" si="13"/>
        <v>101.6482581</v>
      </c>
      <c r="M190" s="12">
        <f>(I190/D190)*100000</f>
        <v>64.03840263</v>
      </c>
      <c r="N190" s="11">
        <f>(K190/D190)*100000</f>
        <v>152.4723872</v>
      </c>
      <c r="O190" s="19">
        <v>2.65</v>
      </c>
      <c r="P190" s="8">
        <f t="shared" si="566"/>
        <v>33.557851</v>
      </c>
      <c r="Q190" s="19">
        <v>1.71</v>
      </c>
      <c r="R190" s="8">
        <f t="shared" si="567"/>
        <v>21.6543114</v>
      </c>
      <c r="S190" s="19">
        <v>3.95</v>
      </c>
      <c r="T190" s="11">
        <f t="shared" si="568"/>
        <v>50.020193</v>
      </c>
      <c r="U190" s="11">
        <f>(P190/D190)*100000</f>
        <v>269.3678841</v>
      </c>
      <c r="V190" s="11">
        <f>(R190/D190)*100000</f>
        <v>173.8185214</v>
      </c>
      <c r="W190" s="11">
        <f>(T190/D190)*100000</f>
        <v>401.5106197</v>
      </c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hidden="1">
      <c r="A191" s="7" t="s">
        <v>25</v>
      </c>
      <c r="B191" s="16" t="s">
        <v>76</v>
      </c>
      <c r="C191" s="23">
        <v>2030.0</v>
      </c>
      <c r="D191" s="17">
        <f>5236+5410</f>
        <v>10646</v>
      </c>
      <c r="E191" s="10">
        <v>1242561.0</v>
      </c>
      <c r="F191" s="19">
        <v>1.0</v>
      </c>
      <c r="G191" s="10">
        <f t="shared" si="1"/>
        <v>12.42561</v>
      </c>
      <c r="H191" s="19">
        <v>0.63</v>
      </c>
      <c r="I191" s="8">
        <f t="shared" si="2"/>
        <v>7.8281343</v>
      </c>
      <c r="J191" s="19">
        <v>1.5</v>
      </c>
      <c r="K191" s="11">
        <f t="shared" si="3"/>
        <v>18.638415</v>
      </c>
      <c r="L191" s="11">
        <f t="shared" si="13"/>
        <v>116.7162314</v>
      </c>
      <c r="M191" s="11">
        <f t="shared" ref="M191:M193" si="569">(I191*D191)/100000</f>
        <v>0.8333831776</v>
      </c>
      <c r="N191" s="11">
        <f t="shared" ref="N191:N193" si="570">(K191*D191)/100000</f>
        <v>1.984245661</v>
      </c>
      <c r="O191" s="19">
        <v>2.65</v>
      </c>
      <c r="P191" s="19"/>
      <c r="Q191" s="19">
        <v>1.71</v>
      </c>
      <c r="R191" s="19"/>
      <c r="S191" s="19">
        <v>3.95</v>
      </c>
      <c r="T191" s="14"/>
      <c r="U191" s="14">
        <f t="shared" ref="U191:U193" si="571">(O191*D191)/100000</f>
        <v>0.282119</v>
      </c>
      <c r="V191" s="14">
        <f t="shared" ref="V191:V193" si="572">(Q191*D191)/100000</f>
        <v>0.1820466</v>
      </c>
      <c r="W191" s="14">
        <f t="shared" ref="W191:W193" si="573">(S191*D191)/100000</f>
        <v>0.420517</v>
      </c>
      <c r="X191" s="13"/>
      <c r="Y191" s="13"/>
      <c r="Z191" s="13" t="str">
        <f t="shared" ref="Z191:Z192" si="574">ROUND(F191, 0) &amp; " (" &amp; ROUND(H191, 0) &amp; "-" &amp; ROUND(J191, 0) &amp; ")"</f>
        <v>1 (1-2)</v>
      </c>
      <c r="AA191" s="13" t="str">
        <f t="shared" ref="AA191:AA192" si="575">ROUND(L191, 0) &amp; " (" &amp; ROUND(M191, 0) &amp; "-" &amp; ROUND(N191, 0) &amp; ")"</f>
        <v>117 (1-2)</v>
      </c>
      <c r="AB191" s="13" t="str">
        <f t="shared" ref="AB191:AB192" si="576">ROUND(O191, 0) &amp; " (" &amp; ROUND(Q191, 0) &amp; "-" &amp; ROUND(S191, 0) &amp; ")"</f>
        <v>3 (2-4)</v>
      </c>
      <c r="AC191" s="13" t="str">
        <f t="shared" ref="AC191:AC192" si="577">ROUND(U191, 0) &amp; " (" &amp; ROUND(V191, 0) &amp; "-" &amp; ROUND(W191, 0) &amp; ")"</f>
        <v>0 (0-0)</v>
      </c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hidden="1">
      <c r="A192" s="7" t="s">
        <v>27</v>
      </c>
      <c r="B192" s="16" t="s">
        <v>76</v>
      </c>
      <c r="C192" s="23">
        <v>2040.0</v>
      </c>
      <c r="D192" s="17">
        <f>4555+4710</f>
        <v>9265</v>
      </c>
      <c r="E192" s="10">
        <v>1193145.0</v>
      </c>
      <c r="F192" s="19">
        <v>1.0</v>
      </c>
      <c r="G192" s="10">
        <f t="shared" si="1"/>
        <v>11.93145</v>
      </c>
      <c r="H192" s="19">
        <v>0.63</v>
      </c>
      <c r="I192" s="8">
        <f t="shared" si="2"/>
        <v>7.5168135</v>
      </c>
      <c r="J192" s="19">
        <v>1.5</v>
      </c>
      <c r="K192" s="11">
        <f t="shared" si="3"/>
        <v>17.897175</v>
      </c>
      <c r="L192" s="11">
        <f t="shared" si="13"/>
        <v>128.7798165</v>
      </c>
      <c r="M192" s="11">
        <f t="shared" si="569"/>
        <v>0.6964327708</v>
      </c>
      <c r="N192" s="11">
        <f t="shared" si="570"/>
        <v>1.658173264</v>
      </c>
      <c r="O192" s="19">
        <v>2.65</v>
      </c>
      <c r="P192" s="19"/>
      <c r="Q192" s="19">
        <v>1.71</v>
      </c>
      <c r="R192" s="19"/>
      <c r="S192" s="19">
        <v>3.95</v>
      </c>
      <c r="T192" s="14"/>
      <c r="U192" s="14">
        <f t="shared" si="571"/>
        <v>0.2455225</v>
      </c>
      <c r="V192" s="14">
        <f t="shared" si="572"/>
        <v>0.1584315</v>
      </c>
      <c r="W192" s="14">
        <f t="shared" si="573"/>
        <v>0.3659675</v>
      </c>
      <c r="X192" s="13"/>
      <c r="Y192" s="13"/>
      <c r="Z192" s="13" t="str">
        <f t="shared" si="574"/>
        <v>1 (1-2)</v>
      </c>
      <c r="AA192" s="13" t="str">
        <f t="shared" si="575"/>
        <v>129 (1-2)</v>
      </c>
      <c r="AB192" s="13" t="str">
        <f t="shared" si="576"/>
        <v>3 (2-4)</v>
      </c>
      <c r="AC192" s="13" t="str">
        <f t="shared" si="577"/>
        <v>0 (0-0)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hidden="1">
      <c r="A193" s="7" t="s">
        <v>29</v>
      </c>
      <c r="B193" s="16" t="s">
        <v>76</v>
      </c>
      <c r="C193" s="23">
        <v>2050.0</v>
      </c>
      <c r="D193" s="17">
        <f>3610+3734</f>
        <v>7344</v>
      </c>
      <c r="E193" s="10">
        <v>1112371.0</v>
      </c>
      <c r="F193" s="19">
        <v>1.0</v>
      </c>
      <c r="G193" s="10">
        <f t="shared" si="1"/>
        <v>11.12371</v>
      </c>
      <c r="H193" s="19">
        <v>0.63</v>
      </c>
      <c r="I193" s="8">
        <f t="shared" si="2"/>
        <v>7.0079373</v>
      </c>
      <c r="J193" s="19">
        <v>1.5</v>
      </c>
      <c r="K193" s="11">
        <f t="shared" si="3"/>
        <v>16.685565</v>
      </c>
      <c r="L193" s="11">
        <f t="shared" si="13"/>
        <v>151.4666394</v>
      </c>
      <c r="M193" s="11">
        <f t="shared" si="569"/>
        <v>0.5146629153</v>
      </c>
      <c r="N193" s="11">
        <f t="shared" si="570"/>
        <v>1.225387894</v>
      </c>
      <c r="O193" s="19">
        <v>2.65</v>
      </c>
      <c r="P193" s="8">
        <f t="shared" ref="P193:P194" si="578">(O193/100000)*E193</f>
        <v>29.4778315</v>
      </c>
      <c r="Q193" s="19">
        <v>1.71</v>
      </c>
      <c r="R193" s="8">
        <f t="shared" ref="R193:R194" si="579">(Q193/100000)*E193</f>
        <v>19.0215441</v>
      </c>
      <c r="S193" s="19">
        <v>3.95</v>
      </c>
      <c r="T193" s="11">
        <f t="shared" ref="T193:T194" si="580">(S193/100000)*E193</f>
        <v>43.9386545</v>
      </c>
      <c r="U193" s="14">
        <f t="shared" si="571"/>
        <v>0.194616</v>
      </c>
      <c r="V193" s="14">
        <f t="shared" si="572"/>
        <v>0.1255824</v>
      </c>
      <c r="W193" s="14">
        <f t="shared" si="573"/>
        <v>0.290088</v>
      </c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>
      <c r="A194" s="7" t="s">
        <v>23</v>
      </c>
      <c r="B194" s="16" t="s">
        <v>77</v>
      </c>
      <c r="C194" s="20">
        <v>2021.0</v>
      </c>
      <c r="D194" s="17">
        <f>434001+460049</f>
        <v>894050</v>
      </c>
      <c r="E194" s="18">
        <v>5.3387102E7</v>
      </c>
      <c r="F194" s="19">
        <v>3.05</v>
      </c>
      <c r="G194" s="10">
        <f t="shared" si="1"/>
        <v>1628.306611</v>
      </c>
      <c r="H194" s="19">
        <v>2.14</v>
      </c>
      <c r="I194" s="8">
        <f t="shared" si="2"/>
        <v>1142.483983</v>
      </c>
      <c r="J194" s="19">
        <v>4.03</v>
      </c>
      <c r="K194" s="11">
        <f t="shared" si="3"/>
        <v>2151.500211</v>
      </c>
      <c r="L194" s="11">
        <f t="shared" si="13"/>
        <v>182.1270187</v>
      </c>
      <c r="M194" s="12">
        <f>(I194/D194)*100000</f>
        <v>127.787482</v>
      </c>
      <c r="N194" s="11">
        <f>(K194/D194)*100000</f>
        <v>240.6465198</v>
      </c>
      <c r="O194" s="19">
        <v>10.88</v>
      </c>
      <c r="P194" s="8">
        <f t="shared" si="578"/>
        <v>5808.516698</v>
      </c>
      <c r="Q194" s="19">
        <v>5.59</v>
      </c>
      <c r="R194" s="8">
        <f t="shared" si="579"/>
        <v>2984.339002</v>
      </c>
      <c r="S194" s="19">
        <v>22.09</v>
      </c>
      <c r="T194" s="11">
        <f t="shared" si="580"/>
        <v>11793.21083</v>
      </c>
      <c r="U194" s="11">
        <f>(P194/D194)*100000</f>
        <v>649.6858898</v>
      </c>
      <c r="V194" s="11">
        <f>(R194/D194)*100000</f>
        <v>333.8000114</v>
      </c>
      <c r="W194" s="11">
        <f>(T194/D194)*100000</f>
        <v>1319.077326</v>
      </c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hidden="1">
      <c r="A195" s="7" t="s">
        <v>25</v>
      </c>
      <c r="B195" s="16" t="s">
        <v>77</v>
      </c>
      <c r="C195" s="23">
        <v>2030.0</v>
      </c>
      <c r="D195" s="17">
        <f>403697+426546</f>
        <v>830243</v>
      </c>
      <c r="E195" s="10">
        <v>5.6351031E7</v>
      </c>
      <c r="F195" s="19">
        <v>3.05</v>
      </c>
      <c r="G195" s="10">
        <f t="shared" si="1"/>
        <v>1718.706446</v>
      </c>
      <c r="H195" s="19">
        <v>2.14</v>
      </c>
      <c r="I195" s="8">
        <f t="shared" si="2"/>
        <v>1205.912063</v>
      </c>
      <c r="J195" s="19">
        <v>4.03</v>
      </c>
      <c r="K195" s="11">
        <f t="shared" si="3"/>
        <v>2270.946549</v>
      </c>
      <c r="L195" s="11">
        <f t="shared" si="13"/>
        <v>207.0124585</v>
      </c>
      <c r="M195" s="11">
        <f t="shared" ref="M195:M197" si="581">(I195*D195)/100000</f>
        <v>10012.00049</v>
      </c>
      <c r="N195" s="11">
        <f t="shared" ref="N195:N197" si="582">(K195*D195)/100000</f>
        <v>18854.37476</v>
      </c>
      <c r="O195" s="19">
        <v>10.88</v>
      </c>
      <c r="P195" s="19"/>
      <c r="Q195" s="19">
        <v>5.59</v>
      </c>
      <c r="R195" s="19"/>
      <c r="S195" s="19">
        <v>22.09</v>
      </c>
      <c r="T195" s="14"/>
      <c r="U195" s="14">
        <f t="shared" ref="U195:U197" si="583">(O195*D195)/100000</f>
        <v>90.3304384</v>
      </c>
      <c r="V195" s="14">
        <f t="shared" ref="V195:V197" si="584">(Q195*D195)/100000</f>
        <v>46.4105837</v>
      </c>
      <c r="W195" s="14">
        <f t="shared" ref="W195:W197" si="585">(S195*D195)/100000</f>
        <v>183.4006787</v>
      </c>
      <c r="X195" s="13"/>
      <c r="Y195" s="13"/>
      <c r="Z195" s="13" t="str">
        <f t="shared" ref="Z195:Z196" si="586">ROUND(F195, 0) &amp; " (" &amp; ROUND(H195, 0) &amp; "-" &amp; ROUND(J195, 0) &amp; ")"</f>
        <v>3 (2-4)</v>
      </c>
      <c r="AA195" s="13" t="str">
        <f t="shared" ref="AA195:AA196" si="587">ROUND(L195, 0) &amp; " (" &amp; ROUND(M195, 0) &amp; "-" &amp; ROUND(N195, 0) &amp; ")"</f>
        <v>207 (10012-18854)</v>
      </c>
      <c r="AB195" s="13" t="str">
        <f t="shared" ref="AB195:AB196" si="588">ROUND(O195, 0) &amp; " (" &amp; ROUND(Q195, 0) &amp; "-" &amp; ROUND(S195, 0) &amp; ")"</f>
        <v>11 (6-22)</v>
      </c>
      <c r="AC195" s="13" t="str">
        <f t="shared" ref="AC195:AC196" si="589">ROUND(U195, 0) &amp; " (" &amp; ROUND(V195, 0) &amp; "-" &amp; ROUND(W195, 0) &amp; ")"</f>
        <v>90 (46-183)</v>
      </c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hidden="1">
      <c r="A196" s="7" t="s">
        <v>27</v>
      </c>
      <c r="B196" s="16" t="s">
        <v>77</v>
      </c>
      <c r="C196" s="23">
        <v>2040.0</v>
      </c>
      <c r="D196" s="17">
        <f>376481+397487</f>
        <v>773968</v>
      </c>
      <c r="E196" s="10">
        <v>5.8169858E7</v>
      </c>
      <c r="F196" s="19">
        <v>3.05</v>
      </c>
      <c r="G196" s="10">
        <f t="shared" si="1"/>
        <v>1774.180669</v>
      </c>
      <c r="H196" s="19">
        <v>2.14</v>
      </c>
      <c r="I196" s="8">
        <f t="shared" si="2"/>
        <v>1244.834961</v>
      </c>
      <c r="J196" s="19">
        <v>4.03</v>
      </c>
      <c r="K196" s="11">
        <f t="shared" si="3"/>
        <v>2344.245277</v>
      </c>
      <c r="L196" s="11">
        <f t="shared" si="13"/>
        <v>229.2317859</v>
      </c>
      <c r="M196" s="11">
        <f t="shared" si="581"/>
        <v>9634.624253</v>
      </c>
      <c r="N196" s="11">
        <f t="shared" si="582"/>
        <v>18143.70829</v>
      </c>
      <c r="O196" s="19">
        <v>10.88</v>
      </c>
      <c r="P196" s="19"/>
      <c r="Q196" s="19">
        <v>5.59</v>
      </c>
      <c r="R196" s="19"/>
      <c r="S196" s="19">
        <v>22.09</v>
      </c>
      <c r="T196" s="14"/>
      <c r="U196" s="14">
        <f t="shared" si="583"/>
        <v>84.2077184</v>
      </c>
      <c r="V196" s="14">
        <f t="shared" si="584"/>
        <v>43.2648112</v>
      </c>
      <c r="W196" s="14">
        <f t="shared" si="585"/>
        <v>170.9695312</v>
      </c>
      <c r="X196" s="13"/>
      <c r="Y196" s="13"/>
      <c r="Z196" s="13" t="str">
        <f t="shared" si="586"/>
        <v>3 (2-4)</v>
      </c>
      <c r="AA196" s="13" t="str">
        <f t="shared" si="587"/>
        <v>229 (9635-18144)</v>
      </c>
      <c r="AB196" s="13" t="str">
        <f t="shared" si="588"/>
        <v>11 (6-22)</v>
      </c>
      <c r="AC196" s="13" t="str">
        <f t="shared" si="589"/>
        <v>84 (43-171)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hidden="1">
      <c r="A197" s="7" t="s">
        <v>29</v>
      </c>
      <c r="B197" s="16" t="s">
        <v>77</v>
      </c>
      <c r="C197" s="23">
        <v>2050.0</v>
      </c>
      <c r="D197" s="17">
        <f>351761+371485</f>
        <v>723246</v>
      </c>
      <c r="E197" s="10">
        <v>5.8623232E7</v>
      </c>
      <c r="F197" s="19">
        <v>3.05</v>
      </c>
      <c r="G197" s="10">
        <f t="shared" si="1"/>
        <v>1788.008576</v>
      </c>
      <c r="H197" s="19">
        <v>2.14</v>
      </c>
      <c r="I197" s="8">
        <f t="shared" si="2"/>
        <v>1254.537165</v>
      </c>
      <c r="J197" s="19">
        <v>4.03</v>
      </c>
      <c r="K197" s="11">
        <f t="shared" si="3"/>
        <v>2362.51625</v>
      </c>
      <c r="L197" s="11">
        <f t="shared" si="13"/>
        <v>247.2199744</v>
      </c>
      <c r="M197" s="11">
        <f t="shared" si="581"/>
        <v>9073.389863</v>
      </c>
      <c r="N197" s="11">
        <f t="shared" si="582"/>
        <v>17086.80427</v>
      </c>
      <c r="O197" s="19">
        <v>10.88</v>
      </c>
      <c r="P197" s="8">
        <f t="shared" ref="P197:P198" si="590">(O197/100000)*E197</f>
        <v>6378.207642</v>
      </c>
      <c r="Q197" s="19">
        <v>5.59</v>
      </c>
      <c r="R197" s="8">
        <f t="shared" ref="R197:R198" si="591">(Q197/100000)*E197</f>
        <v>3277.038669</v>
      </c>
      <c r="S197" s="19">
        <v>22.09</v>
      </c>
      <c r="T197" s="11">
        <f t="shared" ref="T197:T198" si="592">(S197/100000)*E197</f>
        <v>12949.87195</v>
      </c>
      <c r="U197" s="14">
        <f t="shared" si="583"/>
        <v>78.6891648</v>
      </c>
      <c r="V197" s="14">
        <f t="shared" si="584"/>
        <v>40.4294514</v>
      </c>
      <c r="W197" s="14">
        <f t="shared" si="585"/>
        <v>159.7650414</v>
      </c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>
      <c r="A198" s="7" t="s">
        <v>23</v>
      </c>
      <c r="B198" s="16" t="s">
        <v>78</v>
      </c>
      <c r="C198" s="20">
        <v>2021.0</v>
      </c>
      <c r="D198" s="17">
        <f>881324.5+947280</f>
        <v>1828604.5</v>
      </c>
      <c r="E198" s="18">
        <v>1.1310095E8</v>
      </c>
      <c r="F198" s="19">
        <v>2.59</v>
      </c>
      <c r="G198" s="10">
        <f t="shared" si="1"/>
        <v>2929.314605</v>
      </c>
      <c r="H198" s="19">
        <v>1.91</v>
      </c>
      <c r="I198" s="8">
        <f t="shared" si="2"/>
        <v>2160.228145</v>
      </c>
      <c r="J198" s="19">
        <v>3.35</v>
      </c>
      <c r="K198" s="11">
        <f t="shared" si="3"/>
        <v>3788.881825</v>
      </c>
      <c r="L198" s="11">
        <f t="shared" si="13"/>
        <v>160.1939952</v>
      </c>
      <c r="M198" s="12">
        <f>(I198/D198)*100000</f>
        <v>118.1353401</v>
      </c>
      <c r="N198" s="11">
        <f>(K198/D198)*100000</f>
        <v>207.2007274</v>
      </c>
      <c r="O198" s="19">
        <v>6.2</v>
      </c>
      <c r="P198" s="8">
        <f t="shared" si="590"/>
        <v>7012.2589</v>
      </c>
      <c r="Q198" s="19">
        <v>4.41</v>
      </c>
      <c r="R198" s="8">
        <f t="shared" si="591"/>
        <v>4987.751895</v>
      </c>
      <c r="S198" s="19">
        <v>8.53</v>
      </c>
      <c r="T198" s="11">
        <f t="shared" si="592"/>
        <v>9647.511035</v>
      </c>
      <c r="U198" s="11">
        <f>(P198/D198)*100000</f>
        <v>383.4759731</v>
      </c>
      <c r="V198" s="11">
        <f>(R198/D198)*100000</f>
        <v>272.7627486</v>
      </c>
      <c r="W198" s="11">
        <f>(T198/D198)*100000</f>
        <v>527.5887178</v>
      </c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hidden="1">
      <c r="A199" s="7" t="s">
        <v>25</v>
      </c>
      <c r="B199" s="16" t="s">
        <v>78</v>
      </c>
      <c r="C199" s="23">
        <v>2030.0</v>
      </c>
      <c r="D199" s="17">
        <f>891055+955343</f>
        <v>1846398</v>
      </c>
      <c r="E199" s="10">
        <v>1.21408895E8</v>
      </c>
      <c r="F199" s="19">
        <v>2.59</v>
      </c>
      <c r="G199" s="10">
        <f t="shared" si="1"/>
        <v>3144.490381</v>
      </c>
      <c r="H199" s="19">
        <v>1.91</v>
      </c>
      <c r="I199" s="8">
        <f t="shared" si="2"/>
        <v>2318.909895</v>
      </c>
      <c r="J199" s="19">
        <v>3.35</v>
      </c>
      <c r="K199" s="11">
        <f t="shared" si="3"/>
        <v>4067.197983</v>
      </c>
      <c r="L199" s="11">
        <f t="shared" si="13"/>
        <v>170.3040396</v>
      </c>
      <c r="M199" s="11">
        <f t="shared" ref="M199:M201" si="593">(I199*D199)/100000</f>
        <v>42816.30591</v>
      </c>
      <c r="N199" s="11">
        <f t="shared" ref="N199:N201" si="594">(K199*D199)/100000</f>
        <v>75096.6622</v>
      </c>
      <c r="O199" s="19">
        <v>6.2</v>
      </c>
      <c r="P199" s="19"/>
      <c r="Q199" s="19">
        <v>4.41</v>
      </c>
      <c r="R199" s="19"/>
      <c r="S199" s="19">
        <v>8.53</v>
      </c>
      <c r="T199" s="14"/>
      <c r="U199" s="14">
        <f t="shared" ref="U199:U201" si="595">(O199*D199)/100000</f>
        <v>114.476676</v>
      </c>
      <c r="V199" s="14">
        <f t="shared" ref="V199:V201" si="596">(Q199*D199)/100000</f>
        <v>81.4261518</v>
      </c>
      <c r="W199" s="14">
        <f t="shared" ref="W199:W201" si="597">(S199*D199)/100000</f>
        <v>157.4977494</v>
      </c>
      <c r="X199" s="13"/>
      <c r="Y199" s="13"/>
      <c r="Z199" s="13" t="str">
        <f t="shared" ref="Z199:Z200" si="598">ROUND(F199, 0) &amp; " (" &amp; ROUND(H199, 0) &amp; "-" &amp; ROUND(J199, 0) &amp; ")"</f>
        <v>3 (2-3)</v>
      </c>
      <c r="AA199" s="13" t="str">
        <f t="shared" ref="AA199:AA200" si="599">ROUND(L199, 0) &amp; " (" &amp; ROUND(M199, 0) &amp; "-" &amp; ROUND(N199, 0) &amp; ")"</f>
        <v>170 (42816-75097)</v>
      </c>
      <c r="AB199" s="13" t="str">
        <f t="shared" ref="AB199:AB200" si="600">ROUND(O199, 0) &amp; " (" &amp; ROUND(Q199, 0) &amp; "-" &amp; ROUND(S199, 0) &amp; ")"</f>
        <v>6 (4-9)</v>
      </c>
      <c r="AC199" s="13" t="str">
        <f t="shared" ref="AC199:AC200" si="601">ROUND(U199, 0) &amp; " (" &amp; ROUND(V199, 0) &amp; "-" &amp; ROUND(W199, 0) &amp; ")"</f>
        <v>114 (81-157)</v>
      </c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hidden="1">
      <c r="A200" s="7" t="s">
        <v>27</v>
      </c>
      <c r="B200" s="16" t="s">
        <v>78</v>
      </c>
      <c r="C200" s="23">
        <v>2040.0</v>
      </c>
      <c r="D200" s="17">
        <f>891920+955049</f>
        <v>1846969</v>
      </c>
      <c r="E200" s="10">
        <v>1.29546659E8</v>
      </c>
      <c r="F200" s="19">
        <v>2.59</v>
      </c>
      <c r="G200" s="10">
        <f t="shared" si="1"/>
        <v>3355.258468</v>
      </c>
      <c r="H200" s="19">
        <v>1.91</v>
      </c>
      <c r="I200" s="8">
        <f t="shared" si="2"/>
        <v>2474.341187</v>
      </c>
      <c r="J200" s="19">
        <v>3.35</v>
      </c>
      <c r="K200" s="11">
        <f t="shared" si="3"/>
        <v>4339.813077</v>
      </c>
      <c r="L200" s="11">
        <f t="shared" si="13"/>
        <v>181.6629553</v>
      </c>
      <c r="M200" s="11">
        <f t="shared" si="593"/>
        <v>45700.31468</v>
      </c>
      <c r="N200" s="11">
        <f t="shared" si="594"/>
        <v>80155.00218</v>
      </c>
      <c r="O200" s="19">
        <v>6.2</v>
      </c>
      <c r="P200" s="19"/>
      <c r="Q200" s="19">
        <v>4.41</v>
      </c>
      <c r="R200" s="19"/>
      <c r="S200" s="19">
        <v>8.53</v>
      </c>
      <c r="T200" s="14"/>
      <c r="U200" s="14">
        <f t="shared" si="595"/>
        <v>114.512078</v>
      </c>
      <c r="V200" s="14">
        <f t="shared" si="596"/>
        <v>81.4513329</v>
      </c>
      <c r="W200" s="14">
        <f t="shared" si="597"/>
        <v>157.5464557</v>
      </c>
      <c r="X200" s="13"/>
      <c r="Y200" s="13"/>
      <c r="Z200" s="13" t="str">
        <f t="shared" si="598"/>
        <v>3 (2-3)</v>
      </c>
      <c r="AA200" s="13" t="str">
        <f t="shared" si="599"/>
        <v>182 (45700-80155)</v>
      </c>
      <c r="AB200" s="13" t="str">
        <f t="shared" si="600"/>
        <v>6 (4-9)</v>
      </c>
      <c r="AC200" s="13" t="str">
        <f t="shared" si="601"/>
        <v>115 (81-158)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hidden="1">
      <c r="A201" s="7" t="s">
        <v>29</v>
      </c>
      <c r="B201" s="16" t="s">
        <v>78</v>
      </c>
      <c r="C201" s="23">
        <v>2050.0</v>
      </c>
      <c r="D201" s="17">
        <f>783838+839460</f>
        <v>1623298</v>
      </c>
      <c r="E201" s="10">
        <v>1.34373439E8</v>
      </c>
      <c r="F201" s="19">
        <v>2.59</v>
      </c>
      <c r="G201" s="10">
        <f t="shared" si="1"/>
        <v>3480.27207</v>
      </c>
      <c r="H201" s="19">
        <v>1.91</v>
      </c>
      <c r="I201" s="8">
        <f t="shared" si="2"/>
        <v>2566.532685</v>
      </c>
      <c r="J201" s="19">
        <v>3.35</v>
      </c>
      <c r="K201" s="11">
        <f t="shared" si="3"/>
        <v>4501.510207</v>
      </c>
      <c r="L201" s="11">
        <f t="shared" si="13"/>
        <v>214.3951431</v>
      </c>
      <c r="M201" s="11">
        <f t="shared" si="593"/>
        <v>41662.47374</v>
      </c>
      <c r="N201" s="11">
        <f t="shared" si="594"/>
        <v>73072.92515</v>
      </c>
      <c r="O201" s="19">
        <v>6.2</v>
      </c>
      <c r="P201" s="8">
        <f t="shared" ref="P201:P202" si="602">(O201/100000)*E201</f>
        <v>8331.153218</v>
      </c>
      <c r="Q201" s="19">
        <v>4.41</v>
      </c>
      <c r="R201" s="8">
        <f t="shared" ref="R201:R202" si="603">(Q201/100000)*E201</f>
        <v>5925.86866</v>
      </c>
      <c r="S201" s="19">
        <v>8.53</v>
      </c>
      <c r="T201" s="11">
        <f t="shared" ref="T201:T202" si="604">(S201/100000)*E201</f>
        <v>11462.05435</v>
      </c>
      <c r="U201" s="14">
        <f t="shared" si="595"/>
        <v>100.644476</v>
      </c>
      <c r="V201" s="14">
        <f t="shared" si="596"/>
        <v>71.5874418</v>
      </c>
      <c r="W201" s="14">
        <f t="shared" si="597"/>
        <v>138.4673194</v>
      </c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>
      <c r="A202" s="7" t="s">
        <v>23</v>
      </c>
      <c r="B202" s="16" t="s">
        <v>79</v>
      </c>
      <c r="C202" s="20">
        <v>2021.0</v>
      </c>
      <c r="D202" s="17">
        <f>871.5+919.5</f>
        <v>1791</v>
      </c>
      <c r="E202" s="18">
        <v>99258.0</v>
      </c>
      <c r="F202" s="19">
        <v>2.39</v>
      </c>
      <c r="G202" s="10">
        <f t="shared" si="1"/>
        <v>2.3722662</v>
      </c>
      <c r="H202" s="19">
        <v>1.71</v>
      </c>
      <c r="I202" s="8">
        <f t="shared" si="2"/>
        <v>1.6973118</v>
      </c>
      <c r="J202" s="19">
        <v>3.08</v>
      </c>
      <c r="K202" s="11">
        <f t="shared" si="3"/>
        <v>3.0571464</v>
      </c>
      <c r="L202" s="11">
        <f t="shared" si="13"/>
        <v>132.4548409</v>
      </c>
      <c r="M202" s="12">
        <f>(I202/D202)*100000</f>
        <v>94.76894472</v>
      </c>
      <c r="N202" s="11">
        <f>(K202/D202)*100000</f>
        <v>170.6949414</v>
      </c>
      <c r="O202" s="19">
        <v>3.74</v>
      </c>
      <c r="P202" s="8">
        <f t="shared" si="602"/>
        <v>3.7122492</v>
      </c>
      <c r="Q202" s="19">
        <v>2.45</v>
      </c>
      <c r="R202" s="8">
        <f t="shared" si="603"/>
        <v>2.431821</v>
      </c>
      <c r="S202" s="19">
        <v>5.78</v>
      </c>
      <c r="T202" s="11">
        <f t="shared" si="604"/>
        <v>5.7371124</v>
      </c>
      <c r="U202" s="11">
        <f>(P202/D202)*100000</f>
        <v>207.2724288</v>
      </c>
      <c r="V202" s="11">
        <f>(R202/D202)*100000</f>
        <v>135.780067</v>
      </c>
      <c r="W202" s="11">
        <f>(T202/D202)*100000</f>
        <v>320.3301173</v>
      </c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hidden="1">
      <c r="A203" s="7" t="s">
        <v>25</v>
      </c>
      <c r="B203" s="16" t="s">
        <v>79</v>
      </c>
      <c r="C203" s="23">
        <v>2030.0</v>
      </c>
      <c r="D203" s="17">
        <f>869+899</f>
        <v>1768</v>
      </c>
      <c r="E203" s="10">
        <v>130069.0</v>
      </c>
      <c r="F203" s="19">
        <v>2.39</v>
      </c>
      <c r="G203" s="10">
        <f t="shared" si="1"/>
        <v>3.1086491</v>
      </c>
      <c r="H203" s="19">
        <v>1.71</v>
      </c>
      <c r="I203" s="8">
        <f t="shared" si="2"/>
        <v>2.2241799</v>
      </c>
      <c r="J203" s="19">
        <v>3.08</v>
      </c>
      <c r="K203" s="11">
        <f t="shared" si="3"/>
        <v>4.0061252</v>
      </c>
      <c r="L203" s="11">
        <f t="shared" si="13"/>
        <v>175.828569</v>
      </c>
      <c r="M203" s="11">
        <f t="shared" ref="M203:M205" si="605">(I203*D203)/100000</f>
        <v>0.03932350063</v>
      </c>
      <c r="N203" s="11">
        <f t="shared" ref="N203:N205" si="606">(K203*D203)/100000</f>
        <v>0.07082829354</v>
      </c>
      <c r="O203" s="19">
        <v>3.74</v>
      </c>
      <c r="P203" s="19"/>
      <c r="Q203" s="19">
        <v>2.45</v>
      </c>
      <c r="R203" s="19"/>
      <c r="S203" s="19">
        <v>5.78</v>
      </c>
      <c r="T203" s="14"/>
      <c r="U203" s="14">
        <f t="shared" ref="U203:U205" si="607">(O203*D203)/100000</f>
        <v>0.0661232</v>
      </c>
      <c r="V203" s="14">
        <f t="shared" ref="V203:V205" si="608">(Q203*D203)/100000</f>
        <v>0.043316</v>
      </c>
      <c r="W203" s="14">
        <f t="shared" ref="W203:W205" si="609">(S203*D203)/100000</f>
        <v>0.1021904</v>
      </c>
      <c r="X203" s="13"/>
      <c r="Y203" s="13"/>
      <c r="Z203" s="13" t="str">
        <f t="shared" ref="Z203:Z204" si="610">ROUND(F203, 0) &amp; " (" &amp; ROUND(H203, 0) &amp; "-" &amp; ROUND(J203, 0) &amp; ")"</f>
        <v>2 (2-3)</v>
      </c>
      <c r="AA203" s="13" t="str">
        <f t="shared" ref="AA203:AA204" si="611">ROUND(L203, 0) &amp; " (" &amp; ROUND(M203, 0) &amp; "-" &amp; ROUND(N203, 0) &amp; ")"</f>
        <v>176 (0-0)</v>
      </c>
      <c r="AB203" s="13" t="str">
        <f t="shared" ref="AB203:AB204" si="612">ROUND(O203, 0) &amp; " (" &amp; ROUND(Q203, 0) &amp; "-" &amp; ROUND(S203, 0) &amp; ")"</f>
        <v>4 (2-6)</v>
      </c>
      <c r="AC203" s="13" t="str">
        <f t="shared" ref="AC203:AC204" si="613">ROUND(U203, 0) &amp; " (" &amp; ROUND(V203, 0) &amp; "-" &amp; ROUND(W203, 0) &amp; ")"</f>
        <v>0 (0-0)</v>
      </c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hidden="1">
      <c r="A204" s="7" t="s">
        <v>27</v>
      </c>
      <c r="B204" s="16" t="s">
        <v>79</v>
      </c>
      <c r="C204" s="23">
        <v>2040.0</v>
      </c>
      <c r="D204" s="17">
        <f>768+794</f>
        <v>1562</v>
      </c>
      <c r="E204" s="10">
        <v>131930.0</v>
      </c>
      <c r="F204" s="19">
        <v>2.39</v>
      </c>
      <c r="G204" s="10">
        <f t="shared" si="1"/>
        <v>3.153127</v>
      </c>
      <c r="H204" s="19">
        <v>1.71</v>
      </c>
      <c r="I204" s="8">
        <f t="shared" si="2"/>
        <v>2.256003</v>
      </c>
      <c r="J204" s="19">
        <v>3.08</v>
      </c>
      <c r="K204" s="11">
        <f t="shared" si="3"/>
        <v>4.063444</v>
      </c>
      <c r="L204" s="11">
        <f t="shared" si="13"/>
        <v>201.8647247</v>
      </c>
      <c r="M204" s="11">
        <f t="shared" si="605"/>
        <v>0.03523876686</v>
      </c>
      <c r="N204" s="11">
        <f t="shared" si="606"/>
        <v>0.06347099528</v>
      </c>
      <c r="O204" s="19">
        <v>3.74</v>
      </c>
      <c r="P204" s="19"/>
      <c r="Q204" s="19">
        <v>2.45</v>
      </c>
      <c r="R204" s="19"/>
      <c r="S204" s="19">
        <v>5.78</v>
      </c>
      <c r="T204" s="14"/>
      <c r="U204" s="14">
        <f t="shared" si="607"/>
        <v>0.0584188</v>
      </c>
      <c r="V204" s="14">
        <f t="shared" si="608"/>
        <v>0.038269</v>
      </c>
      <c r="W204" s="14">
        <f t="shared" si="609"/>
        <v>0.0902836</v>
      </c>
      <c r="X204" s="13"/>
      <c r="Y204" s="13"/>
      <c r="Z204" s="13" t="str">
        <f t="shared" si="610"/>
        <v>2 (2-3)</v>
      </c>
      <c r="AA204" s="13" t="str">
        <f t="shared" si="611"/>
        <v>202 (0-0)</v>
      </c>
      <c r="AB204" s="13" t="str">
        <f t="shared" si="612"/>
        <v>4 (2-6)</v>
      </c>
      <c r="AC204" s="13" t="str">
        <f t="shared" si="613"/>
        <v>0 (0-0)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hidden="1">
      <c r="A205" s="7" t="s">
        <v>29</v>
      </c>
      <c r="B205" s="16" t="s">
        <v>79</v>
      </c>
      <c r="C205" s="23">
        <v>2050.0</v>
      </c>
      <c r="D205" s="17">
        <f>748+774</f>
        <v>1522</v>
      </c>
      <c r="E205" s="10">
        <v>131084.0</v>
      </c>
      <c r="F205" s="19">
        <v>2.39</v>
      </c>
      <c r="G205" s="10">
        <f t="shared" si="1"/>
        <v>3.1329076</v>
      </c>
      <c r="H205" s="19">
        <v>1.71</v>
      </c>
      <c r="I205" s="8">
        <f t="shared" si="2"/>
        <v>2.2415364</v>
      </c>
      <c r="J205" s="19">
        <v>3.08</v>
      </c>
      <c r="K205" s="11">
        <f t="shared" si="3"/>
        <v>4.0373872</v>
      </c>
      <c r="L205" s="11">
        <f t="shared" si="13"/>
        <v>205.841498</v>
      </c>
      <c r="M205" s="11">
        <f t="shared" si="605"/>
        <v>0.03411618401</v>
      </c>
      <c r="N205" s="11">
        <f t="shared" si="606"/>
        <v>0.06144903318</v>
      </c>
      <c r="O205" s="19">
        <v>3.74</v>
      </c>
      <c r="P205" s="8">
        <f t="shared" ref="P205:P206" si="614">(O205/100000)*E205</f>
        <v>4.9025416</v>
      </c>
      <c r="Q205" s="19">
        <v>2.45</v>
      </c>
      <c r="R205" s="8">
        <f t="shared" ref="R205:R206" si="615">(Q205/100000)*E205</f>
        <v>3.211558</v>
      </c>
      <c r="S205" s="19">
        <v>5.78</v>
      </c>
      <c r="T205" s="11">
        <f t="shared" ref="T205:T206" si="616">(S205/100000)*E205</f>
        <v>7.5766552</v>
      </c>
      <c r="U205" s="14">
        <f t="shared" si="607"/>
        <v>0.0569228</v>
      </c>
      <c r="V205" s="14">
        <f t="shared" si="608"/>
        <v>0.037289</v>
      </c>
      <c r="W205" s="14">
        <f t="shared" si="609"/>
        <v>0.0879716</v>
      </c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>
      <c r="A206" s="7" t="s">
        <v>23</v>
      </c>
      <c r="B206" s="16" t="s">
        <v>80</v>
      </c>
      <c r="C206" s="20">
        <v>2021.0</v>
      </c>
      <c r="D206" s="17">
        <f>160474+167296</f>
        <v>327770</v>
      </c>
      <c r="E206" s="18">
        <v>2.2156E7</v>
      </c>
      <c r="F206" s="19">
        <v>1.82</v>
      </c>
      <c r="G206" s="10">
        <f t="shared" si="1"/>
        <v>403.2392</v>
      </c>
      <c r="H206" s="19">
        <v>1.25</v>
      </c>
      <c r="I206" s="8">
        <f t="shared" si="2"/>
        <v>276.95</v>
      </c>
      <c r="J206" s="19">
        <v>2.49</v>
      </c>
      <c r="K206" s="11">
        <f t="shared" si="3"/>
        <v>551.6844</v>
      </c>
      <c r="L206" s="11">
        <f t="shared" si="13"/>
        <v>123.0250481</v>
      </c>
      <c r="M206" s="12">
        <f>(I206/D206)*100000</f>
        <v>84.49522531</v>
      </c>
      <c r="N206" s="11">
        <f>(K206/D206)*100000</f>
        <v>168.3144888</v>
      </c>
      <c r="O206" s="19">
        <v>3.28</v>
      </c>
      <c r="P206" s="8">
        <f t="shared" si="614"/>
        <v>726.7168</v>
      </c>
      <c r="Q206" s="19">
        <v>2.04</v>
      </c>
      <c r="R206" s="8">
        <f t="shared" si="615"/>
        <v>451.9824</v>
      </c>
      <c r="S206" s="19">
        <v>4.96</v>
      </c>
      <c r="T206" s="11">
        <f t="shared" si="616"/>
        <v>1098.9376</v>
      </c>
      <c r="U206" s="11">
        <f>(P206/D206)*100000</f>
        <v>221.7154712</v>
      </c>
      <c r="V206" s="11">
        <f>(R206/D206)*100000</f>
        <v>137.8962077</v>
      </c>
      <c r="W206" s="11">
        <f>(T206/D206)*100000</f>
        <v>335.277054</v>
      </c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hidden="1">
      <c r="A207" s="7" t="s">
        <v>25</v>
      </c>
      <c r="B207" s="16" t="s">
        <v>80</v>
      </c>
      <c r="C207" s="23">
        <v>2030.0</v>
      </c>
      <c r="D207" s="17">
        <f>151535+158097</f>
        <v>309632</v>
      </c>
      <c r="E207" s="10">
        <v>2.2504002E7</v>
      </c>
      <c r="F207" s="19">
        <v>1.82</v>
      </c>
      <c r="G207" s="10">
        <f t="shared" si="1"/>
        <v>409.5728364</v>
      </c>
      <c r="H207" s="19">
        <v>1.25</v>
      </c>
      <c r="I207" s="8">
        <f t="shared" si="2"/>
        <v>281.300025</v>
      </c>
      <c r="J207" s="19">
        <v>2.49</v>
      </c>
      <c r="K207" s="11">
        <f t="shared" si="3"/>
        <v>560.3496498</v>
      </c>
      <c r="L207" s="11">
        <f t="shared" si="13"/>
        <v>132.2772958</v>
      </c>
      <c r="M207" s="11">
        <f t="shared" ref="M207:M209" si="617">(I207*D207)/100000</f>
        <v>870.9948934</v>
      </c>
      <c r="N207" s="11">
        <f t="shared" ref="N207:N209" si="618">(K207*D207)/100000</f>
        <v>1735.021828</v>
      </c>
      <c r="O207" s="19">
        <v>3.28</v>
      </c>
      <c r="P207" s="19"/>
      <c r="Q207" s="19">
        <v>2.04</v>
      </c>
      <c r="R207" s="19"/>
      <c r="S207" s="19">
        <v>4.96</v>
      </c>
      <c r="T207" s="14"/>
      <c r="U207" s="14">
        <f t="shared" ref="U207:U209" si="619">(O207*D207)/100000</f>
        <v>10.1559296</v>
      </c>
      <c r="V207" s="14">
        <f t="shared" ref="V207:V209" si="620">(Q207*D207)/100000</f>
        <v>6.3164928</v>
      </c>
      <c r="W207" s="14">
        <f t="shared" ref="W207:W209" si="621">(S207*D207)/100000</f>
        <v>15.3577472</v>
      </c>
      <c r="X207" s="13"/>
      <c r="Y207" s="13"/>
      <c r="Z207" s="13" t="str">
        <f t="shared" ref="Z207:Z208" si="622">ROUND(F207, 0) &amp; " (" &amp; ROUND(H207, 0) &amp; "-" &amp; ROUND(J207, 0) &amp; ")"</f>
        <v>2 (1-2)</v>
      </c>
      <c r="AA207" s="13" t="str">
        <f t="shared" ref="AA207:AA208" si="623">ROUND(L207, 0) &amp; " (" &amp; ROUND(M207, 0) &amp; "-" &amp; ROUND(N207, 0) &amp; ")"</f>
        <v>132 (871-1735)</v>
      </c>
      <c r="AB207" s="13" t="str">
        <f t="shared" ref="AB207:AB208" si="624">ROUND(O207, 0) &amp; " (" &amp; ROUND(Q207, 0) &amp; "-" &amp; ROUND(S207, 0) &amp; ")"</f>
        <v>3 (2-5)</v>
      </c>
      <c r="AC207" s="13" t="str">
        <f t="shared" ref="AC207:AC208" si="625">ROUND(U207, 0) &amp; " (" &amp; ROUND(V207, 0) &amp; "-" &amp; ROUND(W207, 0) &amp; ")"</f>
        <v>10 (6-15)</v>
      </c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hidden="1">
      <c r="A208" s="7" t="s">
        <v>27</v>
      </c>
      <c r="B208" s="16" t="s">
        <v>80</v>
      </c>
      <c r="C208" s="23">
        <v>2040.0</v>
      </c>
      <c r="D208" s="17">
        <f>146180+152564</f>
        <v>298744</v>
      </c>
      <c r="E208" s="10">
        <v>2.3159442E7</v>
      </c>
      <c r="F208" s="19">
        <v>1.82</v>
      </c>
      <c r="G208" s="10">
        <f t="shared" si="1"/>
        <v>421.5018444</v>
      </c>
      <c r="H208" s="19">
        <v>1.25</v>
      </c>
      <c r="I208" s="8">
        <f t="shared" si="2"/>
        <v>289.493025</v>
      </c>
      <c r="J208" s="19">
        <v>2.49</v>
      </c>
      <c r="K208" s="11">
        <f t="shared" si="3"/>
        <v>576.6701058</v>
      </c>
      <c r="L208" s="11">
        <f t="shared" si="13"/>
        <v>141.0913171</v>
      </c>
      <c r="M208" s="11">
        <f t="shared" si="617"/>
        <v>864.8430426</v>
      </c>
      <c r="N208" s="11">
        <f t="shared" si="618"/>
        <v>1722.767341</v>
      </c>
      <c r="O208" s="19">
        <v>3.28</v>
      </c>
      <c r="P208" s="19"/>
      <c r="Q208" s="19">
        <v>2.04</v>
      </c>
      <c r="R208" s="19"/>
      <c r="S208" s="19">
        <v>4.96</v>
      </c>
      <c r="T208" s="14"/>
      <c r="U208" s="14">
        <f t="shared" si="619"/>
        <v>9.7988032</v>
      </c>
      <c r="V208" s="14">
        <f t="shared" si="620"/>
        <v>6.0943776</v>
      </c>
      <c r="W208" s="14">
        <f t="shared" si="621"/>
        <v>14.8177024</v>
      </c>
      <c r="X208" s="13"/>
      <c r="Y208" s="13"/>
      <c r="Z208" s="13" t="str">
        <f t="shared" si="622"/>
        <v>2 (1-2)</v>
      </c>
      <c r="AA208" s="13" t="str">
        <f t="shared" si="623"/>
        <v>141 (865-1723)</v>
      </c>
      <c r="AB208" s="13" t="str">
        <f t="shared" si="624"/>
        <v>3 (2-5)</v>
      </c>
      <c r="AC208" s="13" t="str">
        <f t="shared" si="625"/>
        <v>10 (6-15)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hidden="1">
      <c r="A209" s="7" t="s">
        <v>29</v>
      </c>
      <c r="B209" s="16" t="s">
        <v>80</v>
      </c>
      <c r="C209" s="23">
        <v>2050.0</v>
      </c>
      <c r="D209" s="17">
        <f>132035+137844</f>
        <v>269879</v>
      </c>
      <c r="E209" s="10">
        <v>2.3394042E7</v>
      </c>
      <c r="F209" s="19">
        <v>1.82</v>
      </c>
      <c r="G209" s="10">
        <f t="shared" si="1"/>
        <v>425.7715644</v>
      </c>
      <c r="H209" s="19">
        <v>1.25</v>
      </c>
      <c r="I209" s="8">
        <f t="shared" si="2"/>
        <v>292.425525</v>
      </c>
      <c r="J209" s="19">
        <v>2.49</v>
      </c>
      <c r="K209" s="11">
        <f t="shared" si="3"/>
        <v>582.5116458</v>
      </c>
      <c r="L209" s="11">
        <f t="shared" si="13"/>
        <v>157.7638736</v>
      </c>
      <c r="M209" s="11">
        <f t="shared" si="617"/>
        <v>789.1950826</v>
      </c>
      <c r="N209" s="11">
        <f t="shared" si="618"/>
        <v>1572.076605</v>
      </c>
      <c r="O209" s="19">
        <v>3.28</v>
      </c>
      <c r="P209" s="8">
        <f t="shared" ref="P209:P210" si="626">(O209/100000)*E209</f>
        <v>767.3245776</v>
      </c>
      <c r="Q209" s="19">
        <v>2.04</v>
      </c>
      <c r="R209" s="8">
        <f t="shared" ref="R209:R210" si="627">(Q209/100000)*E209</f>
        <v>477.2384568</v>
      </c>
      <c r="S209" s="19">
        <v>4.96</v>
      </c>
      <c r="T209" s="11">
        <f t="shared" ref="T209:T210" si="628">(S209/100000)*E209</f>
        <v>1160.344483</v>
      </c>
      <c r="U209" s="14">
        <f t="shared" si="619"/>
        <v>8.8520312</v>
      </c>
      <c r="V209" s="14">
        <f t="shared" si="620"/>
        <v>5.5055316</v>
      </c>
      <c r="W209" s="14">
        <f t="shared" si="621"/>
        <v>13.3859984</v>
      </c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>
      <c r="A210" s="7" t="s">
        <v>23</v>
      </c>
      <c r="B210" s="16" t="s">
        <v>81</v>
      </c>
      <c r="C210" s="20">
        <v>2021.0</v>
      </c>
      <c r="D210" s="17">
        <f>299656+318322</f>
        <v>617978</v>
      </c>
      <c r="E210" s="18">
        <v>7.1727332E7</v>
      </c>
      <c r="F210" s="19">
        <v>1.38</v>
      </c>
      <c r="G210" s="10">
        <f t="shared" si="1"/>
        <v>989.8371816</v>
      </c>
      <c r="H210" s="19">
        <v>0.97</v>
      </c>
      <c r="I210" s="8">
        <f t="shared" si="2"/>
        <v>695.7551204</v>
      </c>
      <c r="J210" s="19">
        <v>1.89</v>
      </c>
      <c r="K210" s="11">
        <f t="shared" si="3"/>
        <v>1355.646575</v>
      </c>
      <c r="L210" s="11">
        <f t="shared" si="13"/>
        <v>160.1735307</v>
      </c>
      <c r="M210" s="12">
        <f>(I210/D210)*100000</f>
        <v>112.5857426</v>
      </c>
      <c r="N210" s="11">
        <f>(K210/D210)*100000</f>
        <v>219.3680964</v>
      </c>
      <c r="O210" s="19">
        <v>3.86</v>
      </c>
      <c r="P210" s="8">
        <f t="shared" si="626"/>
        <v>2768.675015</v>
      </c>
      <c r="Q210" s="19">
        <v>2.33</v>
      </c>
      <c r="R210" s="8">
        <f t="shared" si="627"/>
        <v>1671.246836</v>
      </c>
      <c r="S210" s="19">
        <v>5.85</v>
      </c>
      <c r="T210" s="11">
        <f t="shared" si="628"/>
        <v>4196.048922</v>
      </c>
      <c r="U210" s="11">
        <f>(P210/D210)*100000</f>
        <v>448.0216149</v>
      </c>
      <c r="V210" s="11">
        <f>(R210/D210)*100000</f>
        <v>270.4379178</v>
      </c>
      <c r="W210" s="11">
        <f>(T210/D210)*100000</f>
        <v>678.9964889</v>
      </c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hidden="1">
      <c r="A211" s="7" t="s">
        <v>25</v>
      </c>
      <c r="B211" s="16" t="s">
        <v>81</v>
      </c>
      <c r="C211" s="23">
        <v>2030.0</v>
      </c>
      <c r="D211" s="17">
        <f>267201+284040</f>
        <v>551241</v>
      </c>
      <c r="E211" s="10">
        <v>7.1215022E7</v>
      </c>
      <c r="F211" s="19">
        <v>1.38</v>
      </c>
      <c r="G211" s="10">
        <f t="shared" si="1"/>
        <v>982.7673036</v>
      </c>
      <c r="H211" s="19">
        <v>0.97</v>
      </c>
      <c r="I211" s="8">
        <f t="shared" si="2"/>
        <v>690.7857134</v>
      </c>
      <c r="J211" s="19">
        <v>1.89</v>
      </c>
      <c r="K211" s="11">
        <f t="shared" si="3"/>
        <v>1345.963916</v>
      </c>
      <c r="L211" s="11">
        <f t="shared" si="13"/>
        <v>178.2826937</v>
      </c>
      <c r="M211" s="11">
        <f t="shared" ref="M211:M213" si="629">(I211*D211)/100000</f>
        <v>3807.894074</v>
      </c>
      <c r="N211" s="11">
        <f t="shared" ref="N211:N213" si="630">(K211*D211)/100000</f>
        <v>7419.504949</v>
      </c>
      <c r="O211" s="19">
        <v>3.86</v>
      </c>
      <c r="P211" s="19"/>
      <c r="Q211" s="19">
        <v>2.33</v>
      </c>
      <c r="R211" s="19"/>
      <c r="S211" s="19">
        <v>5.85</v>
      </c>
      <c r="T211" s="14"/>
      <c r="U211" s="14">
        <f t="shared" ref="U211:U213" si="631">(O211*D211)/100000</f>
        <v>21.2779026</v>
      </c>
      <c r="V211" s="14">
        <f t="shared" ref="V211:V213" si="632">(Q211*D211)/100000</f>
        <v>12.8439153</v>
      </c>
      <c r="W211" s="14">
        <f t="shared" ref="W211:W213" si="633">(S211*D211)/100000</f>
        <v>32.2475985</v>
      </c>
      <c r="X211" s="13"/>
      <c r="Y211" s="13"/>
      <c r="Z211" s="13" t="str">
        <f t="shared" ref="Z211:Z212" si="634">ROUND(F211, 0) &amp; " (" &amp; ROUND(H211, 0) &amp; "-" &amp; ROUND(J211, 0) &amp; ")"</f>
        <v>1 (1-2)</v>
      </c>
      <c r="AA211" s="13" t="str">
        <f t="shared" ref="AA211:AA212" si="635">ROUND(L211, 0) &amp; " (" &amp; ROUND(M211, 0) &amp; "-" &amp; ROUND(N211, 0) &amp; ")"</f>
        <v>178 (3808-7420)</v>
      </c>
      <c r="AB211" s="13" t="str">
        <f t="shared" ref="AB211:AB212" si="636">ROUND(O211, 0) &amp; " (" &amp; ROUND(Q211, 0) &amp; "-" &amp; ROUND(S211, 0) &amp; ")"</f>
        <v>4 (2-6)</v>
      </c>
      <c r="AC211" s="13" t="str">
        <f t="shared" ref="AC211:AC212" si="637">ROUND(U211, 0) &amp; " (" &amp; ROUND(V211, 0) &amp; "-" &amp; ROUND(W211, 0) &amp; ")"</f>
        <v>21 (13-32)</v>
      </c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hidden="1">
      <c r="A212" s="7" t="s">
        <v>27</v>
      </c>
      <c r="B212" s="16" t="s">
        <v>81</v>
      </c>
      <c r="C212" s="23">
        <v>2040.0</v>
      </c>
      <c r="D212" s="17">
        <f>252144+268121</f>
        <v>520265</v>
      </c>
      <c r="E212" s="10">
        <v>6.9535002E7</v>
      </c>
      <c r="F212" s="19">
        <v>1.38</v>
      </c>
      <c r="G212" s="10">
        <f t="shared" si="1"/>
        <v>959.5830276</v>
      </c>
      <c r="H212" s="19">
        <v>0.97</v>
      </c>
      <c r="I212" s="8">
        <f t="shared" si="2"/>
        <v>674.4895194</v>
      </c>
      <c r="J212" s="19">
        <v>1.89</v>
      </c>
      <c r="K212" s="11">
        <f t="shared" si="3"/>
        <v>1314.211538</v>
      </c>
      <c r="L212" s="11">
        <f t="shared" si="13"/>
        <v>184.4412035</v>
      </c>
      <c r="M212" s="11">
        <f t="shared" si="629"/>
        <v>3509.132898</v>
      </c>
      <c r="N212" s="11">
        <f t="shared" si="630"/>
        <v>6837.382657</v>
      </c>
      <c r="O212" s="19">
        <v>3.86</v>
      </c>
      <c r="P212" s="19"/>
      <c r="Q212" s="19">
        <v>2.33</v>
      </c>
      <c r="R212" s="19"/>
      <c r="S212" s="19">
        <v>5.85</v>
      </c>
      <c r="T212" s="14"/>
      <c r="U212" s="14">
        <f t="shared" si="631"/>
        <v>20.082229</v>
      </c>
      <c r="V212" s="14">
        <f t="shared" si="632"/>
        <v>12.1221745</v>
      </c>
      <c r="W212" s="14">
        <f t="shared" si="633"/>
        <v>30.4355025</v>
      </c>
      <c r="X212" s="13"/>
      <c r="Y212" s="13"/>
      <c r="Z212" s="13" t="str">
        <f t="shared" si="634"/>
        <v>1 (1-2)</v>
      </c>
      <c r="AA212" s="13" t="str">
        <f t="shared" si="635"/>
        <v>184 (3509-6837)</v>
      </c>
      <c r="AB212" s="13" t="str">
        <f t="shared" si="636"/>
        <v>4 (2-6)</v>
      </c>
      <c r="AC212" s="13" t="str">
        <f t="shared" si="637"/>
        <v>20 (12-30)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hidden="1">
      <c r="A213" s="7" t="s">
        <v>29</v>
      </c>
      <c r="B213" s="16" t="s">
        <v>81</v>
      </c>
      <c r="C213" s="23">
        <v>2050.0</v>
      </c>
      <c r="D213" s="17">
        <f>225017+239328</f>
        <v>464345</v>
      </c>
      <c r="E213" s="10">
        <v>6.6382735E7</v>
      </c>
      <c r="F213" s="19">
        <v>1.38</v>
      </c>
      <c r="G213" s="10">
        <f t="shared" si="1"/>
        <v>916.081743</v>
      </c>
      <c r="H213" s="19">
        <v>0.97</v>
      </c>
      <c r="I213" s="8">
        <f t="shared" si="2"/>
        <v>643.9125295</v>
      </c>
      <c r="J213" s="19">
        <v>1.89</v>
      </c>
      <c r="K213" s="11">
        <f t="shared" si="3"/>
        <v>1254.633692</v>
      </c>
      <c r="L213" s="11">
        <f t="shared" si="13"/>
        <v>197.2847221</v>
      </c>
      <c r="M213" s="11">
        <f t="shared" si="629"/>
        <v>2989.975635</v>
      </c>
      <c r="N213" s="11">
        <f t="shared" si="630"/>
        <v>5825.828815</v>
      </c>
      <c r="O213" s="19">
        <v>3.86</v>
      </c>
      <c r="P213" s="8">
        <f t="shared" ref="P213:P214" si="638">(O213/100000)*E213</f>
        <v>2562.373571</v>
      </c>
      <c r="Q213" s="19">
        <v>2.33</v>
      </c>
      <c r="R213" s="8">
        <f t="shared" ref="R213:R214" si="639">(Q213/100000)*E213</f>
        <v>1546.717726</v>
      </c>
      <c r="S213" s="19">
        <v>5.85</v>
      </c>
      <c r="T213" s="11">
        <f t="shared" ref="T213:T214" si="640">(S213/100000)*E213</f>
        <v>3883.389998</v>
      </c>
      <c r="U213" s="14">
        <f t="shared" si="631"/>
        <v>17.923717</v>
      </c>
      <c r="V213" s="14">
        <f t="shared" si="632"/>
        <v>10.8192385</v>
      </c>
      <c r="W213" s="14">
        <f t="shared" si="633"/>
        <v>27.1641825</v>
      </c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>
      <c r="A214" s="7" t="s">
        <v>23</v>
      </c>
      <c r="B214" s="16" t="s">
        <v>82</v>
      </c>
      <c r="C214" s="20">
        <v>2021.0</v>
      </c>
      <c r="D214" s="17">
        <f>15496.5+16174.5</f>
        <v>31671</v>
      </c>
      <c r="E214" s="18">
        <v>1350139.0</v>
      </c>
      <c r="F214" s="19">
        <v>4.49</v>
      </c>
      <c r="G214" s="10">
        <f t="shared" si="1"/>
        <v>60.6212411</v>
      </c>
      <c r="H214" s="19">
        <v>3.2</v>
      </c>
      <c r="I214" s="8">
        <f t="shared" si="2"/>
        <v>43.204448</v>
      </c>
      <c r="J214" s="19">
        <v>6.03</v>
      </c>
      <c r="K214" s="11">
        <f t="shared" si="3"/>
        <v>81.4133817</v>
      </c>
      <c r="L214" s="11">
        <f t="shared" si="13"/>
        <v>191.4093054</v>
      </c>
      <c r="M214" s="12">
        <f>(I214/D214)*100000</f>
        <v>136.4164314</v>
      </c>
      <c r="N214" s="11">
        <f>(K214/D214)*100000</f>
        <v>257.059713</v>
      </c>
      <c r="O214" s="19">
        <v>17.67</v>
      </c>
      <c r="P214" s="8">
        <f t="shared" si="638"/>
        <v>238.5695613</v>
      </c>
      <c r="Q214" s="19">
        <v>7.74</v>
      </c>
      <c r="R214" s="8">
        <f t="shared" si="639"/>
        <v>104.5007586</v>
      </c>
      <c r="S214" s="19">
        <v>46.29</v>
      </c>
      <c r="T214" s="11">
        <f t="shared" si="640"/>
        <v>624.9793431</v>
      </c>
      <c r="U214" s="11">
        <f>(P214/D214)*100000</f>
        <v>753.2744823</v>
      </c>
      <c r="V214" s="11">
        <f>(R214/D214)*100000</f>
        <v>329.9572435</v>
      </c>
      <c r="W214" s="11">
        <f>(T214/D214)*100000</f>
        <v>1973.348941</v>
      </c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hidden="1">
      <c r="A215" s="7" t="s">
        <v>25</v>
      </c>
      <c r="B215" s="16" t="s">
        <v>82</v>
      </c>
      <c r="C215" s="23">
        <v>2030.0</v>
      </c>
      <c r="D215" s="17">
        <f>14810+15751</f>
        <v>30561</v>
      </c>
      <c r="E215" s="10">
        <v>1519804.0</v>
      </c>
      <c r="F215" s="19">
        <v>4.49</v>
      </c>
      <c r="G215" s="10">
        <f t="shared" si="1"/>
        <v>68.2391996</v>
      </c>
      <c r="H215" s="19">
        <v>3.2</v>
      </c>
      <c r="I215" s="8">
        <f t="shared" si="2"/>
        <v>48.633728</v>
      </c>
      <c r="J215" s="19">
        <v>6.03</v>
      </c>
      <c r="K215" s="11">
        <f t="shared" si="3"/>
        <v>91.6441812</v>
      </c>
      <c r="L215" s="11">
        <f t="shared" si="13"/>
        <v>223.2885036</v>
      </c>
      <c r="M215" s="11">
        <f t="shared" ref="M215:M217" si="641">(I215*D215)/100000</f>
        <v>14.86295361</v>
      </c>
      <c r="N215" s="11">
        <f t="shared" ref="N215:N217" si="642">(K215*D215)/100000</f>
        <v>28.00737822</v>
      </c>
      <c r="O215" s="19">
        <v>17.67</v>
      </c>
      <c r="P215" s="19"/>
      <c r="Q215" s="19">
        <v>7.74</v>
      </c>
      <c r="R215" s="19"/>
      <c r="S215" s="19">
        <v>46.29</v>
      </c>
      <c r="T215" s="14"/>
      <c r="U215" s="14">
        <f t="shared" ref="U215:U217" si="643">(O215*D215)/100000</f>
        <v>5.4001287</v>
      </c>
      <c r="V215" s="14">
        <f t="shared" ref="V215:V217" si="644">(Q215*D215)/100000</f>
        <v>2.3654214</v>
      </c>
      <c r="W215" s="14">
        <f t="shared" ref="W215:W217" si="645">(S215*D215)/100000</f>
        <v>14.1466869</v>
      </c>
      <c r="X215" s="13"/>
      <c r="Y215" s="13"/>
      <c r="Z215" s="13" t="str">
        <f t="shared" ref="Z215:Z216" si="646">ROUND(F215, 0) &amp; " (" &amp; ROUND(H215, 0) &amp; "-" &amp; ROUND(J215, 0) &amp; ")"</f>
        <v>4 (3-6)</v>
      </c>
      <c r="AA215" s="13" t="str">
        <f t="shared" ref="AA215:AA216" si="647">ROUND(L215, 0) &amp; " (" &amp; ROUND(M215, 0) &amp; "-" &amp; ROUND(N215, 0) &amp; ")"</f>
        <v>223 (15-28)</v>
      </c>
      <c r="AB215" s="13" t="str">
        <f t="shared" ref="AB215:AB216" si="648">ROUND(O215, 0) &amp; " (" &amp; ROUND(Q215, 0) &amp; "-" &amp; ROUND(S215, 0) &amp; ")"</f>
        <v>18 (8-46)</v>
      </c>
      <c r="AC215" s="13" t="str">
        <f t="shared" ref="AC215:AC216" si="649">ROUND(U215, 0) &amp; " (" &amp; ROUND(V215, 0) &amp; "-" &amp; ROUND(W215, 0) &amp; ")"</f>
        <v>5 (2-14)</v>
      </c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hidden="1">
      <c r="A216" s="7" t="s">
        <v>27</v>
      </c>
      <c r="B216" s="16" t="s">
        <v>82</v>
      </c>
      <c r="C216" s="23">
        <v>2040.0</v>
      </c>
      <c r="D216" s="17">
        <f>14638+15562</f>
        <v>30200</v>
      </c>
      <c r="E216" s="10">
        <v>1718249.0</v>
      </c>
      <c r="F216" s="19">
        <v>4.49</v>
      </c>
      <c r="G216" s="10">
        <f t="shared" si="1"/>
        <v>77.1493801</v>
      </c>
      <c r="H216" s="19">
        <v>3.2</v>
      </c>
      <c r="I216" s="8">
        <f t="shared" si="2"/>
        <v>54.983968</v>
      </c>
      <c r="J216" s="19">
        <v>6.03</v>
      </c>
      <c r="K216" s="11">
        <f t="shared" si="3"/>
        <v>103.6104147</v>
      </c>
      <c r="L216" s="11">
        <f t="shared" si="13"/>
        <v>255.4615235</v>
      </c>
      <c r="M216" s="11">
        <f t="shared" si="641"/>
        <v>16.60515834</v>
      </c>
      <c r="N216" s="11">
        <f t="shared" si="642"/>
        <v>31.29034524</v>
      </c>
      <c r="O216" s="19">
        <v>17.67</v>
      </c>
      <c r="P216" s="19"/>
      <c r="Q216" s="19">
        <v>7.74</v>
      </c>
      <c r="R216" s="19"/>
      <c r="S216" s="19">
        <v>46.29</v>
      </c>
      <c r="T216" s="14"/>
      <c r="U216" s="14">
        <f t="shared" si="643"/>
        <v>5.33634</v>
      </c>
      <c r="V216" s="14">
        <f t="shared" si="644"/>
        <v>2.33748</v>
      </c>
      <c r="W216" s="14">
        <f t="shared" si="645"/>
        <v>13.97958</v>
      </c>
      <c r="X216" s="13"/>
      <c r="Y216" s="13"/>
      <c r="Z216" s="13" t="str">
        <f t="shared" si="646"/>
        <v>4 (3-6)</v>
      </c>
      <c r="AA216" s="13" t="str">
        <f t="shared" si="647"/>
        <v>255 (17-31)</v>
      </c>
      <c r="AB216" s="13" t="str">
        <f t="shared" si="648"/>
        <v>18 (8-46)</v>
      </c>
      <c r="AC216" s="13" t="str">
        <f t="shared" si="649"/>
        <v>5 (2-14)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hidden="1">
      <c r="A217" s="7" t="s">
        <v>29</v>
      </c>
      <c r="B217" s="16" t="s">
        <v>82</v>
      </c>
      <c r="C217" s="23">
        <v>2050.0</v>
      </c>
      <c r="D217" s="17">
        <f>13328+14173</f>
        <v>27501</v>
      </c>
      <c r="E217" s="10">
        <v>1889249.0</v>
      </c>
      <c r="F217" s="19">
        <v>4.49</v>
      </c>
      <c r="G217" s="10">
        <f t="shared" si="1"/>
        <v>84.8272801</v>
      </c>
      <c r="H217" s="19">
        <v>3.2</v>
      </c>
      <c r="I217" s="8">
        <f t="shared" si="2"/>
        <v>60.455968</v>
      </c>
      <c r="J217" s="19">
        <v>6.03</v>
      </c>
      <c r="K217" s="11">
        <f t="shared" si="3"/>
        <v>113.9217147</v>
      </c>
      <c r="L217" s="11">
        <f t="shared" si="13"/>
        <v>308.4516203</v>
      </c>
      <c r="M217" s="11">
        <f t="shared" si="641"/>
        <v>16.62599576</v>
      </c>
      <c r="N217" s="11">
        <f t="shared" si="642"/>
        <v>31.32961076</v>
      </c>
      <c r="O217" s="19">
        <v>17.67</v>
      </c>
      <c r="P217" s="8">
        <f t="shared" ref="P217:P218" si="650">(O217/100000)*E217</f>
        <v>333.8302983</v>
      </c>
      <c r="Q217" s="19">
        <v>7.74</v>
      </c>
      <c r="R217" s="8">
        <f t="shared" ref="R217:R218" si="651">(Q217/100000)*E217</f>
        <v>146.2278726</v>
      </c>
      <c r="S217" s="19">
        <v>46.29</v>
      </c>
      <c r="T217" s="11">
        <f t="shared" ref="T217:T218" si="652">(S217/100000)*E217</f>
        <v>874.5333621</v>
      </c>
      <c r="U217" s="14">
        <f t="shared" si="643"/>
        <v>4.8594267</v>
      </c>
      <c r="V217" s="14">
        <f t="shared" si="644"/>
        <v>2.1285774</v>
      </c>
      <c r="W217" s="14">
        <f t="shared" si="645"/>
        <v>12.7302129</v>
      </c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>
      <c r="A218" s="7" t="s">
        <v>23</v>
      </c>
      <c r="B218" s="16" t="s">
        <v>83</v>
      </c>
      <c r="C218" s="20">
        <v>2021.0</v>
      </c>
      <c r="D218" s="17">
        <f>688049.5+767039.5</f>
        <v>1455089</v>
      </c>
      <c r="E218" s="18">
        <v>9.8935098E7</v>
      </c>
      <c r="F218" s="19">
        <v>1.32</v>
      </c>
      <c r="G218" s="10">
        <f t="shared" si="1"/>
        <v>1305.943294</v>
      </c>
      <c r="H218" s="19">
        <v>0.97</v>
      </c>
      <c r="I218" s="8">
        <f t="shared" si="2"/>
        <v>959.6704506</v>
      </c>
      <c r="J218" s="19">
        <v>1.7</v>
      </c>
      <c r="K218" s="11">
        <f t="shared" si="3"/>
        <v>1681.896666</v>
      </c>
      <c r="L218" s="11">
        <f t="shared" si="13"/>
        <v>89.75006296</v>
      </c>
      <c r="M218" s="12">
        <f>(I218/D218)*100000</f>
        <v>65.95269778</v>
      </c>
      <c r="N218" s="11">
        <f>(K218/D218)*100000</f>
        <v>115.5872023</v>
      </c>
      <c r="O218" s="19">
        <v>1.92</v>
      </c>
      <c r="P218" s="8">
        <f t="shared" si="650"/>
        <v>1899.553882</v>
      </c>
      <c r="Q218" s="19">
        <v>1.23</v>
      </c>
      <c r="R218" s="8">
        <f t="shared" si="651"/>
        <v>1216.901705</v>
      </c>
      <c r="S218" s="19">
        <v>2.95</v>
      </c>
      <c r="T218" s="11">
        <f t="shared" si="652"/>
        <v>2918.585391</v>
      </c>
      <c r="U218" s="11">
        <f>(P218/D218)*100000</f>
        <v>130.5455461</v>
      </c>
      <c r="V218" s="11">
        <f>(R218/D218)*100000</f>
        <v>83.63074048</v>
      </c>
      <c r="W218" s="11">
        <f>(T218/D218)*100000</f>
        <v>200.5777922</v>
      </c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hidden="1">
      <c r="A219" s="7" t="s">
        <v>25</v>
      </c>
      <c r="B219" s="16" t="s">
        <v>83</v>
      </c>
      <c r="C219" s="23">
        <v>2030.0</v>
      </c>
      <c r="D219" s="17">
        <f>603734+655970</f>
        <v>1259704</v>
      </c>
      <c r="E219" s="10">
        <v>1.04254902E8</v>
      </c>
      <c r="F219" s="19">
        <v>1.32</v>
      </c>
      <c r="G219" s="10">
        <f t="shared" si="1"/>
        <v>1376.164706</v>
      </c>
      <c r="H219" s="19">
        <v>0.97</v>
      </c>
      <c r="I219" s="8">
        <f t="shared" si="2"/>
        <v>1011.272549</v>
      </c>
      <c r="J219" s="19">
        <v>1.7</v>
      </c>
      <c r="K219" s="11">
        <f t="shared" si="3"/>
        <v>1772.333334</v>
      </c>
      <c r="L219" s="11">
        <f t="shared" si="13"/>
        <v>109.2450851</v>
      </c>
      <c r="M219" s="11">
        <f t="shared" ref="M219:M221" si="653">(I219*D219)/100000</f>
        <v>12739.04076</v>
      </c>
      <c r="N219" s="11">
        <f t="shared" ref="N219:N221" si="654">(K219*D219)/100000</f>
        <v>22326.1539</v>
      </c>
      <c r="O219" s="19">
        <v>1.92</v>
      </c>
      <c r="P219" s="19"/>
      <c r="Q219" s="19">
        <v>1.23</v>
      </c>
      <c r="R219" s="19"/>
      <c r="S219" s="19">
        <v>2.95</v>
      </c>
      <c r="T219" s="14"/>
      <c r="U219" s="14">
        <f t="shared" ref="U219:U221" si="655">(O219*D219)/100000</f>
        <v>24.1863168</v>
      </c>
      <c r="V219" s="14">
        <f t="shared" ref="V219:V221" si="656">(Q219*D219)/100000</f>
        <v>15.4943592</v>
      </c>
      <c r="W219" s="14">
        <f t="shared" ref="W219:W221" si="657">(S219*D219)/100000</f>
        <v>37.161268</v>
      </c>
      <c r="X219" s="13"/>
      <c r="Y219" s="13"/>
      <c r="Z219" s="13" t="str">
        <f t="shared" ref="Z219:Z220" si="658">ROUND(F219, 0) &amp; " (" &amp; ROUND(H219, 0) &amp; "-" &amp; ROUND(J219, 0) &amp; ")"</f>
        <v>1 (1-2)</v>
      </c>
      <c r="AA219" s="13" t="str">
        <f t="shared" ref="AA219:AA220" si="659">ROUND(L219, 0) &amp; " (" &amp; ROUND(M219, 0) &amp; "-" &amp; ROUND(N219, 0) &amp; ")"</f>
        <v>109 (12739-22326)</v>
      </c>
      <c r="AB219" s="13" t="str">
        <f t="shared" ref="AB219:AB220" si="660">ROUND(O219, 0) &amp; " (" &amp; ROUND(Q219, 0) &amp; "-" &amp; ROUND(S219, 0) &amp; ")"</f>
        <v>2 (1-3)</v>
      </c>
      <c r="AC219" s="13" t="str">
        <f t="shared" ref="AC219:AC220" si="661">ROUND(U219, 0) &amp; " (" &amp; ROUND(V219, 0) &amp; "-" &amp; ROUND(W219, 0) &amp; ")"</f>
        <v>24 (15-37)</v>
      </c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hidden="1">
      <c r="A220" s="7" t="s">
        <v>27</v>
      </c>
      <c r="B220" s="16" t="s">
        <v>83</v>
      </c>
      <c r="C220" s="23">
        <v>2040.0</v>
      </c>
      <c r="D220" s="17">
        <f>629160+672377</f>
        <v>1301537</v>
      </c>
      <c r="E220" s="10">
        <v>1.08437635E8</v>
      </c>
      <c r="F220" s="19">
        <v>1.32</v>
      </c>
      <c r="G220" s="10">
        <f t="shared" si="1"/>
        <v>1431.376782</v>
      </c>
      <c r="H220" s="19">
        <v>0.97</v>
      </c>
      <c r="I220" s="8">
        <f t="shared" si="2"/>
        <v>1051.84506</v>
      </c>
      <c r="J220" s="19">
        <v>1.7</v>
      </c>
      <c r="K220" s="11">
        <f t="shared" si="3"/>
        <v>1843.439795</v>
      </c>
      <c r="L220" s="11">
        <f t="shared" si="13"/>
        <v>109.975881</v>
      </c>
      <c r="M220" s="11">
        <f t="shared" si="653"/>
        <v>13690.15263</v>
      </c>
      <c r="N220" s="11">
        <f t="shared" si="654"/>
        <v>23993.051</v>
      </c>
      <c r="O220" s="19">
        <v>1.92</v>
      </c>
      <c r="P220" s="19"/>
      <c r="Q220" s="19">
        <v>1.23</v>
      </c>
      <c r="R220" s="19"/>
      <c r="S220" s="19">
        <v>2.95</v>
      </c>
      <c r="T220" s="14"/>
      <c r="U220" s="14">
        <f t="shared" si="655"/>
        <v>24.9895104</v>
      </c>
      <c r="V220" s="14">
        <f t="shared" si="656"/>
        <v>16.0089051</v>
      </c>
      <c r="W220" s="14">
        <f t="shared" si="657"/>
        <v>38.3953415</v>
      </c>
      <c r="X220" s="13"/>
      <c r="Y220" s="13"/>
      <c r="Z220" s="13" t="str">
        <f t="shared" si="658"/>
        <v>1 (1-2)</v>
      </c>
      <c r="AA220" s="13" t="str">
        <f t="shared" si="659"/>
        <v>110 (13690-23993)</v>
      </c>
      <c r="AB220" s="13" t="str">
        <f t="shared" si="660"/>
        <v>2 (1-3)</v>
      </c>
      <c r="AC220" s="13" t="str">
        <f t="shared" si="661"/>
        <v>25 (16-38)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hidden="1">
      <c r="A221" s="7" t="s">
        <v>29</v>
      </c>
      <c r="B221" s="16" t="s">
        <v>83</v>
      </c>
      <c r="C221" s="23">
        <v>2050.0</v>
      </c>
      <c r="D221" s="17">
        <f>555770+591137</f>
        <v>1146907</v>
      </c>
      <c r="E221" s="10">
        <v>1.10008908E8</v>
      </c>
      <c r="F221" s="19">
        <v>1.32</v>
      </c>
      <c r="G221" s="10">
        <f t="shared" si="1"/>
        <v>1452.117586</v>
      </c>
      <c r="H221" s="19">
        <v>0.97</v>
      </c>
      <c r="I221" s="8">
        <f t="shared" si="2"/>
        <v>1067.086408</v>
      </c>
      <c r="J221" s="19">
        <v>1.7</v>
      </c>
      <c r="K221" s="11">
        <f t="shared" si="3"/>
        <v>1870.151436</v>
      </c>
      <c r="L221" s="11">
        <f t="shared" si="13"/>
        <v>126.6116246</v>
      </c>
      <c r="M221" s="11">
        <f t="shared" si="653"/>
        <v>12238.4887</v>
      </c>
      <c r="N221" s="11">
        <f t="shared" si="654"/>
        <v>21448.89773</v>
      </c>
      <c r="O221" s="19">
        <v>1.92</v>
      </c>
      <c r="P221" s="8">
        <f t="shared" ref="P221:P222" si="662">(O221/100000)*E221</f>
        <v>2112.171034</v>
      </c>
      <c r="Q221" s="19">
        <v>1.23</v>
      </c>
      <c r="R221" s="8">
        <f t="shared" ref="R221:R222" si="663">(Q221/100000)*E221</f>
        <v>1353.109568</v>
      </c>
      <c r="S221" s="19">
        <v>2.95</v>
      </c>
      <c r="T221" s="11">
        <f t="shared" ref="T221:T222" si="664">(S221/100000)*E221</f>
        <v>3245.262786</v>
      </c>
      <c r="U221" s="14">
        <f t="shared" si="655"/>
        <v>22.0206144</v>
      </c>
      <c r="V221" s="14">
        <f t="shared" si="656"/>
        <v>14.1069561</v>
      </c>
      <c r="W221" s="14">
        <f t="shared" si="657"/>
        <v>33.8337565</v>
      </c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>
      <c r="A222" s="7" t="s">
        <v>23</v>
      </c>
      <c r="B222" s="16" t="s">
        <v>84</v>
      </c>
      <c r="C222" s="20">
        <v>2021.0</v>
      </c>
      <c r="D222" s="17">
        <f>628870+639937</f>
        <v>1268807</v>
      </c>
      <c r="E222" s="18">
        <v>3.4532429E7</v>
      </c>
      <c r="F222" s="19">
        <v>4.38</v>
      </c>
      <c r="G222" s="10">
        <f t="shared" si="1"/>
        <v>1512.52039</v>
      </c>
      <c r="H222" s="19">
        <v>3.01</v>
      </c>
      <c r="I222" s="8">
        <f t="shared" si="2"/>
        <v>1039.426113</v>
      </c>
      <c r="J222" s="19">
        <v>5.96</v>
      </c>
      <c r="K222" s="11">
        <f t="shared" si="3"/>
        <v>2058.132768</v>
      </c>
      <c r="L222" s="11">
        <f t="shared" si="13"/>
        <v>119.2080742</v>
      </c>
      <c r="M222" s="12">
        <f>(I222/D222)*100000</f>
        <v>81.92153045</v>
      </c>
      <c r="N222" s="11">
        <f>(K222/D222)*100000</f>
        <v>162.2100736</v>
      </c>
      <c r="O222" s="19">
        <v>7.2</v>
      </c>
      <c r="P222" s="8">
        <f t="shared" si="662"/>
        <v>2486.334888</v>
      </c>
      <c r="Q222" s="19">
        <v>3.15</v>
      </c>
      <c r="R222" s="8">
        <f t="shared" si="663"/>
        <v>1087.771514</v>
      </c>
      <c r="S222" s="19">
        <v>16.83</v>
      </c>
      <c r="T222" s="11">
        <f t="shared" si="664"/>
        <v>5811.807801</v>
      </c>
      <c r="U222" s="11">
        <f>(P222/D222)*100000</f>
        <v>195.9584782</v>
      </c>
      <c r="V222" s="11">
        <f>(R222/D222)*100000</f>
        <v>85.7318342</v>
      </c>
      <c r="W222" s="11">
        <f>(T222/D222)*100000</f>
        <v>458.0529427</v>
      </c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hidden="1">
      <c r="A223" s="7" t="s">
        <v>25</v>
      </c>
      <c r="B223" s="16" t="s">
        <v>84</v>
      </c>
      <c r="C223" s="23">
        <v>2030.0</v>
      </c>
      <c r="D223" s="17">
        <f>745835+759795</f>
        <v>1505630</v>
      </c>
      <c r="E223" s="10">
        <v>4.5160458E7</v>
      </c>
      <c r="F223" s="19">
        <v>4.38</v>
      </c>
      <c r="G223" s="10">
        <f t="shared" si="1"/>
        <v>1978.02806</v>
      </c>
      <c r="H223" s="19">
        <v>3.01</v>
      </c>
      <c r="I223" s="8">
        <f t="shared" si="2"/>
        <v>1359.329786</v>
      </c>
      <c r="J223" s="19">
        <v>5.96</v>
      </c>
      <c r="K223" s="11">
        <f t="shared" si="3"/>
        <v>2691.563297</v>
      </c>
      <c r="L223" s="11">
        <f t="shared" si="13"/>
        <v>131.3754415</v>
      </c>
      <c r="M223" s="11">
        <f t="shared" ref="M223:M225" si="665">(I223*D223)/100000</f>
        <v>20466.47705</v>
      </c>
      <c r="N223" s="11">
        <f t="shared" ref="N223:N225" si="666">(K223*D223)/100000</f>
        <v>40524.98447</v>
      </c>
      <c r="O223" s="19">
        <v>7.2</v>
      </c>
      <c r="P223" s="19"/>
      <c r="Q223" s="19">
        <v>3.15</v>
      </c>
      <c r="R223" s="19"/>
      <c r="S223" s="19">
        <v>16.83</v>
      </c>
      <c r="T223" s="14"/>
      <c r="U223" s="14">
        <f t="shared" ref="U223:U225" si="667">(O223*D223)/100000</f>
        <v>108.40536</v>
      </c>
      <c r="V223" s="14">
        <f t="shared" ref="V223:V225" si="668">(Q223*D223)/100000</f>
        <v>47.427345</v>
      </c>
      <c r="W223" s="14">
        <f t="shared" ref="W223:W225" si="669">(S223*D223)/100000</f>
        <v>253.397529</v>
      </c>
      <c r="X223" s="13"/>
      <c r="Y223" s="13"/>
      <c r="Z223" s="13" t="str">
        <f t="shared" ref="Z223:Z224" si="670">ROUND(F223, 0) &amp; " (" &amp; ROUND(H223, 0) &amp; "-" &amp; ROUND(J223, 0) &amp; ")"</f>
        <v>4 (3-6)</v>
      </c>
      <c r="AA223" s="13" t="str">
        <f t="shared" ref="AA223:AA224" si="671">ROUND(L223, 0) &amp; " (" &amp; ROUND(M223, 0) &amp; "-" &amp; ROUND(N223, 0) &amp; ")"</f>
        <v>131 (20466-40525)</v>
      </c>
      <c r="AB223" s="13" t="str">
        <f t="shared" ref="AB223:AB224" si="672">ROUND(O223, 0) &amp; " (" &amp; ROUND(Q223, 0) &amp; "-" &amp; ROUND(S223, 0) &amp; ")"</f>
        <v>7 (3-17)</v>
      </c>
      <c r="AC223" s="13" t="str">
        <f t="shared" ref="AC223:AC224" si="673">ROUND(U223, 0) &amp; " (" &amp; ROUND(V223, 0) &amp; "-" &amp; ROUND(W223, 0) &amp; ")"</f>
        <v>108 (47-253)</v>
      </c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hidden="1">
      <c r="A224" s="7" t="s">
        <v>27</v>
      </c>
      <c r="B224" s="16" t="s">
        <v>84</v>
      </c>
      <c r="C224" s="23">
        <v>2040.0</v>
      </c>
      <c r="D224" s="17">
        <f>868538+884778</f>
        <v>1753316</v>
      </c>
      <c r="E224" s="10">
        <v>5.8965321E7</v>
      </c>
      <c r="F224" s="19">
        <v>4.38</v>
      </c>
      <c r="G224" s="10">
        <f t="shared" si="1"/>
        <v>2582.68106</v>
      </c>
      <c r="H224" s="19">
        <v>3.01</v>
      </c>
      <c r="I224" s="8">
        <f t="shared" si="2"/>
        <v>1774.856162</v>
      </c>
      <c r="J224" s="19">
        <v>5.96</v>
      </c>
      <c r="K224" s="11">
        <f t="shared" si="3"/>
        <v>3514.333132</v>
      </c>
      <c r="L224" s="11">
        <f t="shared" si="13"/>
        <v>147.3026574</v>
      </c>
      <c r="M224" s="11">
        <f t="shared" si="665"/>
        <v>31118.83707</v>
      </c>
      <c r="N224" s="11">
        <f t="shared" si="666"/>
        <v>61617.36509</v>
      </c>
      <c r="O224" s="19">
        <v>7.2</v>
      </c>
      <c r="P224" s="19"/>
      <c r="Q224" s="19">
        <v>3.15</v>
      </c>
      <c r="R224" s="19"/>
      <c r="S224" s="19">
        <v>16.83</v>
      </c>
      <c r="T224" s="14"/>
      <c r="U224" s="14">
        <f t="shared" si="667"/>
        <v>126.238752</v>
      </c>
      <c r="V224" s="14">
        <f t="shared" si="668"/>
        <v>55.229454</v>
      </c>
      <c r="W224" s="14">
        <f t="shared" si="669"/>
        <v>295.0830828</v>
      </c>
      <c r="X224" s="13"/>
      <c r="Y224" s="13"/>
      <c r="Z224" s="13" t="str">
        <f t="shared" si="670"/>
        <v>4 (3-6)</v>
      </c>
      <c r="AA224" s="13" t="str">
        <f t="shared" si="671"/>
        <v>147 (31119-61617)</v>
      </c>
      <c r="AB224" s="13" t="str">
        <f t="shared" si="672"/>
        <v>7 (3-17)</v>
      </c>
      <c r="AC224" s="13" t="str">
        <f t="shared" si="673"/>
        <v>126 (55-295)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hidden="1">
      <c r="A225" s="7" t="s">
        <v>29</v>
      </c>
      <c r="B225" s="16" t="s">
        <v>84</v>
      </c>
      <c r="C225" s="23">
        <v>2050.0</v>
      </c>
      <c r="D225" s="17">
        <f>965453+983107</f>
        <v>1948560</v>
      </c>
      <c r="E225" s="10">
        <v>7.4295394E7</v>
      </c>
      <c r="F225" s="19">
        <v>4.38</v>
      </c>
      <c r="G225" s="10">
        <f t="shared" si="1"/>
        <v>3254.138257</v>
      </c>
      <c r="H225" s="19">
        <v>3.01</v>
      </c>
      <c r="I225" s="8">
        <f t="shared" si="2"/>
        <v>2236.291359</v>
      </c>
      <c r="J225" s="19">
        <v>5.96</v>
      </c>
      <c r="K225" s="11">
        <f t="shared" si="3"/>
        <v>4428.005482</v>
      </c>
      <c r="L225" s="11">
        <f t="shared" si="13"/>
        <v>167.0022097</v>
      </c>
      <c r="M225" s="11">
        <f t="shared" si="665"/>
        <v>43575.47891</v>
      </c>
      <c r="N225" s="11">
        <f t="shared" si="666"/>
        <v>86282.34363</v>
      </c>
      <c r="O225" s="19">
        <v>7.2</v>
      </c>
      <c r="P225" s="8">
        <f t="shared" ref="P225:P226" si="674">(O225/100000)*E225</f>
        <v>5349.268368</v>
      </c>
      <c r="Q225" s="19">
        <v>3.15</v>
      </c>
      <c r="R225" s="8">
        <f t="shared" ref="R225:R226" si="675">(Q225/100000)*E225</f>
        <v>2340.304911</v>
      </c>
      <c r="S225" s="19">
        <v>16.83</v>
      </c>
      <c r="T225" s="11">
        <f t="shared" ref="T225:T226" si="676">(S225/100000)*E225</f>
        <v>12503.91481</v>
      </c>
      <c r="U225" s="14">
        <f t="shared" si="667"/>
        <v>140.29632</v>
      </c>
      <c r="V225" s="14">
        <f t="shared" si="668"/>
        <v>61.37964</v>
      </c>
      <c r="W225" s="14">
        <f t="shared" si="669"/>
        <v>327.942648</v>
      </c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>
      <c r="A226" s="7" t="s">
        <v>23</v>
      </c>
      <c r="B226" s="16" t="s">
        <v>85</v>
      </c>
      <c r="C226" s="20">
        <v>2021.0</v>
      </c>
      <c r="D226" s="17">
        <f>105088+107267.5</f>
        <v>212355.5</v>
      </c>
      <c r="E226" s="18">
        <v>5112100.0</v>
      </c>
      <c r="F226" s="19">
        <v>3.7</v>
      </c>
      <c r="G226" s="10">
        <f t="shared" si="1"/>
        <v>189.1477</v>
      </c>
      <c r="H226" s="19">
        <v>2.62</v>
      </c>
      <c r="I226" s="8">
        <f t="shared" si="2"/>
        <v>133.93702</v>
      </c>
      <c r="J226" s="19">
        <v>5.01</v>
      </c>
      <c r="K226" s="11">
        <f t="shared" si="3"/>
        <v>256.11621</v>
      </c>
      <c r="L226" s="11">
        <f t="shared" si="13"/>
        <v>89.0712508</v>
      </c>
      <c r="M226" s="12">
        <f>(I226/D226)*100000</f>
        <v>63.07207489</v>
      </c>
      <c r="N226" s="11">
        <f>(K226/D226)*100000</f>
        <v>120.6072883</v>
      </c>
      <c r="O226" s="19">
        <v>13.4</v>
      </c>
      <c r="P226" s="8">
        <f t="shared" si="674"/>
        <v>685.0214</v>
      </c>
      <c r="Q226" s="19">
        <v>3.36</v>
      </c>
      <c r="R226" s="8">
        <f t="shared" si="675"/>
        <v>171.76656</v>
      </c>
      <c r="S226" s="19">
        <v>45.94</v>
      </c>
      <c r="T226" s="11">
        <f t="shared" si="676"/>
        <v>2348.49874</v>
      </c>
      <c r="U226" s="11">
        <f>(P226/D226)*100000</f>
        <v>322.5823678</v>
      </c>
      <c r="V226" s="11">
        <f>(R226/D226)*100000</f>
        <v>80.88632505</v>
      </c>
      <c r="W226" s="11">
        <f>(T226/D226)*100000</f>
        <v>1105.927909</v>
      </c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hidden="1">
      <c r="A227" s="7" t="s">
        <v>25</v>
      </c>
      <c r="B227" s="16" t="s">
        <v>85</v>
      </c>
      <c r="C227" s="23">
        <v>2030.0</v>
      </c>
      <c r="D227" s="17">
        <f>127994+130904</f>
        <v>258898</v>
      </c>
      <c r="E227" s="10">
        <v>6478245.0</v>
      </c>
      <c r="F227" s="19">
        <v>3.7</v>
      </c>
      <c r="G227" s="10">
        <f t="shared" si="1"/>
        <v>239.695065</v>
      </c>
      <c r="H227" s="19">
        <v>2.62</v>
      </c>
      <c r="I227" s="8">
        <f t="shared" si="2"/>
        <v>169.730019</v>
      </c>
      <c r="J227" s="19">
        <v>5.01</v>
      </c>
      <c r="K227" s="11">
        <f t="shared" si="3"/>
        <v>324.5600745</v>
      </c>
      <c r="L227" s="11">
        <f t="shared" si="13"/>
        <v>92.58281833</v>
      </c>
      <c r="M227" s="11">
        <f t="shared" ref="M227:M229" si="677">(I227*D227)/100000</f>
        <v>439.4276246</v>
      </c>
      <c r="N227" s="11">
        <f t="shared" ref="N227:N229" si="678">(K227*D227)/100000</f>
        <v>840.2795417</v>
      </c>
      <c r="O227" s="19">
        <v>13.4</v>
      </c>
      <c r="P227" s="19"/>
      <c r="Q227" s="19">
        <v>3.36</v>
      </c>
      <c r="R227" s="19"/>
      <c r="S227" s="19">
        <v>45.94</v>
      </c>
      <c r="T227" s="14"/>
      <c r="U227" s="14">
        <f t="shared" ref="U227:U229" si="679">(O227*D227)/100000</f>
        <v>34.692332</v>
      </c>
      <c r="V227" s="14">
        <f t="shared" ref="V227:V229" si="680">(Q227*D227)/100000</f>
        <v>8.6989728</v>
      </c>
      <c r="W227" s="14">
        <f t="shared" ref="W227:W229" si="681">(S227*D227)/100000</f>
        <v>118.9377412</v>
      </c>
      <c r="X227" s="13"/>
      <c r="Y227" s="13"/>
      <c r="Z227" s="13" t="str">
        <f t="shared" ref="Z227:Z228" si="682">ROUND(F227, 0) &amp; " (" &amp; ROUND(H227, 0) &amp; "-" &amp; ROUND(J227, 0) &amp; ")"</f>
        <v>4 (3-5)</v>
      </c>
      <c r="AA227" s="13" t="str">
        <f t="shared" ref="AA227:AA228" si="683">ROUND(L227, 0) &amp; " (" &amp; ROUND(M227, 0) &amp; "-" &amp; ROUND(N227, 0) &amp; ")"</f>
        <v>93 (439-840)</v>
      </c>
      <c r="AB227" s="13" t="str">
        <f t="shared" ref="AB227:AB228" si="684">ROUND(O227, 0) &amp; " (" &amp; ROUND(Q227, 0) &amp; "-" &amp; ROUND(S227, 0) &amp; ")"</f>
        <v>13 (3-46)</v>
      </c>
      <c r="AC227" s="13" t="str">
        <f t="shared" ref="AC227:AC228" si="685">ROUND(U227, 0) &amp; " (" &amp; ROUND(V227, 0) &amp; "-" &amp; ROUND(W227, 0) &amp; ")"</f>
        <v>35 (9-119)</v>
      </c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hidden="1">
      <c r="A228" s="7" t="s">
        <v>27</v>
      </c>
      <c r="B228" s="16" t="s">
        <v>85</v>
      </c>
      <c r="C228" s="23">
        <v>2040.0</v>
      </c>
      <c r="D228" s="17">
        <f>135262+138329</f>
        <v>273591</v>
      </c>
      <c r="E228" s="10">
        <v>8526455.0</v>
      </c>
      <c r="F228" s="19">
        <v>3.7</v>
      </c>
      <c r="G228" s="10">
        <f t="shared" si="1"/>
        <v>315.478835</v>
      </c>
      <c r="H228" s="19">
        <v>2.62</v>
      </c>
      <c r="I228" s="8">
        <f t="shared" si="2"/>
        <v>223.393121</v>
      </c>
      <c r="J228" s="19">
        <v>5.01</v>
      </c>
      <c r="K228" s="11">
        <f t="shared" si="3"/>
        <v>427.1753955</v>
      </c>
      <c r="L228" s="11">
        <f t="shared" si="13"/>
        <v>115.3103848</v>
      </c>
      <c r="M228" s="11">
        <f t="shared" si="677"/>
        <v>611.1834737</v>
      </c>
      <c r="N228" s="11">
        <f t="shared" si="678"/>
        <v>1168.713436</v>
      </c>
      <c r="O228" s="19">
        <v>13.4</v>
      </c>
      <c r="P228" s="19"/>
      <c r="Q228" s="19">
        <v>3.36</v>
      </c>
      <c r="R228" s="19"/>
      <c r="S228" s="19">
        <v>45.94</v>
      </c>
      <c r="T228" s="14"/>
      <c r="U228" s="14">
        <f t="shared" si="679"/>
        <v>36.661194</v>
      </c>
      <c r="V228" s="14">
        <f t="shared" si="680"/>
        <v>9.1926576</v>
      </c>
      <c r="W228" s="14">
        <f t="shared" si="681"/>
        <v>125.6877054</v>
      </c>
      <c r="X228" s="13"/>
      <c r="Y228" s="13"/>
      <c r="Z228" s="13" t="str">
        <f t="shared" si="682"/>
        <v>4 (3-5)</v>
      </c>
      <c r="AA228" s="13" t="str">
        <f t="shared" si="683"/>
        <v>115 (611-1169)</v>
      </c>
      <c r="AB228" s="13" t="str">
        <f t="shared" si="684"/>
        <v>13 (3-46)</v>
      </c>
      <c r="AC228" s="13" t="str">
        <f t="shared" si="685"/>
        <v>37 (9-126)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hidden="1">
      <c r="A229" s="7" t="s">
        <v>29</v>
      </c>
      <c r="B229" s="16" t="s">
        <v>85</v>
      </c>
      <c r="C229" s="23">
        <v>2050.0</v>
      </c>
      <c r="D229" s="17">
        <f>144435+147741</f>
        <v>292176</v>
      </c>
      <c r="E229" s="10">
        <v>1.0616753E7</v>
      </c>
      <c r="F229" s="19">
        <v>3.7</v>
      </c>
      <c r="G229" s="10">
        <f t="shared" si="1"/>
        <v>392.819861</v>
      </c>
      <c r="H229" s="19">
        <v>2.62</v>
      </c>
      <c r="I229" s="8">
        <f t="shared" si="2"/>
        <v>278.1589286</v>
      </c>
      <c r="J229" s="19">
        <v>5.01</v>
      </c>
      <c r="K229" s="11">
        <f t="shared" si="3"/>
        <v>531.8993253</v>
      </c>
      <c r="L229" s="11">
        <f t="shared" si="13"/>
        <v>134.4463135</v>
      </c>
      <c r="M229" s="11">
        <f t="shared" si="677"/>
        <v>812.7136312</v>
      </c>
      <c r="N229" s="11">
        <f t="shared" si="678"/>
        <v>1554.082173</v>
      </c>
      <c r="O229" s="19">
        <v>13.4</v>
      </c>
      <c r="P229" s="8">
        <f t="shared" ref="P229:P230" si="686">(O229/100000)*E229</f>
        <v>1422.644902</v>
      </c>
      <c r="Q229" s="19">
        <v>3.36</v>
      </c>
      <c r="R229" s="8">
        <f t="shared" ref="R229:R230" si="687">(Q229/100000)*E229</f>
        <v>356.7229008</v>
      </c>
      <c r="S229" s="19">
        <v>45.94</v>
      </c>
      <c r="T229" s="11">
        <f t="shared" ref="T229:T230" si="688">(S229/100000)*E229</f>
        <v>4877.336328</v>
      </c>
      <c r="U229" s="14">
        <f t="shared" si="679"/>
        <v>39.151584</v>
      </c>
      <c r="V229" s="14">
        <f t="shared" si="680"/>
        <v>9.8171136</v>
      </c>
      <c r="W229" s="14">
        <f t="shared" si="681"/>
        <v>134.2256544</v>
      </c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>
      <c r="A230" s="7" t="s">
        <v>23</v>
      </c>
      <c r="B230" s="16" t="s">
        <v>86</v>
      </c>
      <c r="C230" s="20">
        <v>2021.0</v>
      </c>
      <c r="D230" s="17">
        <f>88534+90259</f>
        <v>178793</v>
      </c>
      <c r="E230" s="18">
        <v>5892183.0</v>
      </c>
      <c r="F230" s="19">
        <v>2.44</v>
      </c>
      <c r="G230" s="10">
        <f t="shared" si="1"/>
        <v>143.7692652</v>
      </c>
      <c r="H230" s="19">
        <v>1.66</v>
      </c>
      <c r="I230" s="8">
        <f t="shared" si="2"/>
        <v>97.8102378</v>
      </c>
      <c r="J230" s="19">
        <v>3.3</v>
      </c>
      <c r="K230" s="11">
        <f t="shared" si="3"/>
        <v>194.442039</v>
      </c>
      <c r="L230" s="11">
        <f t="shared" si="13"/>
        <v>80.41101453</v>
      </c>
      <c r="M230" s="12">
        <f>(I230/D230)*100000</f>
        <v>54.70585414</v>
      </c>
      <c r="N230" s="11">
        <f>(K230/D230)*100000</f>
        <v>108.7526016</v>
      </c>
      <c r="O230" s="19">
        <v>3.83</v>
      </c>
      <c r="P230" s="8">
        <f t="shared" si="686"/>
        <v>225.6706089</v>
      </c>
      <c r="Q230" s="19">
        <v>2.1</v>
      </c>
      <c r="R230" s="8">
        <f t="shared" si="687"/>
        <v>123.735843</v>
      </c>
      <c r="S230" s="19">
        <v>7.37</v>
      </c>
      <c r="T230" s="11">
        <f t="shared" si="688"/>
        <v>434.2538871</v>
      </c>
      <c r="U230" s="11">
        <f>(P230/D230)*100000</f>
        <v>126.2189285</v>
      </c>
      <c r="V230" s="11">
        <f>(R230/D230)*100000</f>
        <v>69.20620103</v>
      </c>
      <c r="W230" s="11">
        <f>(T230/D230)*100000</f>
        <v>242.8808103</v>
      </c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hidden="1">
      <c r="A231" s="7" t="s">
        <v>25</v>
      </c>
      <c r="B231" s="16" t="s">
        <v>86</v>
      </c>
      <c r="C231" s="23">
        <v>2030.0</v>
      </c>
      <c r="D231" s="17">
        <f>102661+104693</f>
        <v>207354</v>
      </c>
      <c r="E231" s="10">
        <v>7282266.0</v>
      </c>
      <c r="F231" s="19">
        <v>2.44</v>
      </c>
      <c r="G231" s="10">
        <f t="shared" si="1"/>
        <v>177.6872904</v>
      </c>
      <c r="H231" s="19">
        <v>1.66</v>
      </c>
      <c r="I231" s="8">
        <f t="shared" si="2"/>
        <v>120.8856156</v>
      </c>
      <c r="J231" s="19">
        <v>3.3</v>
      </c>
      <c r="K231" s="11">
        <f t="shared" si="3"/>
        <v>240.314778</v>
      </c>
      <c r="L231" s="11">
        <f t="shared" si="13"/>
        <v>85.69272375</v>
      </c>
      <c r="M231" s="11">
        <f t="shared" ref="M231:M233" si="689">(I231*D231)/100000</f>
        <v>250.6611594</v>
      </c>
      <c r="N231" s="11">
        <f t="shared" ref="N231:N233" si="690">(K231*D231)/100000</f>
        <v>498.3023048</v>
      </c>
      <c r="O231" s="19">
        <v>3.83</v>
      </c>
      <c r="P231" s="19"/>
      <c r="Q231" s="19">
        <v>2.1</v>
      </c>
      <c r="R231" s="19"/>
      <c r="S231" s="19">
        <v>7.37</v>
      </c>
      <c r="T231" s="14"/>
      <c r="U231" s="14">
        <f t="shared" ref="U231:U233" si="691">(O231*D231)/100000</f>
        <v>7.9416582</v>
      </c>
      <c r="V231" s="14">
        <f t="shared" ref="V231:V233" si="692">(Q231*D231)/100000</f>
        <v>4.354434</v>
      </c>
      <c r="W231" s="14">
        <f t="shared" ref="W231:W233" si="693">(S231*D231)/100000</f>
        <v>15.2819898</v>
      </c>
      <c r="X231" s="13"/>
      <c r="Y231" s="13"/>
      <c r="Z231" s="13" t="str">
        <f t="shared" ref="Z231:Z232" si="694">ROUND(F231, 0) &amp; " (" &amp; ROUND(H231, 0) &amp; "-" &amp; ROUND(J231, 0) &amp; ")"</f>
        <v>2 (2-3)</v>
      </c>
      <c r="AA231" s="13" t="str">
        <f t="shared" ref="AA231:AA232" si="695">ROUND(L231, 0) &amp; " (" &amp; ROUND(M231, 0) &amp; "-" &amp; ROUND(N231, 0) &amp; ")"</f>
        <v>86 (251-498)</v>
      </c>
      <c r="AB231" s="13" t="str">
        <f t="shared" ref="AB231:AB232" si="696">ROUND(O231, 0) &amp; " (" &amp; ROUND(Q231, 0) &amp; "-" &amp; ROUND(S231, 0) &amp; ")"</f>
        <v>4 (2-7)</v>
      </c>
      <c r="AC231" s="13" t="str">
        <f t="shared" ref="AC231:AC232" si="697">ROUND(U231, 0) &amp; " (" &amp; ROUND(V231, 0) &amp; "-" &amp; ROUND(W231, 0) &amp; ")"</f>
        <v>8 (4-15)</v>
      </c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hidden="1">
      <c r="A232" s="7" t="s">
        <v>27</v>
      </c>
      <c r="B232" s="16" t="s">
        <v>86</v>
      </c>
      <c r="C232" s="23">
        <v>2040.0</v>
      </c>
      <c r="D232" s="17">
        <f>118693+121000</f>
        <v>239693</v>
      </c>
      <c r="E232" s="10">
        <v>9083971.0</v>
      </c>
      <c r="F232" s="19">
        <v>2.44</v>
      </c>
      <c r="G232" s="10">
        <f t="shared" si="1"/>
        <v>221.6488924</v>
      </c>
      <c r="H232" s="19">
        <v>1.66</v>
      </c>
      <c r="I232" s="8">
        <f t="shared" si="2"/>
        <v>150.7939186</v>
      </c>
      <c r="J232" s="19">
        <v>3.3</v>
      </c>
      <c r="K232" s="11">
        <f t="shared" si="3"/>
        <v>299.771043</v>
      </c>
      <c r="L232" s="11">
        <f t="shared" si="13"/>
        <v>92.47199226</v>
      </c>
      <c r="M232" s="11">
        <f t="shared" si="689"/>
        <v>361.4424673</v>
      </c>
      <c r="N232" s="11">
        <f t="shared" si="690"/>
        <v>718.5302061</v>
      </c>
      <c r="O232" s="19">
        <v>3.83</v>
      </c>
      <c r="P232" s="19"/>
      <c r="Q232" s="19">
        <v>2.1</v>
      </c>
      <c r="R232" s="19"/>
      <c r="S232" s="19">
        <v>7.37</v>
      </c>
      <c r="T232" s="14"/>
      <c r="U232" s="14">
        <f t="shared" si="691"/>
        <v>9.1802419</v>
      </c>
      <c r="V232" s="14">
        <f t="shared" si="692"/>
        <v>5.033553</v>
      </c>
      <c r="W232" s="14">
        <f t="shared" si="693"/>
        <v>17.6653741</v>
      </c>
      <c r="X232" s="13"/>
      <c r="Y232" s="13"/>
      <c r="Z232" s="13" t="str">
        <f t="shared" si="694"/>
        <v>2 (2-3)</v>
      </c>
      <c r="AA232" s="13" t="str">
        <f t="shared" si="695"/>
        <v>92 (361-719)</v>
      </c>
      <c r="AB232" s="13" t="str">
        <f t="shared" si="696"/>
        <v>4 (2-7)</v>
      </c>
      <c r="AC232" s="13" t="str">
        <f t="shared" si="697"/>
        <v>9 (5-18)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hidden="1">
      <c r="A233" s="7" t="s">
        <v>29</v>
      </c>
      <c r="B233" s="16" t="s">
        <v>86</v>
      </c>
      <c r="C233" s="23">
        <v>2050.0</v>
      </c>
      <c r="D233" s="17">
        <f>127799+130268</f>
        <v>258067</v>
      </c>
      <c r="E233" s="10">
        <v>1.1006471E7</v>
      </c>
      <c r="F233" s="19">
        <v>2.44</v>
      </c>
      <c r="G233" s="10">
        <f t="shared" si="1"/>
        <v>268.5578924</v>
      </c>
      <c r="H233" s="19">
        <v>1.66</v>
      </c>
      <c r="I233" s="8">
        <f t="shared" si="2"/>
        <v>182.7074186</v>
      </c>
      <c r="J233" s="19">
        <v>3.3</v>
      </c>
      <c r="K233" s="11">
        <f t="shared" si="3"/>
        <v>363.213543</v>
      </c>
      <c r="L233" s="11">
        <f t="shared" si="13"/>
        <v>104.0651817</v>
      </c>
      <c r="M233" s="11">
        <f t="shared" si="689"/>
        <v>471.507554</v>
      </c>
      <c r="N233" s="11">
        <f t="shared" si="690"/>
        <v>937.334294</v>
      </c>
      <c r="O233" s="19">
        <v>3.83</v>
      </c>
      <c r="P233" s="8">
        <f t="shared" ref="P233:P234" si="698">(O233/100000)*E233</f>
        <v>421.5478393</v>
      </c>
      <c r="Q233" s="19">
        <v>2.1</v>
      </c>
      <c r="R233" s="8">
        <f t="shared" ref="R233:R234" si="699">(Q233/100000)*E233</f>
        <v>231.135891</v>
      </c>
      <c r="S233" s="19">
        <v>7.37</v>
      </c>
      <c r="T233" s="11">
        <f t="shared" ref="T233:T234" si="700">(S233/100000)*E233</f>
        <v>811.1769127</v>
      </c>
      <c r="U233" s="14">
        <f t="shared" si="691"/>
        <v>9.8839661</v>
      </c>
      <c r="V233" s="14">
        <f t="shared" si="692"/>
        <v>5.419407</v>
      </c>
      <c r="W233" s="14">
        <f t="shared" si="693"/>
        <v>19.0195379</v>
      </c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>
      <c r="A234" s="7" t="s">
        <v>23</v>
      </c>
      <c r="B234" s="16" t="s">
        <v>87</v>
      </c>
      <c r="C234" s="20">
        <v>2021.0</v>
      </c>
      <c r="D234" s="17">
        <f>1951356+1979062</f>
        <v>3930418</v>
      </c>
      <c r="E234" s="18">
        <v>9.9148932E7</v>
      </c>
      <c r="F234" s="19">
        <v>2.9</v>
      </c>
      <c r="G234" s="10">
        <f t="shared" si="1"/>
        <v>2875.319028</v>
      </c>
      <c r="H234" s="19">
        <v>2.05</v>
      </c>
      <c r="I234" s="8">
        <f t="shared" si="2"/>
        <v>2032.553106</v>
      </c>
      <c r="J234" s="19">
        <v>3.93</v>
      </c>
      <c r="K234" s="11">
        <f t="shared" si="3"/>
        <v>3896.553028</v>
      </c>
      <c r="L234" s="11">
        <f t="shared" si="13"/>
        <v>73.15555312</v>
      </c>
      <c r="M234" s="12">
        <f>(I234/D234)*100000</f>
        <v>51.71340824</v>
      </c>
      <c r="N234" s="11">
        <f>(K234/D234)*100000</f>
        <v>99.13838751</v>
      </c>
      <c r="O234" s="19">
        <v>5.82</v>
      </c>
      <c r="P234" s="8">
        <f t="shared" si="698"/>
        <v>5770.467842</v>
      </c>
      <c r="Q234" s="19">
        <v>2.31</v>
      </c>
      <c r="R234" s="8">
        <f t="shared" si="699"/>
        <v>2290.340329</v>
      </c>
      <c r="S234" s="19">
        <v>18.66</v>
      </c>
      <c r="T234" s="11">
        <f t="shared" si="700"/>
        <v>18501.19071</v>
      </c>
      <c r="U234" s="11">
        <f>(P234/D234)*100000</f>
        <v>146.8156273</v>
      </c>
      <c r="V234" s="11">
        <f>(R234/D234)*100000</f>
        <v>58.27218197</v>
      </c>
      <c r="W234" s="11">
        <f>(T234/D234)*100000</f>
        <v>470.7181453</v>
      </c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hidden="1">
      <c r="A235" s="7" t="s">
        <v>25</v>
      </c>
      <c r="B235" s="16" t="s">
        <v>87</v>
      </c>
      <c r="C235" s="23">
        <v>2030.0</v>
      </c>
      <c r="D235" s="17">
        <f>2347532+2384281</f>
        <v>4731813</v>
      </c>
      <c r="E235" s="10">
        <v>1.31532201E8</v>
      </c>
      <c r="F235" s="19">
        <v>2.9</v>
      </c>
      <c r="G235" s="10">
        <f t="shared" si="1"/>
        <v>3814.433829</v>
      </c>
      <c r="H235" s="19">
        <v>2.05</v>
      </c>
      <c r="I235" s="8">
        <f t="shared" si="2"/>
        <v>2696.410121</v>
      </c>
      <c r="J235" s="19">
        <v>3.93</v>
      </c>
      <c r="K235" s="11">
        <f t="shared" si="3"/>
        <v>5169.215499</v>
      </c>
      <c r="L235" s="11">
        <f t="shared" si="13"/>
        <v>80.61252271</v>
      </c>
      <c r="M235" s="11">
        <f t="shared" ref="M235:M237" si="701">(I235*D235)/100000</f>
        <v>127589.0846</v>
      </c>
      <c r="N235" s="11">
        <f t="shared" ref="N235:N237" si="702">(K235*D235)/100000</f>
        <v>244597.611</v>
      </c>
      <c r="O235" s="19">
        <v>5.82</v>
      </c>
      <c r="P235" s="19"/>
      <c r="Q235" s="19">
        <v>2.31</v>
      </c>
      <c r="R235" s="19"/>
      <c r="S235" s="19">
        <v>18.66</v>
      </c>
      <c r="T235" s="14"/>
      <c r="U235" s="14">
        <f t="shared" ref="U235:U237" si="703">(O235*D235)/100000</f>
        <v>275.3915166</v>
      </c>
      <c r="V235" s="14">
        <f t="shared" ref="V235:V237" si="704">(Q235*D235)/100000</f>
        <v>109.3048803</v>
      </c>
      <c r="W235" s="14">
        <f t="shared" ref="W235:W237" si="705">(S235*D235)/100000</f>
        <v>882.9563058</v>
      </c>
      <c r="X235" s="13"/>
      <c r="Y235" s="13"/>
      <c r="Z235" s="13" t="str">
        <f t="shared" ref="Z235:Z236" si="706">ROUND(F235, 0) &amp; " (" &amp; ROUND(H235, 0) &amp; "-" &amp; ROUND(J235, 0) &amp; ")"</f>
        <v>3 (2-4)</v>
      </c>
      <c r="AA235" s="13" t="str">
        <f t="shared" ref="AA235:AA236" si="707">ROUND(L235, 0) &amp; " (" &amp; ROUND(M235, 0) &amp; "-" &amp; ROUND(N235, 0) &amp; ")"</f>
        <v>81 (127589-244598)</v>
      </c>
      <c r="AB235" s="13" t="str">
        <f t="shared" ref="AB235:AB236" si="708">ROUND(O235, 0) &amp; " (" &amp; ROUND(Q235, 0) &amp; "-" &amp; ROUND(S235, 0) &amp; ")"</f>
        <v>6 (2-19)</v>
      </c>
      <c r="AC235" s="13" t="str">
        <f t="shared" ref="AC235:AC236" si="709">ROUND(U235, 0) &amp; " (" &amp; ROUND(V235, 0) &amp; "-" &amp; ROUND(W235, 0) &amp; ")"</f>
        <v>275 (109-883)</v>
      </c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hidden="1">
      <c r="A236" s="7" t="s">
        <v>27</v>
      </c>
      <c r="B236" s="16" t="s">
        <v>87</v>
      </c>
      <c r="C236" s="23">
        <v>2040.0</v>
      </c>
      <c r="D236" s="17">
        <f>2664274+2705280</f>
        <v>5369554</v>
      </c>
      <c r="E236" s="10">
        <v>1.72595582E8</v>
      </c>
      <c r="F236" s="19">
        <v>2.9</v>
      </c>
      <c r="G236" s="10">
        <f t="shared" si="1"/>
        <v>5005.271878</v>
      </c>
      <c r="H236" s="19">
        <v>2.05</v>
      </c>
      <c r="I236" s="8">
        <f t="shared" si="2"/>
        <v>3538.209431</v>
      </c>
      <c r="J236" s="19">
        <v>3.93</v>
      </c>
      <c r="K236" s="11">
        <f t="shared" si="3"/>
        <v>6783.006373</v>
      </c>
      <c r="L236" s="11">
        <f t="shared" si="13"/>
        <v>93.21578436</v>
      </c>
      <c r="M236" s="11">
        <f t="shared" si="701"/>
        <v>189986.066</v>
      </c>
      <c r="N236" s="11">
        <f t="shared" si="702"/>
        <v>364217.19</v>
      </c>
      <c r="O236" s="19">
        <v>5.82</v>
      </c>
      <c r="P236" s="19"/>
      <c r="Q236" s="19">
        <v>2.31</v>
      </c>
      <c r="R236" s="19"/>
      <c r="S236" s="19">
        <v>18.66</v>
      </c>
      <c r="T236" s="14"/>
      <c r="U236" s="14">
        <f t="shared" si="703"/>
        <v>312.5080428</v>
      </c>
      <c r="V236" s="14">
        <f t="shared" si="704"/>
        <v>124.0366974</v>
      </c>
      <c r="W236" s="14">
        <f t="shared" si="705"/>
        <v>1001.958776</v>
      </c>
      <c r="X236" s="13"/>
      <c r="Y236" s="13"/>
      <c r="Z236" s="13" t="str">
        <f t="shared" si="706"/>
        <v>3 (2-4)</v>
      </c>
      <c r="AA236" s="13" t="str">
        <f t="shared" si="707"/>
        <v>93 (189986-364217)</v>
      </c>
      <c r="AB236" s="13" t="str">
        <f t="shared" si="708"/>
        <v>6 (2-19)</v>
      </c>
      <c r="AC236" s="13" t="str">
        <f t="shared" si="709"/>
        <v>313 (124-1002)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hidden="1">
      <c r="A237" s="7" t="s">
        <v>29</v>
      </c>
      <c r="B237" s="16" t="s">
        <v>87</v>
      </c>
      <c r="C237" s="23">
        <v>2050.0</v>
      </c>
      <c r="D237" s="17">
        <f>3009396+3054190</f>
        <v>6063586</v>
      </c>
      <c r="E237" s="10">
        <v>2.18246072E8</v>
      </c>
      <c r="F237" s="19">
        <v>2.9</v>
      </c>
      <c r="G237" s="10">
        <f t="shared" si="1"/>
        <v>6329.136088</v>
      </c>
      <c r="H237" s="19">
        <v>2.05</v>
      </c>
      <c r="I237" s="8">
        <f t="shared" si="2"/>
        <v>4474.044476</v>
      </c>
      <c r="J237" s="19">
        <v>3.93</v>
      </c>
      <c r="K237" s="11">
        <f t="shared" si="3"/>
        <v>8577.07063</v>
      </c>
      <c r="L237" s="11">
        <f t="shared" si="13"/>
        <v>104.3794231</v>
      </c>
      <c r="M237" s="11">
        <f t="shared" si="701"/>
        <v>271287.5345</v>
      </c>
      <c r="N237" s="11">
        <f t="shared" si="702"/>
        <v>520078.0539</v>
      </c>
      <c r="O237" s="19">
        <v>5.82</v>
      </c>
      <c r="P237" s="8">
        <f t="shared" ref="P237:P238" si="710">(O237/100000)*E237</f>
        <v>12701.92139</v>
      </c>
      <c r="Q237" s="19">
        <v>2.31</v>
      </c>
      <c r="R237" s="8">
        <f t="shared" ref="R237:R238" si="711">(Q237/100000)*E237</f>
        <v>5041.484263</v>
      </c>
      <c r="S237" s="19">
        <v>18.66</v>
      </c>
      <c r="T237" s="11">
        <f t="shared" ref="T237:T238" si="712">(S237/100000)*E237</f>
        <v>40724.71704</v>
      </c>
      <c r="U237" s="14">
        <f t="shared" si="703"/>
        <v>352.9007052</v>
      </c>
      <c r="V237" s="14">
        <f t="shared" si="704"/>
        <v>140.0688366</v>
      </c>
      <c r="W237" s="14">
        <f t="shared" si="705"/>
        <v>1131.465148</v>
      </c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>
      <c r="A238" s="7" t="s">
        <v>23</v>
      </c>
      <c r="B238" s="16" t="s">
        <v>88</v>
      </c>
      <c r="C238" s="20">
        <v>2021.0</v>
      </c>
      <c r="D238" s="17">
        <f>25525+26095</f>
        <v>51620</v>
      </c>
      <c r="E238" s="18">
        <v>1758786.0</v>
      </c>
      <c r="F238" s="19">
        <v>3.11</v>
      </c>
      <c r="G238" s="10">
        <f t="shared" si="1"/>
        <v>54.6982446</v>
      </c>
      <c r="H238" s="19">
        <v>2.09</v>
      </c>
      <c r="I238" s="8">
        <f t="shared" si="2"/>
        <v>36.7586274</v>
      </c>
      <c r="J238" s="19">
        <v>4.27</v>
      </c>
      <c r="K238" s="11">
        <f t="shared" si="3"/>
        <v>75.1001622</v>
      </c>
      <c r="L238" s="11">
        <f t="shared" si="13"/>
        <v>105.963279</v>
      </c>
      <c r="M238" s="12">
        <f>(I238/D238)*100000</f>
        <v>71.21004921</v>
      </c>
      <c r="N238" s="11">
        <f>(K238/D238)*100000</f>
        <v>145.4865599</v>
      </c>
      <c r="O238" s="19">
        <v>3.29</v>
      </c>
      <c r="P238" s="8">
        <f t="shared" si="710"/>
        <v>57.8640594</v>
      </c>
      <c r="Q238" s="19">
        <v>1.86</v>
      </c>
      <c r="R238" s="8">
        <f t="shared" si="711"/>
        <v>32.7134196</v>
      </c>
      <c r="S238" s="19">
        <v>6.5</v>
      </c>
      <c r="T238" s="11">
        <f t="shared" si="712"/>
        <v>114.32109</v>
      </c>
      <c r="U238" s="11">
        <f>(P238/D238)*100000</f>
        <v>112.0962019</v>
      </c>
      <c r="V238" s="11">
        <f>(R238/D238)*100000</f>
        <v>63.37353661</v>
      </c>
      <c r="W238" s="11">
        <f>(T238/D238)*100000</f>
        <v>221.4666602</v>
      </c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hidden="1">
      <c r="A239" s="7" t="s">
        <v>25</v>
      </c>
      <c r="B239" s="16" t="s">
        <v>88</v>
      </c>
      <c r="C239" s="23">
        <v>2030.0</v>
      </c>
      <c r="D239" s="17">
        <f>28604+29298</f>
        <v>57902</v>
      </c>
      <c r="E239" s="10">
        <v>2170445.0</v>
      </c>
      <c r="F239" s="19">
        <v>3.11</v>
      </c>
      <c r="G239" s="10">
        <f t="shared" si="1"/>
        <v>67.5008395</v>
      </c>
      <c r="H239" s="19">
        <v>2.09</v>
      </c>
      <c r="I239" s="8">
        <f t="shared" si="2"/>
        <v>45.3623005</v>
      </c>
      <c r="J239" s="19">
        <v>4.27</v>
      </c>
      <c r="K239" s="11">
        <f t="shared" si="3"/>
        <v>92.6780015</v>
      </c>
      <c r="L239" s="11">
        <f t="shared" si="13"/>
        <v>116.5777339</v>
      </c>
      <c r="M239" s="11">
        <f t="shared" ref="M239:M241" si="713">(I239*D239)/100000</f>
        <v>26.26567924</v>
      </c>
      <c r="N239" s="11">
        <f t="shared" ref="N239:N241" si="714">(K239*D239)/100000</f>
        <v>53.66241643</v>
      </c>
      <c r="O239" s="19">
        <v>3.29</v>
      </c>
      <c r="P239" s="19"/>
      <c r="Q239" s="19">
        <v>1.86</v>
      </c>
      <c r="R239" s="19"/>
      <c r="S239" s="19">
        <v>6.5</v>
      </c>
      <c r="T239" s="14"/>
      <c r="U239" s="14">
        <f t="shared" ref="U239:U241" si="715">(O239*D239)/100000</f>
        <v>1.9049758</v>
      </c>
      <c r="V239" s="14">
        <f t="shared" ref="V239:V241" si="716">(Q239*D239)/100000</f>
        <v>1.0769772</v>
      </c>
      <c r="W239" s="14">
        <f t="shared" ref="W239:W241" si="717">(S239*D239)/100000</f>
        <v>3.76363</v>
      </c>
      <c r="X239" s="13"/>
      <c r="Y239" s="13"/>
      <c r="Z239" s="13" t="str">
        <f t="shared" ref="Z239:Z240" si="718">ROUND(F239, 0) &amp; " (" &amp; ROUND(H239, 0) &amp; "-" &amp; ROUND(J239, 0) &amp; ")"</f>
        <v>3 (2-4)</v>
      </c>
      <c r="AA239" s="13" t="str">
        <f t="shared" ref="AA239:AA240" si="719">ROUND(L239, 0) &amp; " (" &amp; ROUND(M239, 0) &amp; "-" &amp; ROUND(N239, 0) &amp; ")"</f>
        <v>117 (26-54)</v>
      </c>
      <c r="AB239" s="13" t="str">
        <f t="shared" ref="AB239:AB240" si="720">ROUND(O239, 0) &amp; " (" &amp; ROUND(Q239, 0) &amp; "-" &amp; ROUND(S239, 0) &amp; ")"</f>
        <v>3 (2-7)</v>
      </c>
      <c r="AC239" s="13" t="str">
        <f t="shared" ref="AC239:AC240" si="721">ROUND(U239, 0) &amp; " (" &amp; ROUND(V239, 0) &amp; "-" &amp; ROUND(W239, 0) &amp; ")"</f>
        <v>2 (1-4)</v>
      </c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hidden="1">
      <c r="A240" s="7" t="s">
        <v>27</v>
      </c>
      <c r="B240" s="16" t="s">
        <v>88</v>
      </c>
      <c r="C240" s="23">
        <v>2040.0</v>
      </c>
      <c r="D240" s="17">
        <f>31880+32638</f>
        <v>64518</v>
      </c>
      <c r="E240" s="10">
        <v>2665586.0</v>
      </c>
      <c r="F240" s="19">
        <v>3.11</v>
      </c>
      <c r="G240" s="10">
        <f t="shared" si="1"/>
        <v>82.8997246</v>
      </c>
      <c r="H240" s="19">
        <v>2.09</v>
      </c>
      <c r="I240" s="8">
        <f t="shared" si="2"/>
        <v>55.7107474</v>
      </c>
      <c r="J240" s="19">
        <v>4.27</v>
      </c>
      <c r="K240" s="11">
        <f t="shared" si="3"/>
        <v>113.8205222</v>
      </c>
      <c r="L240" s="11">
        <f t="shared" si="13"/>
        <v>128.4908469</v>
      </c>
      <c r="M240" s="11">
        <f t="shared" si="713"/>
        <v>35.94346001</v>
      </c>
      <c r="N240" s="11">
        <f t="shared" si="714"/>
        <v>73.43472451</v>
      </c>
      <c r="O240" s="19">
        <v>3.29</v>
      </c>
      <c r="P240" s="19"/>
      <c r="Q240" s="19">
        <v>1.86</v>
      </c>
      <c r="R240" s="19"/>
      <c r="S240" s="19">
        <v>6.5</v>
      </c>
      <c r="T240" s="14"/>
      <c r="U240" s="14">
        <f t="shared" si="715"/>
        <v>2.1226422</v>
      </c>
      <c r="V240" s="14">
        <f t="shared" si="716"/>
        <v>1.2000348</v>
      </c>
      <c r="W240" s="14">
        <f t="shared" si="717"/>
        <v>4.19367</v>
      </c>
      <c r="X240" s="13"/>
      <c r="Y240" s="13"/>
      <c r="Z240" s="13" t="str">
        <f t="shared" si="718"/>
        <v>3 (2-4)</v>
      </c>
      <c r="AA240" s="13" t="str">
        <f t="shared" si="719"/>
        <v>128 (36-73)</v>
      </c>
      <c r="AB240" s="13" t="str">
        <f t="shared" si="720"/>
        <v>3 (2-7)</v>
      </c>
      <c r="AC240" s="13" t="str">
        <f t="shared" si="721"/>
        <v>2 (1-4)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hidden="1">
      <c r="A241" s="7" t="s">
        <v>29</v>
      </c>
      <c r="B241" s="16" t="s">
        <v>88</v>
      </c>
      <c r="C241" s="23">
        <v>2050.0</v>
      </c>
      <c r="D241" s="17">
        <f>33506+34282</f>
        <v>67788</v>
      </c>
      <c r="E241" s="10">
        <v>3143728.0</v>
      </c>
      <c r="F241" s="19">
        <v>3.11</v>
      </c>
      <c r="G241" s="10">
        <f t="shared" si="1"/>
        <v>97.7699408</v>
      </c>
      <c r="H241" s="19">
        <v>2.09</v>
      </c>
      <c r="I241" s="8">
        <f t="shared" si="2"/>
        <v>65.7039152</v>
      </c>
      <c r="J241" s="19">
        <v>4.27</v>
      </c>
      <c r="K241" s="11">
        <f t="shared" si="3"/>
        <v>134.2371856</v>
      </c>
      <c r="L241" s="11">
        <f t="shared" si="13"/>
        <v>144.2289798</v>
      </c>
      <c r="M241" s="11">
        <f t="shared" si="713"/>
        <v>44.53937004</v>
      </c>
      <c r="N241" s="11">
        <f t="shared" si="714"/>
        <v>90.99670337</v>
      </c>
      <c r="O241" s="19">
        <v>3.29</v>
      </c>
      <c r="P241" s="8">
        <f t="shared" ref="P241:P242" si="722">(O241/100000)*E241</f>
        <v>103.4286512</v>
      </c>
      <c r="Q241" s="19">
        <v>1.86</v>
      </c>
      <c r="R241" s="8">
        <f t="shared" ref="R241:R242" si="723">(Q241/100000)*E241</f>
        <v>58.4733408</v>
      </c>
      <c r="S241" s="19">
        <v>6.5</v>
      </c>
      <c r="T241" s="11">
        <f t="shared" ref="T241:T242" si="724">(S241/100000)*E241</f>
        <v>204.34232</v>
      </c>
      <c r="U241" s="14">
        <f t="shared" si="715"/>
        <v>2.2302252</v>
      </c>
      <c r="V241" s="14">
        <f t="shared" si="716"/>
        <v>1.2608568</v>
      </c>
      <c r="W241" s="14">
        <f t="shared" si="717"/>
        <v>4.40622</v>
      </c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>
      <c r="A242" s="7" t="s">
        <v>23</v>
      </c>
      <c r="B242" s="16" t="s">
        <v>89</v>
      </c>
      <c r="C242" s="20">
        <v>2021.0</v>
      </c>
      <c r="D242" s="17">
        <f>33238+33720.5</f>
        <v>66958.5</v>
      </c>
      <c r="E242" s="18">
        <v>2376722.0</v>
      </c>
      <c r="F242" s="19">
        <v>2.81</v>
      </c>
      <c r="G242" s="10">
        <f t="shared" si="1"/>
        <v>66.7858882</v>
      </c>
      <c r="H242" s="19">
        <v>1.9</v>
      </c>
      <c r="I242" s="8">
        <f t="shared" si="2"/>
        <v>45.157718</v>
      </c>
      <c r="J242" s="19">
        <v>3.85</v>
      </c>
      <c r="K242" s="11">
        <f t="shared" si="3"/>
        <v>91.503797</v>
      </c>
      <c r="L242" s="11">
        <f t="shared" si="13"/>
        <v>99.74221077</v>
      </c>
      <c r="M242" s="12">
        <f>(I242/D242)*100000</f>
        <v>67.44135248</v>
      </c>
      <c r="N242" s="11">
        <f>(K242/D242)*100000</f>
        <v>136.6574774</v>
      </c>
      <c r="O242" s="19">
        <v>2.92</v>
      </c>
      <c r="P242" s="8">
        <f t="shared" si="722"/>
        <v>69.4002824</v>
      </c>
      <c r="Q242" s="19">
        <v>1.66</v>
      </c>
      <c r="R242" s="8">
        <f t="shared" si="723"/>
        <v>39.4535852</v>
      </c>
      <c r="S242" s="19">
        <v>4.88</v>
      </c>
      <c r="T242" s="11">
        <f t="shared" si="724"/>
        <v>115.9840336</v>
      </c>
      <c r="U242" s="11">
        <f>(P242/D242)*100000</f>
        <v>103.6467101</v>
      </c>
      <c r="V242" s="11">
        <f>(R242/D242)*100000</f>
        <v>58.9224448</v>
      </c>
      <c r="W242" s="11">
        <f>(T242/D242)*100000</f>
        <v>173.2177895</v>
      </c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hidden="1">
      <c r="A243" s="7" t="s">
        <v>25</v>
      </c>
      <c r="B243" s="16" t="s">
        <v>89</v>
      </c>
      <c r="C243" s="23">
        <v>2030.0</v>
      </c>
      <c r="D243" s="17">
        <f>34635+35150</f>
        <v>69785</v>
      </c>
      <c r="E243" s="10">
        <v>2866667.0</v>
      </c>
      <c r="F243" s="19">
        <v>2.81</v>
      </c>
      <c r="G243" s="10">
        <f t="shared" si="1"/>
        <v>80.5533427</v>
      </c>
      <c r="H243" s="19">
        <v>1.9</v>
      </c>
      <c r="I243" s="8">
        <f t="shared" si="2"/>
        <v>54.466673</v>
      </c>
      <c r="J243" s="19">
        <v>3.85</v>
      </c>
      <c r="K243" s="11">
        <f t="shared" si="3"/>
        <v>110.3666795</v>
      </c>
      <c r="L243" s="11">
        <f t="shared" si="13"/>
        <v>115.4307411</v>
      </c>
      <c r="M243" s="11">
        <f t="shared" ref="M243:M245" si="725">(I243*D243)/100000</f>
        <v>38.00956775</v>
      </c>
      <c r="N243" s="11">
        <f t="shared" ref="N243:N245" si="726">(K243*D243)/100000</f>
        <v>77.01938729</v>
      </c>
      <c r="O243" s="19">
        <v>2.92</v>
      </c>
      <c r="P243" s="19"/>
      <c r="Q243" s="19">
        <v>1.66</v>
      </c>
      <c r="R243" s="19"/>
      <c r="S243" s="19">
        <v>4.88</v>
      </c>
      <c r="T243" s="14"/>
      <c r="U243" s="14">
        <f t="shared" ref="U243:U245" si="727">(O243*D243)/100000</f>
        <v>2.037722</v>
      </c>
      <c r="V243" s="14">
        <f t="shared" ref="V243:V245" si="728">(Q243*D243)/100000</f>
        <v>1.158431</v>
      </c>
      <c r="W243" s="14">
        <f t="shared" ref="W243:W245" si="729">(S243*D243)/100000</f>
        <v>3.405508</v>
      </c>
      <c r="X243" s="13"/>
      <c r="Y243" s="13"/>
      <c r="Z243" s="13" t="str">
        <f t="shared" ref="Z243:Z244" si="730">ROUND(F243, 0) &amp; " (" &amp; ROUND(H243, 0) &amp; "-" &amp; ROUND(J243, 0) &amp; ")"</f>
        <v>3 (2-4)</v>
      </c>
      <c r="AA243" s="13" t="str">
        <f t="shared" ref="AA243:AA244" si="731">ROUND(L243, 0) &amp; " (" &amp; ROUND(M243, 0) &amp; "-" &amp; ROUND(N243, 0) &amp; ")"</f>
        <v>115 (38-77)</v>
      </c>
      <c r="AB243" s="13" t="str">
        <f t="shared" ref="AB243:AB244" si="732">ROUND(O243, 0) &amp; " (" &amp; ROUND(Q243, 0) &amp; "-" &amp; ROUND(S243, 0) &amp; ")"</f>
        <v>3 (2-5)</v>
      </c>
      <c r="AC243" s="13" t="str">
        <f t="shared" ref="AC243:AC244" si="733">ROUND(U243, 0) &amp; " (" &amp; ROUND(V243, 0) &amp; "-" &amp; ROUND(W243, 0) &amp; ")"</f>
        <v>2 (1-3)</v>
      </c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hidden="1">
      <c r="A244" s="7" t="s">
        <v>27</v>
      </c>
      <c r="B244" s="16" t="s">
        <v>89</v>
      </c>
      <c r="C244" s="23">
        <v>2040.0</v>
      </c>
      <c r="D244" s="17">
        <f>39306+39858</f>
        <v>79164</v>
      </c>
      <c r="E244" s="10">
        <v>3452988.0</v>
      </c>
      <c r="F244" s="19">
        <v>2.81</v>
      </c>
      <c r="G244" s="10">
        <f t="shared" si="1"/>
        <v>97.0289628</v>
      </c>
      <c r="H244" s="19">
        <v>1.9</v>
      </c>
      <c r="I244" s="8">
        <f t="shared" si="2"/>
        <v>65.606772</v>
      </c>
      <c r="J244" s="19">
        <v>3.85</v>
      </c>
      <c r="K244" s="11">
        <f t="shared" si="3"/>
        <v>132.940038</v>
      </c>
      <c r="L244" s="11">
        <f t="shared" si="13"/>
        <v>122.567029</v>
      </c>
      <c r="M244" s="11">
        <f t="shared" si="725"/>
        <v>51.93694499</v>
      </c>
      <c r="N244" s="11">
        <f t="shared" si="726"/>
        <v>105.2406517</v>
      </c>
      <c r="O244" s="19">
        <v>2.92</v>
      </c>
      <c r="P244" s="19"/>
      <c r="Q244" s="19">
        <v>1.66</v>
      </c>
      <c r="R244" s="19"/>
      <c r="S244" s="19">
        <v>4.88</v>
      </c>
      <c r="T244" s="14"/>
      <c r="U244" s="14">
        <f t="shared" si="727"/>
        <v>2.3115888</v>
      </c>
      <c r="V244" s="14">
        <f t="shared" si="728"/>
        <v>1.3141224</v>
      </c>
      <c r="W244" s="14">
        <f t="shared" si="729"/>
        <v>3.8632032</v>
      </c>
      <c r="X244" s="13"/>
      <c r="Y244" s="13"/>
      <c r="Z244" s="13" t="str">
        <f t="shared" si="730"/>
        <v>3 (2-4)</v>
      </c>
      <c r="AA244" s="13" t="str">
        <f t="shared" si="731"/>
        <v>123 (52-105)</v>
      </c>
      <c r="AB244" s="13" t="str">
        <f t="shared" si="732"/>
        <v>3 (2-5)</v>
      </c>
      <c r="AC244" s="13" t="str">
        <f t="shared" si="733"/>
        <v>2 (1-4)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hidden="1">
      <c r="A245" s="7" t="s">
        <v>29</v>
      </c>
      <c r="B245" s="16" t="s">
        <v>89</v>
      </c>
      <c r="C245" s="23">
        <v>2050.0</v>
      </c>
      <c r="D245" s="17">
        <f>42294+42918</f>
        <v>85212</v>
      </c>
      <c r="E245" s="10">
        <v>4084533.0</v>
      </c>
      <c r="F245" s="19">
        <v>2.81</v>
      </c>
      <c r="G245" s="10">
        <f t="shared" si="1"/>
        <v>114.7753773</v>
      </c>
      <c r="H245" s="19">
        <v>1.9</v>
      </c>
      <c r="I245" s="8">
        <f t="shared" si="2"/>
        <v>77.606127</v>
      </c>
      <c r="J245" s="19">
        <v>3.85</v>
      </c>
      <c r="K245" s="11">
        <f t="shared" si="3"/>
        <v>157.2545205</v>
      </c>
      <c r="L245" s="11">
        <f t="shared" si="13"/>
        <v>134.6939132</v>
      </c>
      <c r="M245" s="11">
        <f t="shared" si="725"/>
        <v>66.12973294</v>
      </c>
      <c r="N245" s="11">
        <f t="shared" si="726"/>
        <v>133.999722</v>
      </c>
      <c r="O245" s="19">
        <v>2.92</v>
      </c>
      <c r="P245" s="8">
        <f t="shared" ref="P245:P246" si="734">(O245/100000)*E245</f>
        <v>119.2683636</v>
      </c>
      <c r="Q245" s="19">
        <v>1.66</v>
      </c>
      <c r="R245" s="8">
        <f t="shared" ref="R245:R246" si="735">(Q245/100000)*E245</f>
        <v>67.8032478</v>
      </c>
      <c r="S245" s="19">
        <v>4.88</v>
      </c>
      <c r="T245" s="11">
        <f t="shared" ref="T245:T246" si="736">(S245/100000)*E245</f>
        <v>199.3252104</v>
      </c>
      <c r="U245" s="14">
        <f t="shared" si="727"/>
        <v>2.4881904</v>
      </c>
      <c r="V245" s="14">
        <f t="shared" si="728"/>
        <v>1.4145192</v>
      </c>
      <c r="W245" s="14">
        <f t="shared" si="729"/>
        <v>4.1583456</v>
      </c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>
      <c r="A246" s="7" t="s">
        <v>23</v>
      </c>
      <c r="B246" s="16" t="s">
        <v>90</v>
      </c>
      <c r="C246" s="20">
        <v>2021.0</v>
      </c>
      <c r="D246" s="17">
        <f>217338+221370</f>
        <v>438708</v>
      </c>
      <c r="E246" s="18">
        <v>1.2965481E7</v>
      </c>
      <c r="F246" s="19">
        <v>4.23</v>
      </c>
      <c r="G246" s="10">
        <f t="shared" si="1"/>
        <v>548.4398463</v>
      </c>
      <c r="H246" s="19">
        <v>3.01</v>
      </c>
      <c r="I246" s="8">
        <f t="shared" si="2"/>
        <v>390.2609781</v>
      </c>
      <c r="J246" s="19">
        <v>5.77</v>
      </c>
      <c r="K246" s="11">
        <f t="shared" si="3"/>
        <v>748.1082537</v>
      </c>
      <c r="L246" s="11">
        <f t="shared" si="13"/>
        <v>125.0125018</v>
      </c>
      <c r="M246" s="12">
        <f>(I246/D246)*100000</f>
        <v>88.95688661</v>
      </c>
      <c r="N246" s="11">
        <f>(K246/D246)*100000</f>
        <v>170.5253275</v>
      </c>
      <c r="O246" s="19">
        <v>6.5</v>
      </c>
      <c r="P246" s="8">
        <f t="shared" si="734"/>
        <v>842.756265</v>
      </c>
      <c r="Q246" s="19">
        <v>2.57</v>
      </c>
      <c r="R246" s="8">
        <f t="shared" si="735"/>
        <v>333.2128617</v>
      </c>
      <c r="S246" s="19">
        <v>23.53</v>
      </c>
      <c r="T246" s="11">
        <f t="shared" si="736"/>
        <v>3050.777679</v>
      </c>
      <c r="U246" s="11">
        <f>(P246/D246)*100000</f>
        <v>192.099589</v>
      </c>
      <c r="V246" s="11">
        <f>(R246/D246)*100000</f>
        <v>75.95322212</v>
      </c>
      <c r="W246" s="11">
        <f>(T246/D246)*100000</f>
        <v>695.4005123</v>
      </c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hidden="1">
      <c r="A247" s="7" t="s">
        <v>25</v>
      </c>
      <c r="B247" s="16" t="s">
        <v>90</v>
      </c>
      <c r="C247" s="23">
        <v>2030.0</v>
      </c>
      <c r="D247" s="17">
        <f>238602+242957</f>
        <v>481559</v>
      </c>
      <c r="E247" s="10">
        <v>1.6182016E7</v>
      </c>
      <c r="F247" s="19">
        <v>4.23</v>
      </c>
      <c r="G247" s="10">
        <f t="shared" si="1"/>
        <v>684.4992768</v>
      </c>
      <c r="H247" s="19">
        <v>3.01</v>
      </c>
      <c r="I247" s="8">
        <f t="shared" si="2"/>
        <v>487.0786816</v>
      </c>
      <c r="J247" s="19">
        <v>5.77</v>
      </c>
      <c r="K247" s="11">
        <f t="shared" si="3"/>
        <v>933.7023232</v>
      </c>
      <c r="L247" s="11">
        <f t="shared" si="13"/>
        <v>142.1423495</v>
      </c>
      <c r="M247" s="11">
        <f t="shared" ref="M247:M249" si="737">(I247*D247)/100000</f>
        <v>2345.571228</v>
      </c>
      <c r="N247" s="11">
        <f t="shared" ref="N247:N249" si="738">(K247*D247)/100000</f>
        <v>4496.327571</v>
      </c>
      <c r="O247" s="19">
        <v>6.5</v>
      </c>
      <c r="P247" s="19"/>
      <c r="Q247" s="19">
        <v>2.57</v>
      </c>
      <c r="R247" s="19"/>
      <c r="S247" s="19">
        <v>23.53</v>
      </c>
      <c r="T247" s="14"/>
      <c r="U247" s="14">
        <f t="shared" ref="U247:U249" si="739">(O247*D247)/100000</f>
        <v>31.301335</v>
      </c>
      <c r="V247" s="14">
        <f t="shared" ref="V247:V249" si="740">(Q247*D247)/100000</f>
        <v>12.3760663</v>
      </c>
      <c r="W247" s="14">
        <f t="shared" ref="W247:W249" si="741">(S247*D247)/100000</f>
        <v>113.3108327</v>
      </c>
      <c r="X247" s="13"/>
      <c r="Y247" s="13"/>
      <c r="Z247" s="13" t="str">
        <f t="shared" ref="Z247:Z248" si="742">ROUND(F247, 0) &amp; " (" &amp; ROUND(H247, 0) &amp; "-" &amp; ROUND(J247, 0) &amp; ")"</f>
        <v>4 (3-6)</v>
      </c>
      <c r="AA247" s="13" t="str">
        <f t="shared" ref="AA247:AA248" si="743">ROUND(L247, 0) &amp; " (" &amp; ROUND(M247, 0) &amp; "-" &amp; ROUND(N247, 0) &amp; ")"</f>
        <v>142 (2346-4496)</v>
      </c>
      <c r="AB247" s="13" t="str">
        <f t="shared" ref="AB247:AB248" si="744">ROUND(O247, 0) &amp; " (" &amp; ROUND(Q247, 0) &amp; "-" &amp; ROUND(S247, 0) &amp; ")"</f>
        <v>7 (3-24)</v>
      </c>
      <c r="AC247" s="13" t="str">
        <f t="shared" ref="AC247:AC248" si="745">ROUND(U247, 0) &amp; " (" &amp; ROUND(V247, 0) &amp; "-" &amp; ROUND(W247, 0) &amp; ")"</f>
        <v>31 (12-113)</v>
      </c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hidden="1">
      <c r="A248" s="7" t="s">
        <v>27</v>
      </c>
      <c r="B248" s="16" t="s">
        <v>90</v>
      </c>
      <c r="C248" s="23">
        <v>2040.0</v>
      </c>
      <c r="D248" s="17">
        <f>273875+278661</f>
        <v>552536</v>
      </c>
      <c r="E248" s="10">
        <v>2.0131318E7</v>
      </c>
      <c r="F248" s="19">
        <v>4.23</v>
      </c>
      <c r="G248" s="10">
        <f t="shared" si="1"/>
        <v>851.5547514</v>
      </c>
      <c r="H248" s="19">
        <v>3.01</v>
      </c>
      <c r="I248" s="8">
        <f t="shared" si="2"/>
        <v>605.9526718</v>
      </c>
      <c r="J248" s="19">
        <v>5.77</v>
      </c>
      <c r="K248" s="11">
        <f t="shared" si="3"/>
        <v>1161.577049</v>
      </c>
      <c r="L248" s="11">
        <f t="shared" si="13"/>
        <v>154.1175148</v>
      </c>
      <c r="M248" s="11">
        <f t="shared" si="737"/>
        <v>3348.106655</v>
      </c>
      <c r="N248" s="11">
        <f t="shared" si="738"/>
        <v>6418.131361</v>
      </c>
      <c r="O248" s="19">
        <v>6.5</v>
      </c>
      <c r="P248" s="19"/>
      <c r="Q248" s="19">
        <v>2.57</v>
      </c>
      <c r="R248" s="19"/>
      <c r="S248" s="19">
        <v>23.53</v>
      </c>
      <c r="T248" s="14"/>
      <c r="U248" s="14">
        <f t="shared" si="739"/>
        <v>35.91484</v>
      </c>
      <c r="V248" s="14">
        <f t="shared" si="740"/>
        <v>14.2001752</v>
      </c>
      <c r="W248" s="14">
        <f t="shared" si="741"/>
        <v>130.0117208</v>
      </c>
      <c r="X248" s="13"/>
      <c r="Y248" s="13"/>
      <c r="Z248" s="13" t="str">
        <f t="shared" si="742"/>
        <v>4 (3-6)</v>
      </c>
      <c r="AA248" s="13" t="str">
        <f t="shared" si="743"/>
        <v>154 (3348-6418)</v>
      </c>
      <c r="AB248" s="13" t="str">
        <f t="shared" si="744"/>
        <v>7 (3-24)</v>
      </c>
      <c r="AC248" s="13" t="str">
        <f t="shared" si="745"/>
        <v>36 (14-130)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hidden="1">
      <c r="A249" s="7" t="s">
        <v>29</v>
      </c>
      <c r="B249" s="16" t="s">
        <v>90</v>
      </c>
      <c r="C249" s="23">
        <v>2050.0</v>
      </c>
      <c r="D249" s="17">
        <f>279844+284537</f>
        <v>564381</v>
      </c>
      <c r="E249" s="10">
        <v>2.413172E7</v>
      </c>
      <c r="F249" s="19">
        <v>4.23</v>
      </c>
      <c r="G249" s="10">
        <f t="shared" si="1"/>
        <v>1020.771756</v>
      </c>
      <c r="H249" s="19">
        <v>3.01</v>
      </c>
      <c r="I249" s="8">
        <f t="shared" si="2"/>
        <v>726.364772</v>
      </c>
      <c r="J249" s="19">
        <v>5.77</v>
      </c>
      <c r="K249" s="11">
        <f t="shared" si="3"/>
        <v>1392.400244</v>
      </c>
      <c r="L249" s="11">
        <f t="shared" si="13"/>
        <v>180.8657194</v>
      </c>
      <c r="M249" s="11">
        <f t="shared" si="737"/>
        <v>4099.464764</v>
      </c>
      <c r="N249" s="11">
        <f t="shared" si="738"/>
        <v>7858.442421</v>
      </c>
      <c r="O249" s="19">
        <v>6.5</v>
      </c>
      <c r="P249" s="8">
        <f t="shared" ref="P249:P250" si="746">(O249/100000)*E249</f>
        <v>1568.5618</v>
      </c>
      <c r="Q249" s="19">
        <v>2.57</v>
      </c>
      <c r="R249" s="8">
        <f t="shared" ref="R249:R250" si="747">(Q249/100000)*E249</f>
        <v>620.185204</v>
      </c>
      <c r="S249" s="19">
        <v>23.53</v>
      </c>
      <c r="T249" s="11">
        <f t="shared" ref="T249:T250" si="748">(S249/100000)*E249</f>
        <v>5678.193716</v>
      </c>
      <c r="U249" s="14">
        <f t="shared" si="739"/>
        <v>36.684765</v>
      </c>
      <c r="V249" s="14">
        <f t="shared" si="740"/>
        <v>14.5045917</v>
      </c>
      <c r="W249" s="14">
        <f t="shared" si="741"/>
        <v>132.7988493</v>
      </c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>
      <c r="A250" s="7" t="s">
        <v>23</v>
      </c>
      <c r="B250" s="16" t="s">
        <v>91</v>
      </c>
      <c r="C250" s="20">
        <v>2021.0</v>
      </c>
      <c r="D250" s="17">
        <f>11469+11769</f>
        <v>23238</v>
      </c>
      <c r="E250" s="18">
        <v>818174.0</v>
      </c>
      <c r="F250" s="19">
        <v>3.21</v>
      </c>
      <c r="G250" s="10">
        <f t="shared" si="1"/>
        <v>26.2633854</v>
      </c>
      <c r="H250" s="19">
        <v>2.22</v>
      </c>
      <c r="I250" s="8">
        <f t="shared" si="2"/>
        <v>18.1634628</v>
      </c>
      <c r="J250" s="19">
        <v>4.37</v>
      </c>
      <c r="K250" s="11">
        <f t="shared" si="3"/>
        <v>35.7542038</v>
      </c>
      <c r="L250" s="11">
        <f t="shared" si="13"/>
        <v>113.0191299</v>
      </c>
      <c r="M250" s="12">
        <f>(I250/D250)*100000</f>
        <v>78.16276272</v>
      </c>
      <c r="N250" s="11">
        <f>(K250/D250)*100000</f>
        <v>153.8609338</v>
      </c>
      <c r="O250" s="19">
        <v>4.33</v>
      </c>
      <c r="P250" s="8">
        <f t="shared" si="746"/>
        <v>35.4269342</v>
      </c>
      <c r="Q250" s="19">
        <v>2.32</v>
      </c>
      <c r="R250" s="8">
        <f t="shared" si="747"/>
        <v>18.9816368</v>
      </c>
      <c r="S250" s="19">
        <v>8.36</v>
      </c>
      <c r="T250" s="11">
        <f t="shared" si="748"/>
        <v>68.3993464</v>
      </c>
      <c r="U250" s="11">
        <f>(P250/D250)*100000</f>
        <v>152.4525957</v>
      </c>
      <c r="V250" s="11">
        <f>(R250/D250)*100000</f>
        <v>81.68360788</v>
      </c>
      <c r="W250" s="11">
        <f>(T250/D250)*100000</f>
        <v>294.342656</v>
      </c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hidden="1">
      <c r="A251" s="7" t="s">
        <v>25</v>
      </c>
      <c r="B251" s="16" t="s">
        <v>91</v>
      </c>
      <c r="C251" s="23">
        <v>2030.0</v>
      </c>
      <c r="D251" s="17">
        <f>12002+12315</f>
        <v>24317</v>
      </c>
      <c r="E251" s="10">
        <v>964264.0</v>
      </c>
      <c r="F251" s="19">
        <v>3.21</v>
      </c>
      <c r="G251" s="10">
        <f t="shared" si="1"/>
        <v>30.9528744</v>
      </c>
      <c r="H251" s="19">
        <v>2.22</v>
      </c>
      <c r="I251" s="8">
        <f t="shared" si="2"/>
        <v>21.4066608</v>
      </c>
      <c r="J251" s="19">
        <v>4.37</v>
      </c>
      <c r="K251" s="11">
        <f t="shared" si="3"/>
        <v>42.1383368</v>
      </c>
      <c r="L251" s="11">
        <f t="shared" si="13"/>
        <v>127.289034</v>
      </c>
      <c r="M251" s="11">
        <f t="shared" ref="M251:M253" si="749">(I251*D251)/100000</f>
        <v>5.205457707</v>
      </c>
      <c r="N251" s="11">
        <f t="shared" ref="N251:N253" si="750">(K251*D251)/100000</f>
        <v>10.24677936</v>
      </c>
      <c r="O251" s="19">
        <v>4.33</v>
      </c>
      <c r="P251" s="19"/>
      <c r="Q251" s="19">
        <v>2.32</v>
      </c>
      <c r="R251" s="19"/>
      <c r="S251" s="19">
        <v>8.36</v>
      </c>
      <c r="T251" s="14"/>
      <c r="U251" s="14">
        <f t="shared" ref="U251:U253" si="751">(O251*D251)/100000</f>
        <v>1.0529261</v>
      </c>
      <c r="V251" s="14">
        <f t="shared" ref="V251:V253" si="752">(Q251*D251)/100000</f>
        <v>0.5641544</v>
      </c>
      <c r="W251" s="14">
        <f t="shared" ref="W251:W253" si="753">(S251*D251)/100000</f>
        <v>2.0329012</v>
      </c>
      <c r="X251" s="13"/>
      <c r="Y251" s="13"/>
      <c r="Z251" s="13" t="str">
        <f t="shared" ref="Z251:Z252" si="754">ROUND(F251, 0) &amp; " (" &amp; ROUND(H251, 0) &amp; "-" &amp; ROUND(J251, 0) &amp; ")"</f>
        <v>3 (2-4)</v>
      </c>
      <c r="AA251" s="13" t="str">
        <f t="shared" ref="AA251:AA252" si="755">ROUND(L251, 0) &amp; " (" &amp; ROUND(M251, 0) &amp; "-" &amp; ROUND(N251, 0) &amp; ")"</f>
        <v>127 (5-10)</v>
      </c>
      <c r="AB251" s="13" t="str">
        <f t="shared" ref="AB251:AB252" si="756">ROUND(O251, 0) &amp; " (" &amp; ROUND(Q251, 0) &amp; "-" &amp; ROUND(S251, 0) &amp; ")"</f>
        <v>4 (2-8)</v>
      </c>
      <c r="AC251" s="13" t="str">
        <f t="shared" ref="AC251:AC252" si="757">ROUND(U251, 0) &amp; " (" &amp; ROUND(V251, 0) &amp; "-" &amp; ROUND(W251, 0) &amp; ")"</f>
        <v>1 (1-2)</v>
      </c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hidden="1">
      <c r="A252" s="7" t="s">
        <v>27</v>
      </c>
      <c r="B252" s="16" t="s">
        <v>91</v>
      </c>
      <c r="C252" s="23">
        <v>2040.0</v>
      </c>
      <c r="D252" s="17">
        <f>12891+13217</f>
        <v>26108</v>
      </c>
      <c r="E252" s="10">
        <v>1133778.0</v>
      </c>
      <c r="F252" s="19">
        <v>3.21</v>
      </c>
      <c r="G252" s="10">
        <f t="shared" si="1"/>
        <v>36.3942738</v>
      </c>
      <c r="H252" s="19">
        <v>2.22</v>
      </c>
      <c r="I252" s="8">
        <f t="shared" si="2"/>
        <v>25.1698716</v>
      </c>
      <c r="J252" s="19">
        <v>4.37</v>
      </c>
      <c r="K252" s="11">
        <f t="shared" si="3"/>
        <v>49.5460986</v>
      </c>
      <c r="L252" s="11">
        <f t="shared" si="13"/>
        <v>139.3989344</v>
      </c>
      <c r="M252" s="11">
        <f t="shared" si="749"/>
        <v>6.571350077</v>
      </c>
      <c r="N252" s="11">
        <f t="shared" si="750"/>
        <v>12.93549542</v>
      </c>
      <c r="O252" s="19">
        <v>4.33</v>
      </c>
      <c r="P252" s="19"/>
      <c r="Q252" s="19">
        <v>2.32</v>
      </c>
      <c r="R252" s="19"/>
      <c r="S252" s="19">
        <v>8.36</v>
      </c>
      <c r="T252" s="14"/>
      <c r="U252" s="14">
        <f t="shared" si="751"/>
        <v>1.1304764</v>
      </c>
      <c r="V252" s="14">
        <f t="shared" si="752"/>
        <v>0.6057056</v>
      </c>
      <c r="W252" s="14">
        <f t="shared" si="753"/>
        <v>2.1826288</v>
      </c>
      <c r="X252" s="13"/>
      <c r="Y252" s="13"/>
      <c r="Z252" s="13" t="str">
        <f t="shared" si="754"/>
        <v>3 (2-4)</v>
      </c>
      <c r="AA252" s="13" t="str">
        <f t="shared" si="755"/>
        <v>139 (7-13)</v>
      </c>
      <c r="AB252" s="13" t="str">
        <f t="shared" si="756"/>
        <v>4 (2-8)</v>
      </c>
      <c r="AC252" s="13" t="str">
        <f t="shared" si="757"/>
        <v>1 (1-2)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hidden="1">
      <c r="A253" s="7" t="s">
        <v>29</v>
      </c>
      <c r="B253" s="16" t="s">
        <v>91</v>
      </c>
      <c r="C253" s="23">
        <v>2050.0</v>
      </c>
      <c r="D253" s="17">
        <f>13476+13818</f>
        <v>27294</v>
      </c>
      <c r="E253" s="10">
        <v>1307558.0</v>
      </c>
      <c r="F253" s="19">
        <v>3.21</v>
      </c>
      <c r="G253" s="10">
        <f t="shared" si="1"/>
        <v>41.9726118</v>
      </c>
      <c r="H253" s="19">
        <v>2.22</v>
      </c>
      <c r="I253" s="8">
        <f t="shared" si="2"/>
        <v>29.0277876</v>
      </c>
      <c r="J253" s="19">
        <v>4.37</v>
      </c>
      <c r="K253" s="11">
        <f t="shared" si="3"/>
        <v>57.1402846</v>
      </c>
      <c r="L253" s="11">
        <f t="shared" si="13"/>
        <v>153.7796285</v>
      </c>
      <c r="M253" s="11">
        <f t="shared" si="749"/>
        <v>7.922844348</v>
      </c>
      <c r="N253" s="11">
        <f t="shared" si="750"/>
        <v>15.59586928</v>
      </c>
      <c r="O253" s="19">
        <v>4.33</v>
      </c>
      <c r="P253" s="8">
        <f t="shared" ref="P253:P254" si="758">(O253/100000)*E253</f>
        <v>56.6172614</v>
      </c>
      <c r="Q253" s="19">
        <v>2.32</v>
      </c>
      <c r="R253" s="8">
        <f t="shared" ref="R253:R254" si="759">(Q253/100000)*E253</f>
        <v>30.3353456</v>
      </c>
      <c r="S253" s="19">
        <v>8.36</v>
      </c>
      <c r="T253" s="11">
        <f t="shared" ref="T253:T254" si="760">(S253/100000)*E253</f>
        <v>109.3118488</v>
      </c>
      <c r="U253" s="14">
        <f t="shared" si="751"/>
        <v>1.1818302</v>
      </c>
      <c r="V253" s="14">
        <f t="shared" si="752"/>
        <v>0.6332208</v>
      </c>
      <c r="W253" s="14">
        <f t="shared" si="753"/>
        <v>2.2817784</v>
      </c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>
      <c r="A254" s="7" t="s">
        <v>23</v>
      </c>
      <c r="B254" s="16" t="s">
        <v>92</v>
      </c>
      <c r="C254" s="20">
        <v>2021.0</v>
      </c>
      <c r="D254" s="17">
        <f>11382.5+11737</f>
        <v>23119.5</v>
      </c>
      <c r="E254" s="18">
        <v>1121248.0</v>
      </c>
      <c r="F254" s="19">
        <v>2.94</v>
      </c>
      <c r="G254" s="10">
        <f t="shared" si="1"/>
        <v>32.9646912</v>
      </c>
      <c r="H254" s="19">
        <v>2.04</v>
      </c>
      <c r="I254" s="8">
        <f t="shared" si="2"/>
        <v>22.8734592</v>
      </c>
      <c r="J254" s="19">
        <v>3.98</v>
      </c>
      <c r="K254" s="11">
        <f t="shared" si="3"/>
        <v>44.6256704</v>
      </c>
      <c r="L254" s="11">
        <f t="shared" si="13"/>
        <v>142.5839279</v>
      </c>
      <c r="M254" s="12">
        <f>(I254/D254)*100000</f>
        <v>98.93578667</v>
      </c>
      <c r="N254" s="11">
        <f>(K254/D254)*100000</f>
        <v>193.0217799</v>
      </c>
      <c r="O254" s="19">
        <v>5.76</v>
      </c>
      <c r="P254" s="8">
        <f t="shared" si="758"/>
        <v>64.5838848</v>
      </c>
      <c r="Q254" s="19">
        <v>2.92</v>
      </c>
      <c r="R254" s="8">
        <f t="shared" si="759"/>
        <v>32.7404416</v>
      </c>
      <c r="S254" s="19">
        <v>12.74</v>
      </c>
      <c r="T254" s="11">
        <f t="shared" si="760"/>
        <v>142.8469952</v>
      </c>
      <c r="U254" s="11">
        <f>(P254/D254)*100000</f>
        <v>279.3481035</v>
      </c>
      <c r="V254" s="11">
        <f>(R254/D254)*100000</f>
        <v>141.6139692</v>
      </c>
      <c r="W254" s="11">
        <f>(T254/D254)*100000</f>
        <v>617.8636874</v>
      </c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hidden="1">
      <c r="A255" s="7" t="s">
        <v>25</v>
      </c>
      <c r="B255" s="16" t="s">
        <v>92</v>
      </c>
      <c r="C255" s="23">
        <v>2030.0</v>
      </c>
      <c r="D255" s="17">
        <f>11875+12231</f>
        <v>24106</v>
      </c>
      <c r="E255" s="10">
        <v>1262678.0</v>
      </c>
      <c r="F255" s="19">
        <v>2.94</v>
      </c>
      <c r="G255" s="10">
        <f t="shared" si="1"/>
        <v>37.1227332</v>
      </c>
      <c r="H255" s="19">
        <v>2.04</v>
      </c>
      <c r="I255" s="8">
        <f t="shared" si="2"/>
        <v>25.7586312</v>
      </c>
      <c r="J255" s="19">
        <v>3.98</v>
      </c>
      <c r="K255" s="11">
        <f t="shared" si="3"/>
        <v>50.2545844</v>
      </c>
      <c r="L255" s="11">
        <f t="shared" si="13"/>
        <v>153.9978976</v>
      </c>
      <c r="M255" s="11">
        <f t="shared" ref="M255:M257" si="761">(I255*D255)/100000</f>
        <v>6.209375637</v>
      </c>
      <c r="N255" s="11">
        <f t="shared" ref="N255:N257" si="762">(K255*D255)/100000</f>
        <v>12.11437012</v>
      </c>
      <c r="O255" s="19">
        <v>5.76</v>
      </c>
      <c r="P255" s="19"/>
      <c r="Q255" s="19">
        <v>2.92</v>
      </c>
      <c r="R255" s="19"/>
      <c r="S255" s="19">
        <v>12.74</v>
      </c>
      <c r="T255" s="14"/>
      <c r="U255" s="14">
        <f t="shared" ref="U255:U257" si="763">(O255*D255)/100000</f>
        <v>1.3885056</v>
      </c>
      <c r="V255" s="14">
        <f t="shared" ref="V255:V257" si="764">(Q255*D255)/100000</f>
        <v>0.7038952</v>
      </c>
      <c r="W255" s="14">
        <f t="shared" ref="W255:W257" si="765">(S255*D255)/100000</f>
        <v>3.0711044</v>
      </c>
      <c r="X255" s="13"/>
      <c r="Y255" s="13"/>
      <c r="Z255" s="13" t="str">
        <f t="shared" ref="Z255:Z256" si="766">ROUND(F255, 0) &amp; " (" &amp; ROUND(H255, 0) &amp; "-" &amp; ROUND(J255, 0) &amp; ")"</f>
        <v>3 (2-4)</v>
      </c>
      <c r="AA255" s="13" t="str">
        <f t="shared" ref="AA255:AA256" si="767">ROUND(L255, 0) &amp; " (" &amp; ROUND(M255, 0) &amp; "-" &amp; ROUND(N255, 0) &amp; ")"</f>
        <v>154 (6-12)</v>
      </c>
      <c r="AB255" s="13" t="str">
        <f t="shared" ref="AB255:AB256" si="768">ROUND(O255, 0) &amp; " (" &amp; ROUND(Q255, 0) &amp; "-" &amp; ROUND(S255, 0) &amp; ")"</f>
        <v>6 (3-13)</v>
      </c>
      <c r="AC255" s="13" t="str">
        <f t="shared" ref="AC255:AC256" si="769">ROUND(U255, 0) &amp; " (" &amp; ROUND(V255, 0) &amp; "-" &amp; ROUND(W255, 0) &amp; ")"</f>
        <v>1 (1-3)</v>
      </c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hidden="1">
      <c r="A256" s="7" t="s">
        <v>27</v>
      </c>
      <c r="B256" s="16" t="s">
        <v>92</v>
      </c>
      <c r="C256" s="23">
        <v>2040.0</v>
      </c>
      <c r="D256" s="17">
        <f>11926+12269</f>
        <v>24195</v>
      </c>
      <c r="E256" s="10">
        <v>1406635.0</v>
      </c>
      <c r="F256" s="19">
        <v>2.94</v>
      </c>
      <c r="G256" s="10">
        <f t="shared" si="1"/>
        <v>41.355069</v>
      </c>
      <c r="H256" s="19">
        <v>2.04</v>
      </c>
      <c r="I256" s="8">
        <f t="shared" si="2"/>
        <v>28.695354</v>
      </c>
      <c r="J256" s="19">
        <v>3.98</v>
      </c>
      <c r="K256" s="11">
        <f t="shared" si="3"/>
        <v>55.984073</v>
      </c>
      <c r="L256" s="11">
        <f t="shared" si="13"/>
        <v>170.9240298</v>
      </c>
      <c r="M256" s="11">
        <f t="shared" si="761"/>
        <v>6.9428409</v>
      </c>
      <c r="N256" s="11">
        <f t="shared" si="762"/>
        <v>13.54534646</v>
      </c>
      <c r="O256" s="19">
        <v>5.76</v>
      </c>
      <c r="P256" s="19"/>
      <c r="Q256" s="19">
        <v>2.92</v>
      </c>
      <c r="R256" s="19"/>
      <c r="S256" s="19">
        <v>12.74</v>
      </c>
      <c r="T256" s="14"/>
      <c r="U256" s="14">
        <f t="shared" si="763"/>
        <v>1.393632</v>
      </c>
      <c r="V256" s="14">
        <f t="shared" si="764"/>
        <v>0.706494</v>
      </c>
      <c r="W256" s="14">
        <f t="shared" si="765"/>
        <v>3.082443</v>
      </c>
      <c r="X256" s="13"/>
      <c r="Y256" s="13"/>
      <c r="Z256" s="13" t="str">
        <f t="shared" si="766"/>
        <v>3 (2-4)</v>
      </c>
      <c r="AA256" s="13" t="str">
        <f t="shared" si="767"/>
        <v>171 (7-14)</v>
      </c>
      <c r="AB256" s="13" t="str">
        <f t="shared" si="768"/>
        <v>6 (3-13)</v>
      </c>
      <c r="AC256" s="13" t="str">
        <f t="shared" si="769"/>
        <v>1 (1-3)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hidden="1">
      <c r="A257" s="7" t="s">
        <v>29</v>
      </c>
      <c r="B257" s="16" t="s">
        <v>92</v>
      </c>
      <c r="C257" s="23">
        <v>2050.0</v>
      </c>
      <c r="D257" s="17">
        <f>11473+11799</f>
        <v>23272</v>
      </c>
      <c r="E257" s="10">
        <v>1530540.0</v>
      </c>
      <c r="F257" s="19">
        <v>2.94</v>
      </c>
      <c r="G257" s="10">
        <f t="shared" si="1"/>
        <v>44.997876</v>
      </c>
      <c r="H257" s="19">
        <v>2.04</v>
      </c>
      <c r="I257" s="8">
        <f t="shared" si="2"/>
        <v>31.223016</v>
      </c>
      <c r="J257" s="19">
        <v>3.98</v>
      </c>
      <c r="K257" s="11">
        <f t="shared" si="3"/>
        <v>60.915492</v>
      </c>
      <c r="L257" s="11">
        <f t="shared" si="13"/>
        <v>193.3562908</v>
      </c>
      <c r="M257" s="11">
        <f t="shared" si="761"/>
        <v>7.266220284</v>
      </c>
      <c r="N257" s="11">
        <f t="shared" si="762"/>
        <v>14.1762533</v>
      </c>
      <c r="O257" s="19">
        <v>5.76</v>
      </c>
      <c r="P257" s="8">
        <f t="shared" ref="P257:P258" si="770">(O257/100000)*E257</f>
        <v>88.159104</v>
      </c>
      <c r="Q257" s="19">
        <v>2.92</v>
      </c>
      <c r="R257" s="8">
        <f t="shared" ref="R257:R258" si="771">(Q257/100000)*E257</f>
        <v>44.691768</v>
      </c>
      <c r="S257" s="19">
        <v>12.74</v>
      </c>
      <c r="T257" s="11">
        <f t="shared" ref="T257:T258" si="772">(S257/100000)*E257</f>
        <v>194.990796</v>
      </c>
      <c r="U257" s="14">
        <f t="shared" si="763"/>
        <v>1.3404672</v>
      </c>
      <c r="V257" s="14">
        <f t="shared" si="764"/>
        <v>0.6795424</v>
      </c>
      <c r="W257" s="14">
        <f t="shared" si="765"/>
        <v>2.9648528</v>
      </c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>
      <c r="A258" s="7" t="s">
        <v>23</v>
      </c>
      <c r="B258" s="16" t="s">
        <v>93</v>
      </c>
      <c r="C258" s="20">
        <v>2021.0</v>
      </c>
      <c r="D258" s="17">
        <f>45972.5+47145.5</f>
        <v>93118</v>
      </c>
      <c r="E258" s="18">
        <v>3350183.0</v>
      </c>
      <c r="F258" s="19">
        <v>4.27</v>
      </c>
      <c r="G258" s="10">
        <f t="shared" si="1"/>
        <v>143.0528141</v>
      </c>
      <c r="H258" s="19">
        <v>2.99</v>
      </c>
      <c r="I258" s="8">
        <f t="shared" si="2"/>
        <v>100.1704717</v>
      </c>
      <c r="J258" s="19">
        <v>5.76</v>
      </c>
      <c r="K258" s="11">
        <f t="shared" si="3"/>
        <v>192.9705408</v>
      </c>
      <c r="L258" s="11">
        <f t="shared" si="13"/>
        <v>153.6253078</v>
      </c>
      <c r="M258" s="12">
        <f>(I258/D258)*100000</f>
        <v>107.5736933</v>
      </c>
      <c r="N258" s="11">
        <f>(K258/D258)*100000</f>
        <v>207.2322653</v>
      </c>
      <c r="O258" s="19">
        <v>6.6</v>
      </c>
      <c r="P258" s="8">
        <f t="shared" si="770"/>
        <v>221.112078</v>
      </c>
      <c r="Q258" s="19">
        <v>2.77</v>
      </c>
      <c r="R258" s="8">
        <f t="shared" si="771"/>
        <v>92.8000691</v>
      </c>
      <c r="S258" s="19">
        <v>17.61</v>
      </c>
      <c r="T258" s="11">
        <f t="shared" si="772"/>
        <v>589.9672263</v>
      </c>
      <c r="U258" s="11">
        <f>(P258/D258)*100000</f>
        <v>237.4536373</v>
      </c>
      <c r="V258" s="11">
        <f>(R258/D258)*100000</f>
        <v>99.65857203</v>
      </c>
      <c r="W258" s="11">
        <f>(T258/D258)*100000</f>
        <v>633.5694778</v>
      </c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hidden="1">
      <c r="A259" s="7" t="s">
        <v>25</v>
      </c>
      <c r="B259" s="16" t="s">
        <v>93</v>
      </c>
      <c r="C259" s="23">
        <v>2030.0</v>
      </c>
      <c r="D259" s="17">
        <f>53840+55199</f>
        <v>109039</v>
      </c>
      <c r="E259" s="10">
        <v>4002672.0</v>
      </c>
      <c r="F259" s="19">
        <v>4.27</v>
      </c>
      <c r="G259" s="10">
        <f t="shared" si="1"/>
        <v>170.9140944</v>
      </c>
      <c r="H259" s="19">
        <v>2.99</v>
      </c>
      <c r="I259" s="8">
        <f t="shared" si="2"/>
        <v>119.6798928</v>
      </c>
      <c r="J259" s="19">
        <v>5.76</v>
      </c>
      <c r="K259" s="11">
        <f t="shared" si="3"/>
        <v>230.5539072</v>
      </c>
      <c r="L259" s="11">
        <f t="shared" si="13"/>
        <v>156.7458381</v>
      </c>
      <c r="M259" s="11">
        <f t="shared" ref="M259:M261" si="773">(I259*D259)/100000</f>
        <v>130.4977583</v>
      </c>
      <c r="N259" s="11">
        <f t="shared" ref="N259:N261" si="774">(K259*D259)/100000</f>
        <v>251.3936749</v>
      </c>
      <c r="O259" s="19">
        <v>6.6</v>
      </c>
      <c r="P259" s="19"/>
      <c r="Q259" s="19">
        <v>2.77</v>
      </c>
      <c r="R259" s="19"/>
      <c r="S259" s="19">
        <v>17.61</v>
      </c>
      <c r="T259" s="14"/>
      <c r="U259" s="14">
        <f t="shared" ref="U259:U261" si="775">(O259*D259)/100000</f>
        <v>7.196574</v>
      </c>
      <c r="V259" s="14">
        <f t="shared" ref="V259:V261" si="776">(Q259*D259)/100000</f>
        <v>3.0203803</v>
      </c>
      <c r="W259" s="14">
        <f t="shared" ref="W259:W261" si="777">(S259*D259)/100000</f>
        <v>19.2017679</v>
      </c>
      <c r="X259" s="13"/>
      <c r="Y259" s="13"/>
      <c r="Z259" s="13" t="str">
        <f t="shared" ref="Z259:Z260" si="778">ROUND(F259, 0) &amp; " (" &amp; ROUND(H259, 0) &amp; "-" &amp; ROUND(J259, 0) &amp; ")"</f>
        <v>4 (3-6)</v>
      </c>
      <c r="AA259" s="13" t="str">
        <f t="shared" ref="AA259:AA260" si="779">ROUND(L259, 0) &amp; " (" &amp; ROUND(M259, 0) &amp; "-" &amp; ROUND(N259, 0) &amp; ")"</f>
        <v>157 (130-251)</v>
      </c>
      <c r="AB259" s="13" t="str">
        <f t="shared" ref="AB259:AB260" si="780">ROUND(O259, 0) &amp; " (" &amp; ROUND(Q259, 0) &amp; "-" &amp; ROUND(S259, 0) &amp; ")"</f>
        <v>7 (3-18)</v>
      </c>
      <c r="AC259" s="13" t="str">
        <f t="shared" ref="AC259:AC260" si="781">ROUND(U259, 0) &amp; " (" &amp; ROUND(V259, 0) &amp; "-" &amp; ROUND(W259, 0) &amp; ")"</f>
        <v>7 (3-19)</v>
      </c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hidden="1">
      <c r="A260" s="7" t="s">
        <v>27</v>
      </c>
      <c r="B260" s="16" t="s">
        <v>93</v>
      </c>
      <c r="C260" s="23">
        <v>2040.0</v>
      </c>
      <c r="D260" s="17">
        <f>56934+58360</f>
        <v>115294</v>
      </c>
      <c r="E260" s="10">
        <v>4868676.0</v>
      </c>
      <c r="F260" s="19">
        <v>4.27</v>
      </c>
      <c r="G260" s="10">
        <f t="shared" si="1"/>
        <v>207.8924652</v>
      </c>
      <c r="H260" s="19">
        <v>2.99</v>
      </c>
      <c r="I260" s="8">
        <f t="shared" si="2"/>
        <v>145.5734124</v>
      </c>
      <c r="J260" s="19">
        <v>5.76</v>
      </c>
      <c r="K260" s="11">
        <f t="shared" si="3"/>
        <v>280.4357376</v>
      </c>
      <c r="L260" s="11">
        <f t="shared" si="13"/>
        <v>180.3150773</v>
      </c>
      <c r="M260" s="11">
        <f t="shared" si="773"/>
        <v>167.8374101</v>
      </c>
      <c r="N260" s="11">
        <f t="shared" si="774"/>
        <v>323.3255793</v>
      </c>
      <c r="O260" s="19">
        <v>6.6</v>
      </c>
      <c r="P260" s="19"/>
      <c r="Q260" s="19">
        <v>2.77</v>
      </c>
      <c r="R260" s="19"/>
      <c r="S260" s="19">
        <v>17.61</v>
      </c>
      <c r="T260" s="14"/>
      <c r="U260" s="14">
        <f t="shared" si="775"/>
        <v>7.609404</v>
      </c>
      <c r="V260" s="14">
        <f t="shared" si="776"/>
        <v>3.1936438</v>
      </c>
      <c r="W260" s="14">
        <f t="shared" si="777"/>
        <v>20.3032734</v>
      </c>
      <c r="X260" s="13"/>
      <c r="Y260" s="13"/>
      <c r="Z260" s="13" t="str">
        <f t="shared" si="778"/>
        <v>4 (3-6)</v>
      </c>
      <c r="AA260" s="13" t="str">
        <f t="shared" si="779"/>
        <v>180 (168-323)</v>
      </c>
      <c r="AB260" s="13" t="str">
        <f t="shared" si="780"/>
        <v>7 (3-18)</v>
      </c>
      <c r="AC260" s="13" t="str">
        <f t="shared" si="781"/>
        <v>8 (3-20)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hidden="1">
      <c r="A261" s="7" t="s">
        <v>29</v>
      </c>
      <c r="B261" s="16" t="s">
        <v>93</v>
      </c>
      <c r="C261" s="23">
        <v>2050.0</v>
      </c>
      <c r="D261" s="17">
        <f>56995+58464</f>
        <v>115459</v>
      </c>
      <c r="E261" s="10">
        <v>5696062.0</v>
      </c>
      <c r="F261" s="19">
        <v>4.27</v>
      </c>
      <c r="G261" s="10">
        <f t="shared" si="1"/>
        <v>243.2218474</v>
      </c>
      <c r="H261" s="19">
        <v>2.99</v>
      </c>
      <c r="I261" s="8">
        <f t="shared" si="2"/>
        <v>170.3122538</v>
      </c>
      <c r="J261" s="19">
        <v>5.76</v>
      </c>
      <c r="K261" s="11">
        <f t="shared" si="3"/>
        <v>328.0931712</v>
      </c>
      <c r="L261" s="11">
        <f t="shared" si="13"/>
        <v>210.6564645</v>
      </c>
      <c r="M261" s="11">
        <f t="shared" si="773"/>
        <v>196.6408251</v>
      </c>
      <c r="N261" s="11">
        <f t="shared" si="774"/>
        <v>378.8130945</v>
      </c>
      <c r="O261" s="19">
        <v>6.6</v>
      </c>
      <c r="P261" s="8">
        <f t="shared" ref="P261:P262" si="782">(O261/100000)*E261</f>
        <v>375.940092</v>
      </c>
      <c r="Q261" s="19">
        <v>2.77</v>
      </c>
      <c r="R261" s="8">
        <f t="shared" ref="R261:R262" si="783">(Q261/100000)*E261</f>
        <v>157.7809174</v>
      </c>
      <c r="S261" s="19">
        <v>17.61</v>
      </c>
      <c r="T261" s="11">
        <f t="shared" ref="T261:T262" si="784">(S261/100000)*E261</f>
        <v>1003.076518</v>
      </c>
      <c r="U261" s="14">
        <f t="shared" si="775"/>
        <v>7.620294</v>
      </c>
      <c r="V261" s="14">
        <f t="shared" si="776"/>
        <v>3.1982143</v>
      </c>
      <c r="W261" s="14">
        <f t="shared" si="777"/>
        <v>20.3323299</v>
      </c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>
      <c r="A262" s="7" t="s">
        <v>23</v>
      </c>
      <c r="B262" s="16" t="s">
        <v>94</v>
      </c>
      <c r="C262" s="20">
        <v>2021.0</v>
      </c>
      <c r="D262" s="17">
        <f>1888787+1978994.5</f>
        <v>3867781.5</v>
      </c>
      <c r="E262" s="18">
        <v>1.22138588E8</v>
      </c>
      <c r="F262" s="19">
        <v>4.76</v>
      </c>
      <c r="G262" s="10">
        <f t="shared" si="1"/>
        <v>5813.796789</v>
      </c>
      <c r="H262" s="19">
        <v>3.31</v>
      </c>
      <c r="I262" s="8">
        <f t="shared" si="2"/>
        <v>4042.787263</v>
      </c>
      <c r="J262" s="19">
        <v>6.53</v>
      </c>
      <c r="K262" s="11">
        <f t="shared" si="3"/>
        <v>7975.649796</v>
      </c>
      <c r="L262" s="11">
        <f t="shared" si="13"/>
        <v>150.3134753</v>
      </c>
      <c r="M262" s="12">
        <f>(I262/D262)*100000</f>
        <v>104.5247065</v>
      </c>
      <c r="N262" s="11">
        <f>(K262/D262)*100000</f>
        <v>206.2073516</v>
      </c>
      <c r="O262" s="19">
        <v>8.5</v>
      </c>
      <c r="P262" s="8">
        <f t="shared" si="782"/>
        <v>10381.77998</v>
      </c>
      <c r="Q262" s="19">
        <v>3.17</v>
      </c>
      <c r="R262" s="8">
        <f t="shared" si="783"/>
        <v>3871.79324</v>
      </c>
      <c r="S262" s="19">
        <v>25.99</v>
      </c>
      <c r="T262" s="11">
        <f t="shared" si="784"/>
        <v>31743.81902</v>
      </c>
      <c r="U262" s="11">
        <f>(P262/D262)*100000</f>
        <v>268.4169201</v>
      </c>
      <c r="V262" s="11">
        <f>(R262/D262)*100000</f>
        <v>100.103722</v>
      </c>
      <c r="W262" s="11">
        <f>(T262/D262)*100000</f>
        <v>820.7242064</v>
      </c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hidden="1">
      <c r="A263" s="7" t="s">
        <v>25</v>
      </c>
      <c r="B263" s="16" t="s">
        <v>94</v>
      </c>
      <c r="C263" s="23">
        <v>2030.0</v>
      </c>
      <c r="D263" s="17">
        <f>2059445+2156417</f>
        <v>4215862</v>
      </c>
      <c r="E263" s="10">
        <v>1.52855357E8</v>
      </c>
      <c r="F263" s="19">
        <v>4.76</v>
      </c>
      <c r="G263" s="10">
        <f t="shared" si="1"/>
        <v>7275.914993</v>
      </c>
      <c r="H263" s="19">
        <v>3.31</v>
      </c>
      <c r="I263" s="8">
        <f t="shared" si="2"/>
        <v>5059.512317</v>
      </c>
      <c r="J263" s="19">
        <v>6.53</v>
      </c>
      <c r="K263" s="11">
        <f t="shared" si="3"/>
        <v>9981.454812</v>
      </c>
      <c r="L263" s="11">
        <f t="shared" si="13"/>
        <v>172.584278</v>
      </c>
      <c r="M263" s="11">
        <f t="shared" ref="M263:M265" si="785">(I263*D263)/100000</f>
        <v>213302.0571</v>
      </c>
      <c r="N263" s="11">
        <f t="shared" ref="N263:N265" si="786">(K263*D263)/100000</f>
        <v>420804.3605</v>
      </c>
      <c r="O263" s="19">
        <v>8.5</v>
      </c>
      <c r="P263" s="19"/>
      <c r="Q263" s="19">
        <v>3.17</v>
      </c>
      <c r="R263" s="19"/>
      <c r="S263" s="19">
        <v>25.99</v>
      </c>
      <c r="T263" s="14"/>
      <c r="U263" s="14">
        <f t="shared" ref="U263:U265" si="787">(O263*D263)/100000</f>
        <v>358.34827</v>
      </c>
      <c r="V263" s="14">
        <f t="shared" ref="V263:V265" si="788">(Q263*D263)/100000</f>
        <v>133.6428254</v>
      </c>
      <c r="W263" s="14">
        <f t="shared" ref="W263:W265" si="789">(S263*D263)/100000</f>
        <v>1095.702534</v>
      </c>
      <c r="X263" s="13"/>
      <c r="Y263" s="13"/>
      <c r="Z263" s="13" t="str">
        <f t="shared" ref="Z263:Z264" si="790">ROUND(F263, 0) &amp; " (" &amp; ROUND(H263, 0) &amp; "-" &amp; ROUND(J263, 0) &amp; ")"</f>
        <v>5 (3-7)</v>
      </c>
      <c r="AA263" s="13" t="str">
        <f t="shared" ref="AA263:AA264" si="791">ROUND(L263, 0) &amp; " (" &amp; ROUND(M263, 0) &amp; "-" &amp; ROUND(N263, 0) &amp; ")"</f>
        <v>173 (213302-420804)</v>
      </c>
      <c r="AB263" s="13" t="str">
        <f t="shared" ref="AB263:AB264" si="792">ROUND(O263, 0) &amp; " (" &amp; ROUND(Q263, 0) &amp; "-" &amp; ROUND(S263, 0) &amp; ")"</f>
        <v>9 (3-26)</v>
      </c>
      <c r="AC263" s="13" t="str">
        <f t="shared" ref="AC263:AC264" si="793">ROUND(U263, 0) &amp; " (" &amp; ROUND(V263, 0) &amp; "-" &amp; ROUND(W263, 0) &amp; ")"</f>
        <v>358 (134-1096)</v>
      </c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hidden="1">
      <c r="A264" s="7" t="s">
        <v>27</v>
      </c>
      <c r="B264" s="16" t="s">
        <v>94</v>
      </c>
      <c r="C264" s="23">
        <v>2040.0</v>
      </c>
      <c r="D264" s="17">
        <f>2172817+2273695</f>
        <v>4446512</v>
      </c>
      <c r="E264" s="10">
        <v>1.88450902E8</v>
      </c>
      <c r="F264" s="19">
        <v>4.76</v>
      </c>
      <c r="G264" s="10">
        <f t="shared" si="1"/>
        <v>8970.262935</v>
      </c>
      <c r="H264" s="19">
        <v>3.31</v>
      </c>
      <c r="I264" s="8">
        <f t="shared" si="2"/>
        <v>6237.724856</v>
      </c>
      <c r="J264" s="19">
        <v>6.53</v>
      </c>
      <c r="K264" s="11">
        <f t="shared" si="3"/>
        <v>12305.8439</v>
      </c>
      <c r="L264" s="11">
        <f t="shared" si="13"/>
        <v>201.737068</v>
      </c>
      <c r="M264" s="11">
        <f t="shared" si="785"/>
        <v>277361.1843</v>
      </c>
      <c r="N264" s="11">
        <f t="shared" si="786"/>
        <v>547180.8257</v>
      </c>
      <c r="O264" s="19">
        <v>8.5</v>
      </c>
      <c r="P264" s="19"/>
      <c r="Q264" s="19">
        <v>3.17</v>
      </c>
      <c r="R264" s="19"/>
      <c r="S264" s="19">
        <v>25.99</v>
      </c>
      <c r="T264" s="14"/>
      <c r="U264" s="14">
        <f t="shared" si="787"/>
        <v>377.95352</v>
      </c>
      <c r="V264" s="14">
        <f t="shared" si="788"/>
        <v>140.9544304</v>
      </c>
      <c r="W264" s="14">
        <f t="shared" si="789"/>
        <v>1155.648469</v>
      </c>
      <c r="X264" s="13"/>
      <c r="Y264" s="13"/>
      <c r="Z264" s="13" t="str">
        <f t="shared" si="790"/>
        <v>5 (3-7)</v>
      </c>
      <c r="AA264" s="13" t="str">
        <f t="shared" si="791"/>
        <v>202 (277361-547181)</v>
      </c>
      <c r="AB264" s="13" t="str">
        <f t="shared" si="792"/>
        <v>9 (3-26)</v>
      </c>
      <c r="AC264" s="13" t="str">
        <f t="shared" si="793"/>
        <v>378 (141-1156)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hidden="1">
      <c r="A265" s="7" t="s">
        <v>29</v>
      </c>
      <c r="B265" s="16" t="s">
        <v>94</v>
      </c>
      <c r="C265" s="23">
        <v>2050.0</v>
      </c>
      <c r="D265" s="17">
        <f>2310131+2420213</f>
        <v>4730344</v>
      </c>
      <c r="E265" s="10">
        <v>2.25021875E8</v>
      </c>
      <c r="F265" s="19">
        <v>4.76</v>
      </c>
      <c r="G265" s="10">
        <f t="shared" si="1"/>
        <v>10711.04125</v>
      </c>
      <c r="H265" s="19">
        <v>3.31</v>
      </c>
      <c r="I265" s="8">
        <f t="shared" si="2"/>
        <v>7448.224063</v>
      </c>
      <c r="J265" s="19">
        <v>6.53</v>
      </c>
      <c r="K265" s="11">
        <f t="shared" si="3"/>
        <v>14693.92844</v>
      </c>
      <c r="L265" s="11">
        <f t="shared" si="13"/>
        <v>226.4326072</v>
      </c>
      <c r="M265" s="11">
        <f t="shared" si="785"/>
        <v>352326.62</v>
      </c>
      <c r="N265" s="11">
        <f t="shared" si="786"/>
        <v>695073.3622</v>
      </c>
      <c r="O265" s="19">
        <v>8.5</v>
      </c>
      <c r="P265" s="8">
        <f t="shared" ref="P265:P266" si="794">(O265/100000)*E265</f>
        <v>19126.85938</v>
      </c>
      <c r="Q265" s="19">
        <v>3.17</v>
      </c>
      <c r="R265" s="8">
        <f t="shared" ref="R265:R266" si="795">(Q265/100000)*E265</f>
        <v>7133.193438</v>
      </c>
      <c r="S265" s="19">
        <v>25.99</v>
      </c>
      <c r="T265" s="11">
        <f t="shared" ref="T265:T266" si="796">(S265/100000)*E265</f>
        <v>58483.18531</v>
      </c>
      <c r="U265" s="14">
        <f t="shared" si="787"/>
        <v>402.07924</v>
      </c>
      <c r="V265" s="14">
        <f t="shared" si="788"/>
        <v>149.9519048</v>
      </c>
      <c r="W265" s="14">
        <f t="shared" si="789"/>
        <v>1229.416406</v>
      </c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>
      <c r="A266" s="7" t="s">
        <v>23</v>
      </c>
      <c r="B266" s="16" t="s">
        <v>95</v>
      </c>
      <c r="C266" s="20">
        <v>2021.0</v>
      </c>
      <c r="D266" s="17">
        <f>704415+715019</f>
        <v>1419434</v>
      </c>
      <c r="E266" s="18">
        <v>5.3219166E7</v>
      </c>
      <c r="F266" s="19">
        <v>2.36</v>
      </c>
      <c r="G266" s="10">
        <f t="shared" si="1"/>
        <v>1255.972318</v>
      </c>
      <c r="H266" s="19">
        <v>1.7</v>
      </c>
      <c r="I266" s="8">
        <f t="shared" si="2"/>
        <v>904.725822</v>
      </c>
      <c r="J266" s="19">
        <v>3.21</v>
      </c>
      <c r="K266" s="11">
        <f t="shared" si="3"/>
        <v>1708.335229</v>
      </c>
      <c r="L266" s="11">
        <f t="shared" si="13"/>
        <v>88.48402374</v>
      </c>
      <c r="M266" s="12">
        <f>(I266/D266)*100000</f>
        <v>63.73849168</v>
      </c>
      <c r="N266" s="11">
        <f>(K266/D266)*100000</f>
        <v>120.3532696</v>
      </c>
      <c r="O266" s="19">
        <v>4.37</v>
      </c>
      <c r="P266" s="8">
        <f t="shared" si="794"/>
        <v>2325.677554</v>
      </c>
      <c r="Q266" s="19">
        <v>2.35</v>
      </c>
      <c r="R266" s="8">
        <f t="shared" si="795"/>
        <v>1250.650401</v>
      </c>
      <c r="S266" s="19">
        <v>9.1</v>
      </c>
      <c r="T266" s="11">
        <f t="shared" si="796"/>
        <v>4842.944106</v>
      </c>
      <c r="U266" s="11">
        <f>(P266/D266)*100000</f>
        <v>163.8454168</v>
      </c>
      <c r="V266" s="11">
        <f>(R266/D266)*100000</f>
        <v>88.10909144</v>
      </c>
      <c r="W266" s="11">
        <f>(T266/D266)*100000</f>
        <v>341.1883966</v>
      </c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hidden="1">
      <c r="A267" s="7" t="s">
        <v>25</v>
      </c>
      <c r="B267" s="16" t="s">
        <v>95</v>
      </c>
      <c r="C267" s="23">
        <v>2030.0</v>
      </c>
      <c r="D267" s="17">
        <f>783780+795098</f>
        <v>1578878</v>
      </c>
      <c r="E267" s="10">
        <v>6.3102245E7</v>
      </c>
      <c r="F267" s="19">
        <v>2.36</v>
      </c>
      <c r="G267" s="10">
        <f t="shared" si="1"/>
        <v>1489.212982</v>
      </c>
      <c r="H267" s="19">
        <v>1.7</v>
      </c>
      <c r="I267" s="8">
        <f t="shared" si="2"/>
        <v>1072.738165</v>
      </c>
      <c r="J267" s="19">
        <v>3.21</v>
      </c>
      <c r="K267" s="11">
        <f t="shared" si="3"/>
        <v>2025.582065</v>
      </c>
      <c r="L267" s="11">
        <f t="shared" si="13"/>
        <v>94.32096603</v>
      </c>
      <c r="M267" s="11">
        <f t="shared" ref="M267:M269" si="797">(I267*D267)/100000</f>
        <v>16937.22688</v>
      </c>
      <c r="N267" s="11">
        <f t="shared" ref="N267:N269" si="798">(K267*D267)/100000</f>
        <v>31981.46959</v>
      </c>
      <c r="O267" s="19">
        <v>4.37</v>
      </c>
      <c r="P267" s="19"/>
      <c r="Q267" s="19">
        <v>2.35</v>
      </c>
      <c r="R267" s="19"/>
      <c r="S267" s="19">
        <v>9.1</v>
      </c>
      <c r="T267" s="14"/>
      <c r="U267" s="14">
        <f t="shared" ref="U267:U269" si="799">(O267*D267)/100000</f>
        <v>68.9969686</v>
      </c>
      <c r="V267" s="14">
        <f t="shared" ref="V267:V269" si="800">(Q267*D267)/100000</f>
        <v>37.103633</v>
      </c>
      <c r="W267" s="14">
        <f t="shared" ref="W267:W269" si="801">(S267*D267)/100000</f>
        <v>143.677898</v>
      </c>
      <c r="X267" s="13"/>
      <c r="Y267" s="13"/>
      <c r="Z267" s="13" t="str">
        <f t="shared" ref="Z267:Z268" si="802">ROUND(F267, 0) &amp; " (" &amp; ROUND(H267, 0) &amp; "-" &amp; ROUND(J267, 0) &amp; ")"</f>
        <v>2 (2-3)</v>
      </c>
      <c r="AA267" s="13" t="str">
        <f t="shared" ref="AA267:AA268" si="803">ROUND(L267, 0) &amp; " (" &amp; ROUND(M267, 0) &amp; "-" &amp; ROUND(N267, 0) &amp; ")"</f>
        <v>94 (16937-31981)</v>
      </c>
      <c r="AB267" s="13" t="str">
        <f t="shared" ref="AB267:AB268" si="804">ROUND(O267, 0) &amp; " (" &amp; ROUND(Q267, 0) &amp; "-" &amp; ROUND(S267, 0) &amp; ")"</f>
        <v>4 (2-9)</v>
      </c>
      <c r="AC267" s="13" t="str">
        <f t="shared" ref="AC267:AC268" si="805">ROUND(U267, 0) &amp; " (" &amp; ROUND(V267, 0) &amp; "-" &amp; ROUND(W267, 0) &amp; ")"</f>
        <v>69 (37-144)</v>
      </c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hidden="1">
      <c r="A268" s="7" t="s">
        <v>27</v>
      </c>
      <c r="B268" s="16" t="s">
        <v>95</v>
      </c>
      <c r="C268" s="23">
        <v>2040.0</v>
      </c>
      <c r="D268" s="17">
        <f>803143+814276</f>
        <v>1617419</v>
      </c>
      <c r="E268" s="10">
        <v>7.4108863E7</v>
      </c>
      <c r="F268" s="19">
        <v>2.36</v>
      </c>
      <c r="G268" s="10">
        <f t="shared" si="1"/>
        <v>1748.969167</v>
      </c>
      <c r="H268" s="19">
        <v>1.7</v>
      </c>
      <c r="I268" s="8">
        <f t="shared" si="2"/>
        <v>1259.850671</v>
      </c>
      <c r="J268" s="19">
        <v>3.21</v>
      </c>
      <c r="K268" s="11">
        <f t="shared" si="3"/>
        <v>2378.894502</v>
      </c>
      <c r="L268" s="11">
        <f t="shared" si="13"/>
        <v>108.1333388</v>
      </c>
      <c r="M268" s="11">
        <f t="shared" si="797"/>
        <v>20377.06412</v>
      </c>
      <c r="N268" s="11">
        <f t="shared" si="798"/>
        <v>38476.69167</v>
      </c>
      <c r="O268" s="19">
        <v>4.37</v>
      </c>
      <c r="P268" s="19"/>
      <c r="Q268" s="19">
        <v>2.35</v>
      </c>
      <c r="R268" s="19"/>
      <c r="S268" s="19">
        <v>9.1</v>
      </c>
      <c r="T268" s="14"/>
      <c r="U268" s="14">
        <f t="shared" si="799"/>
        <v>70.6812103</v>
      </c>
      <c r="V268" s="14">
        <f t="shared" si="800"/>
        <v>38.0093465</v>
      </c>
      <c r="W268" s="14">
        <f t="shared" si="801"/>
        <v>147.185129</v>
      </c>
      <c r="X268" s="13"/>
      <c r="Y268" s="13"/>
      <c r="Z268" s="13" t="str">
        <f t="shared" si="802"/>
        <v>2 (2-3)</v>
      </c>
      <c r="AA268" s="13" t="str">
        <f t="shared" si="803"/>
        <v>108 (20377-38477)</v>
      </c>
      <c r="AB268" s="13" t="str">
        <f t="shared" si="804"/>
        <v>4 (2-9)</v>
      </c>
      <c r="AC268" s="13" t="str">
        <f t="shared" si="805"/>
        <v>71 (38-147)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hidden="1">
      <c r="A269" s="7" t="s">
        <v>29</v>
      </c>
      <c r="B269" s="16" t="s">
        <v>95</v>
      </c>
      <c r="C269" s="23">
        <v>2050.0</v>
      </c>
      <c r="D269" s="17">
        <f>778354+788831</f>
        <v>1567185</v>
      </c>
      <c r="E269" s="10">
        <v>8.3593239E7</v>
      </c>
      <c r="F269" s="19">
        <v>2.36</v>
      </c>
      <c r="G269" s="10">
        <f t="shared" si="1"/>
        <v>1972.80044</v>
      </c>
      <c r="H269" s="19">
        <v>1.7</v>
      </c>
      <c r="I269" s="8">
        <f t="shared" si="2"/>
        <v>1421.085063</v>
      </c>
      <c r="J269" s="19">
        <v>3.21</v>
      </c>
      <c r="K269" s="11">
        <f t="shared" si="3"/>
        <v>2683.342972</v>
      </c>
      <c r="L269" s="11">
        <f t="shared" si="13"/>
        <v>125.8817842</v>
      </c>
      <c r="M269" s="11">
        <f t="shared" si="797"/>
        <v>22271.03194</v>
      </c>
      <c r="N269" s="11">
        <f t="shared" si="798"/>
        <v>42052.94855</v>
      </c>
      <c r="O269" s="19">
        <v>4.37</v>
      </c>
      <c r="P269" s="8">
        <f t="shared" ref="P269:P270" si="806">(O269/100000)*E269</f>
        <v>3653.024544</v>
      </c>
      <c r="Q269" s="19">
        <v>2.35</v>
      </c>
      <c r="R269" s="8">
        <f t="shared" ref="R269:R270" si="807">(Q269/100000)*E269</f>
        <v>1964.441117</v>
      </c>
      <c r="S269" s="19">
        <v>9.1</v>
      </c>
      <c r="T269" s="11">
        <f t="shared" ref="T269:T270" si="808">(S269/100000)*E269</f>
        <v>7606.984749</v>
      </c>
      <c r="U269" s="14">
        <f t="shared" si="799"/>
        <v>68.4859845</v>
      </c>
      <c r="V269" s="14">
        <f t="shared" si="800"/>
        <v>36.8288475</v>
      </c>
      <c r="W269" s="14">
        <f t="shared" si="801"/>
        <v>142.613835</v>
      </c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>
      <c r="A270" s="7" t="s">
        <v>23</v>
      </c>
      <c r="B270" s="16" t="s">
        <v>96</v>
      </c>
      <c r="C270" s="20">
        <v>2021.0</v>
      </c>
      <c r="D270" s="17">
        <f>459983+474774</f>
        <v>934757</v>
      </c>
      <c r="E270" s="18">
        <v>2.9691083E7</v>
      </c>
      <c r="F270" s="19">
        <v>3.74</v>
      </c>
      <c r="G270" s="10">
        <f t="shared" si="1"/>
        <v>1110.446504</v>
      </c>
      <c r="H270" s="19">
        <v>2.64</v>
      </c>
      <c r="I270" s="8">
        <f t="shared" si="2"/>
        <v>783.8445912</v>
      </c>
      <c r="J270" s="19">
        <v>5.08</v>
      </c>
      <c r="K270" s="11">
        <f t="shared" si="3"/>
        <v>1508.307016</v>
      </c>
      <c r="L270" s="11">
        <f t="shared" si="13"/>
        <v>118.795206</v>
      </c>
      <c r="M270" s="12">
        <f>(I270/D270)*100000</f>
        <v>83.85543956</v>
      </c>
      <c r="N270" s="11">
        <f>(K270/D270)*100000</f>
        <v>161.3581943</v>
      </c>
      <c r="O270" s="19">
        <v>7.04</v>
      </c>
      <c r="P270" s="8">
        <f t="shared" si="806"/>
        <v>2090.252243</v>
      </c>
      <c r="Q270" s="19">
        <v>2.99</v>
      </c>
      <c r="R270" s="8">
        <f t="shared" si="807"/>
        <v>887.7633817</v>
      </c>
      <c r="S270" s="19">
        <v>20.77</v>
      </c>
      <c r="T270" s="11">
        <f t="shared" si="808"/>
        <v>6166.837939</v>
      </c>
      <c r="U270" s="11">
        <f>(P270/D270)*100000</f>
        <v>223.6145055</v>
      </c>
      <c r="V270" s="11">
        <f>(R270/D270)*100000</f>
        <v>94.97263799</v>
      </c>
      <c r="W270" s="11">
        <f>(T270/D270)*100000</f>
        <v>659.7263181</v>
      </c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hidden="1">
      <c r="A271" s="7" t="s">
        <v>25</v>
      </c>
      <c r="B271" s="16" t="s">
        <v>96</v>
      </c>
      <c r="C271" s="23">
        <v>2030.0</v>
      </c>
      <c r="D271" s="17">
        <f>506388+521753</f>
        <v>1028141</v>
      </c>
      <c r="E271" s="10">
        <v>3.6693183E7</v>
      </c>
      <c r="F271" s="19">
        <v>3.74</v>
      </c>
      <c r="G271" s="10">
        <f t="shared" si="1"/>
        <v>1372.325044</v>
      </c>
      <c r="H271" s="19">
        <v>2.64</v>
      </c>
      <c r="I271" s="8">
        <f t="shared" si="2"/>
        <v>968.7000312</v>
      </c>
      <c r="J271" s="19">
        <v>5.08</v>
      </c>
      <c r="K271" s="11">
        <f t="shared" si="3"/>
        <v>1864.013696</v>
      </c>
      <c r="L271" s="11">
        <f t="shared" si="13"/>
        <v>133.4763466</v>
      </c>
      <c r="M271" s="11">
        <f t="shared" ref="M271:M273" si="809">(I271*D271)/100000</f>
        <v>9959.602188</v>
      </c>
      <c r="N271" s="11">
        <f t="shared" ref="N271:N273" si="810">(K271*D271)/100000</f>
        <v>19164.68906</v>
      </c>
      <c r="O271" s="19">
        <v>7.04</v>
      </c>
      <c r="P271" s="19"/>
      <c r="Q271" s="19">
        <v>2.99</v>
      </c>
      <c r="R271" s="19"/>
      <c r="S271" s="19">
        <v>20.77</v>
      </c>
      <c r="T271" s="14"/>
      <c r="U271" s="14">
        <f t="shared" ref="U271:U273" si="811">(O271*D271)/100000</f>
        <v>72.3811264</v>
      </c>
      <c r="V271" s="14">
        <f t="shared" ref="V271:V273" si="812">(Q271*D271)/100000</f>
        <v>30.7414159</v>
      </c>
      <c r="W271" s="14">
        <f t="shared" ref="W271:W273" si="813">(S271*D271)/100000</f>
        <v>213.5448857</v>
      </c>
      <c r="X271" s="13"/>
      <c r="Y271" s="13"/>
      <c r="Z271" s="13" t="str">
        <f t="shared" ref="Z271:Z272" si="814">ROUND(F271, 0) &amp; " (" &amp; ROUND(H271, 0) &amp; "-" &amp; ROUND(J271, 0) &amp; ")"</f>
        <v>4 (3-5)</v>
      </c>
      <c r="AA271" s="13" t="str">
        <f t="shared" ref="AA271:AA272" si="815">ROUND(L271, 0) &amp; " (" &amp; ROUND(M271, 0) &amp; "-" &amp; ROUND(N271, 0) &amp; ")"</f>
        <v>133 (9960-19165)</v>
      </c>
      <c r="AB271" s="13" t="str">
        <f t="shared" ref="AB271:AB272" si="816">ROUND(O271, 0) &amp; " (" &amp; ROUND(Q271, 0) &amp; "-" &amp; ROUND(S271, 0) &amp; ")"</f>
        <v>7 (3-21)</v>
      </c>
      <c r="AC271" s="13" t="str">
        <f t="shared" ref="AC271:AC272" si="817">ROUND(U271, 0) &amp; " (" &amp; ROUND(V271, 0) &amp; "-" &amp; ROUND(W271, 0) &amp; ")"</f>
        <v>72 (31-214)</v>
      </c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hidden="1">
      <c r="A272" s="7" t="s">
        <v>27</v>
      </c>
      <c r="B272" s="16" t="s">
        <v>96</v>
      </c>
      <c r="C272" s="23">
        <v>2040.0</v>
      </c>
      <c r="D272" s="17">
        <f>547895+563814</f>
        <v>1111709</v>
      </c>
      <c r="E272" s="10">
        <v>4.4846895E7</v>
      </c>
      <c r="F272" s="19">
        <v>3.74</v>
      </c>
      <c r="G272" s="10">
        <f t="shared" si="1"/>
        <v>1677.273873</v>
      </c>
      <c r="H272" s="19">
        <v>2.64</v>
      </c>
      <c r="I272" s="8">
        <f t="shared" si="2"/>
        <v>1183.958028</v>
      </c>
      <c r="J272" s="19">
        <v>5.08</v>
      </c>
      <c r="K272" s="11">
        <f t="shared" si="3"/>
        <v>2278.222266</v>
      </c>
      <c r="L272" s="11">
        <f t="shared" si="13"/>
        <v>150.8734636</v>
      </c>
      <c r="M272" s="11">
        <f t="shared" si="809"/>
        <v>13162.16795</v>
      </c>
      <c r="N272" s="11">
        <f t="shared" si="810"/>
        <v>25327.20197</v>
      </c>
      <c r="O272" s="19">
        <v>7.04</v>
      </c>
      <c r="P272" s="19"/>
      <c r="Q272" s="19">
        <v>2.99</v>
      </c>
      <c r="R272" s="19"/>
      <c r="S272" s="19">
        <v>20.77</v>
      </c>
      <c r="T272" s="14"/>
      <c r="U272" s="14">
        <f t="shared" si="811"/>
        <v>78.2643136</v>
      </c>
      <c r="V272" s="14">
        <f t="shared" si="812"/>
        <v>33.2400991</v>
      </c>
      <c r="W272" s="14">
        <f t="shared" si="813"/>
        <v>230.9019593</v>
      </c>
      <c r="X272" s="13"/>
      <c r="Y272" s="13"/>
      <c r="Z272" s="13" t="str">
        <f t="shared" si="814"/>
        <v>4 (3-5)</v>
      </c>
      <c r="AA272" s="13" t="str">
        <f t="shared" si="815"/>
        <v>151 (13162-25327)</v>
      </c>
      <c r="AB272" s="13" t="str">
        <f t="shared" si="816"/>
        <v>7 (3-21)</v>
      </c>
      <c r="AC272" s="13" t="str">
        <f t="shared" si="817"/>
        <v>78 (33-231)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hidden="1">
      <c r="A273" s="7" t="s">
        <v>29</v>
      </c>
      <c r="B273" s="16" t="s">
        <v>96</v>
      </c>
      <c r="C273" s="23">
        <v>2050.0</v>
      </c>
      <c r="D273" s="17">
        <f>583807+600072</f>
        <v>1183879</v>
      </c>
      <c r="E273" s="10">
        <v>5.3185475E7</v>
      </c>
      <c r="F273" s="19">
        <v>3.74</v>
      </c>
      <c r="G273" s="10">
        <f t="shared" si="1"/>
        <v>1989.136765</v>
      </c>
      <c r="H273" s="19">
        <v>2.64</v>
      </c>
      <c r="I273" s="8">
        <f t="shared" si="2"/>
        <v>1404.09654</v>
      </c>
      <c r="J273" s="19">
        <v>5.08</v>
      </c>
      <c r="K273" s="11">
        <f t="shared" si="3"/>
        <v>2701.82213</v>
      </c>
      <c r="L273" s="11">
        <f t="shared" si="13"/>
        <v>168.0185868</v>
      </c>
      <c r="M273" s="11">
        <f t="shared" si="809"/>
        <v>16622.80408</v>
      </c>
      <c r="N273" s="11">
        <f t="shared" si="810"/>
        <v>31986.30481</v>
      </c>
      <c r="O273" s="19">
        <v>7.04</v>
      </c>
      <c r="P273" s="8">
        <f t="shared" ref="P273:P274" si="818">(O273/100000)*E273</f>
        <v>3744.25744</v>
      </c>
      <c r="Q273" s="19">
        <v>2.99</v>
      </c>
      <c r="R273" s="8">
        <f t="shared" ref="R273:R274" si="819">(Q273/100000)*E273</f>
        <v>1590.245703</v>
      </c>
      <c r="S273" s="19">
        <v>20.77</v>
      </c>
      <c r="T273" s="11">
        <f t="shared" ref="T273:T274" si="820">(S273/100000)*E273</f>
        <v>11046.62316</v>
      </c>
      <c r="U273" s="14">
        <f t="shared" si="811"/>
        <v>83.3450816</v>
      </c>
      <c r="V273" s="14">
        <f t="shared" si="812"/>
        <v>35.3979821</v>
      </c>
      <c r="W273" s="14">
        <f t="shared" si="813"/>
        <v>245.8916683</v>
      </c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>
      <c r="A274" s="7" t="s">
        <v>23</v>
      </c>
      <c r="B274" s="16" t="s">
        <v>97</v>
      </c>
      <c r="C274" s="20">
        <v>2021.0</v>
      </c>
      <c r="D274" s="17">
        <f>309829.5+311879.5</f>
        <v>621709</v>
      </c>
      <c r="E274" s="18">
        <v>2.0047258E7</v>
      </c>
      <c r="F274" s="19">
        <v>3.53</v>
      </c>
      <c r="G274" s="10">
        <f t="shared" si="1"/>
        <v>707.6682074</v>
      </c>
      <c r="H274" s="19">
        <v>2.47</v>
      </c>
      <c r="I274" s="8">
        <f t="shared" si="2"/>
        <v>495.1672726</v>
      </c>
      <c r="J274" s="19">
        <v>4.91</v>
      </c>
      <c r="K274" s="11">
        <f t="shared" si="3"/>
        <v>984.3203678</v>
      </c>
      <c r="L274" s="11">
        <f t="shared" si="13"/>
        <v>113.8262768</v>
      </c>
      <c r="M274" s="12">
        <f>(I274/D274)*100000</f>
        <v>79.64614837</v>
      </c>
      <c r="N274" s="11">
        <f>(K274/D274)*100000</f>
        <v>158.3249346</v>
      </c>
      <c r="O274" s="19">
        <v>6.85</v>
      </c>
      <c r="P274" s="8">
        <f t="shared" si="818"/>
        <v>1373.237173</v>
      </c>
      <c r="Q274" s="19">
        <v>3.0</v>
      </c>
      <c r="R274" s="8">
        <f t="shared" si="819"/>
        <v>601.41774</v>
      </c>
      <c r="S274" s="19">
        <v>20.06</v>
      </c>
      <c r="T274" s="11">
        <f t="shared" si="820"/>
        <v>4021.479955</v>
      </c>
      <c r="U274" s="11">
        <f>(P274/D274)*100000</f>
        <v>220.8810188</v>
      </c>
      <c r="V274" s="11">
        <f>(R274/D274)*100000</f>
        <v>96.7362126</v>
      </c>
      <c r="W274" s="11">
        <f>(T274/D274)*100000</f>
        <v>646.8428083</v>
      </c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hidden="1">
      <c r="A275" s="7" t="s">
        <v>25</v>
      </c>
      <c r="B275" s="16" t="s">
        <v>97</v>
      </c>
      <c r="C275" s="23">
        <v>2030.0</v>
      </c>
      <c r="D275" s="17">
        <f>353054+355714</f>
        <v>708768</v>
      </c>
      <c r="E275" s="10">
        <v>2.5160287E7</v>
      </c>
      <c r="F275" s="19">
        <v>3.53</v>
      </c>
      <c r="G275" s="10">
        <f t="shared" si="1"/>
        <v>888.1581311</v>
      </c>
      <c r="H275" s="19">
        <v>2.47</v>
      </c>
      <c r="I275" s="8">
        <f t="shared" si="2"/>
        <v>621.4590889</v>
      </c>
      <c r="J275" s="19">
        <v>4.91</v>
      </c>
      <c r="K275" s="11">
        <f t="shared" si="3"/>
        <v>1235.370092</v>
      </c>
      <c r="L275" s="11">
        <f t="shared" si="13"/>
        <v>125.3101341</v>
      </c>
      <c r="M275" s="11">
        <f t="shared" ref="M275:M277" si="821">(I275*D275)/100000</f>
        <v>4404.703155</v>
      </c>
      <c r="N275" s="11">
        <f t="shared" ref="N275:N277" si="822">(K275*D275)/100000</f>
        <v>8755.907892</v>
      </c>
      <c r="O275" s="19">
        <v>6.85</v>
      </c>
      <c r="P275" s="19"/>
      <c r="Q275" s="19">
        <v>3.0</v>
      </c>
      <c r="R275" s="19"/>
      <c r="S275" s="19">
        <v>20.06</v>
      </c>
      <c r="T275" s="14"/>
      <c r="U275" s="14">
        <f t="shared" ref="U275:U277" si="823">(O275*D275)/100000</f>
        <v>48.550608</v>
      </c>
      <c r="V275" s="14">
        <f t="shared" ref="V275:V277" si="824">(Q275*D275)/100000</f>
        <v>21.26304</v>
      </c>
      <c r="W275" s="14">
        <f t="shared" ref="W275:W277" si="825">(S275*D275)/100000</f>
        <v>142.1788608</v>
      </c>
      <c r="X275" s="13"/>
      <c r="Y275" s="13"/>
      <c r="Z275" s="13" t="str">
        <f t="shared" ref="Z275:Z276" si="826">ROUND(F275, 0) &amp; " (" &amp; ROUND(H275, 0) &amp; "-" &amp; ROUND(J275, 0) &amp; ")"</f>
        <v>4 (2-5)</v>
      </c>
      <c r="AA275" s="13" t="str">
        <f t="shared" ref="AA275:AA276" si="827">ROUND(L275, 0) &amp; " (" &amp; ROUND(M275, 0) &amp; "-" &amp; ROUND(N275, 0) &amp; ")"</f>
        <v>125 (4405-8756)</v>
      </c>
      <c r="AB275" s="13" t="str">
        <f t="shared" ref="AB275:AB276" si="828">ROUND(O275, 0) &amp; " (" &amp; ROUND(Q275, 0) &amp; "-" &amp; ROUND(S275, 0) &amp; ")"</f>
        <v>7 (3-20)</v>
      </c>
      <c r="AC275" s="13" t="str">
        <f t="shared" ref="AC275:AC276" si="829">ROUND(U275, 0) &amp; " (" &amp; ROUND(V275, 0) &amp; "-" &amp; ROUND(W275, 0) &amp; ")"</f>
        <v>49 (21-142)</v>
      </c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hidden="1">
      <c r="A276" s="7" t="s">
        <v>27</v>
      </c>
      <c r="B276" s="16" t="s">
        <v>97</v>
      </c>
      <c r="C276" s="23">
        <v>2040.0</v>
      </c>
      <c r="D276" s="17">
        <f>376921+379699</f>
        <v>756620</v>
      </c>
      <c r="E276" s="10">
        <v>3.1302098E7</v>
      </c>
      <c r="F276" s="19">
        <v>3.53</v>
      </c>
      <c r="G276" s="10">
        <f t="shared" si="1"/>
        <v>1104.964059</v>
      </c>
      <c r="H276" s="19">
        <v>2.47</v>
      </c>
      <c r="I276" s="8">
        <f t="shared" si="2"/>
        <v>773.1618206</v>
      </c>
      <c r="J276" s="19">
        <v>4.91</v>
      </c>
      <c r="K276" s="11">
        <f t="shared" si="3"/>
        <v>1536.933012</v>
      </c>
      <c r="L276" s="11">
        <f t="shared" si="13"/>
        <v>146.0394993</v>
      </c>
      <c r="M276" s="11">
        <f t="shared" si="821"/>
        <v>5849.896967</v>
      </c>
      <c r="N276" s="11">
        <f t="shared" si="822"/>
        <v>11628.74255</v>
      </c>
      <c r="O276" s="19">
        <v>6.85</v>
      </c>
      <c r="P276" s="19"/>
      <c r="Q276" s="19">
        <v>3.0</v>
      </c>
      <c r="R276" s="19"/>
      <c r="S276" s="19">
        <v>20.06</v>
      </c>
      <c r="T276" s="14"/>
      <c r="U276" s="14">
        <f t="shared" si="823"/>
        <v>51.82847</v>
      </c>
      <c r="V276" s="14">
        <f t="shared" si="824"/>
        <v>22.6986</v>
      </c>
      <c r="W276" s="14">
        <f t="shared" si="825"/>
        <v>151.777972</v>
      </c>
      <c r="X276" s="13"/>
      <c r="Y276" s="13"/>
      <c r="Z276" s="13" t="str">
        <f t="shared" si="826"/>
        <v>4 (2-5)</v>
      </c>
      <c r="AA276" s="13" t="str">
        <f t="shared" si="827"/>
        <v>146 (5850-11629)</v>
      </c>
      <c r="AB276" s="13" t="str">
        <f t="shared" si="828"/>
        <v>7 (3-20)</v>
      </c>
      <c r="AC276" s="13" t="str">
        <f t="shared" si="829"/>
        <v>52 (23-152)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hidden="1">
      <c r="A277" s="7" t="s">
        <v>29</v>
      </c>
      <c r="B277" s="16" t="s">
        <v>97</v>
      </c>
      <c r="C277" s="23">
        <v>2050.0</v>
      </c>
      <c r="D277" s="17">
        <f>392759+395798</f>
        <v>788557</v>
      </c>
      <c r="E277" s="10">
        <v>3.7361683E7</v>
      </c>
      <c r="F277" s="19">
        <v>3.53</v>
      </c>
      <c r="G277" s="10">
        <f t="shared" si="1"/>
        <v>1318.86741</v>
      </c>
      <c r="H277" s="19">
        <v>2.47</v>
      </c>
      <c r="I277" s="8">
        <f t="shared" si="2"/>
        <v>922.8335701</v>
      </c>
      <c r="J277" s="19">
        <v>4.91</v>
      </c>
      <c r="K277" s="11">
        <f t="shared" si="3"/>
        <v>1834.458635</v>
      </c>
      <c r="L277" s="11">
        <f t="shared" si="13"/>
        <v>167.250739</v>
      </c>
      <c r="M277" s="11">
        <f t="shared" si="821"/>
        <v>7277.068715</v>
      </c>
      <c r="N277" s="11">
        <f t="shared" si="822"/>
        <v>14465.75198</v>
      </c>
      <c r="O277" s="19">
        <v>6.85</v>
      </c>
      <c r="P277" s="8">
        <f t="shared" ref="P277:P278" si="830">(O277/100000)*E277</f>
        <v>2559.275286</v>
      </c>
      <c r="Q277" s="19">
        <v>3.0</v>
      </c>
      <c r="R277" s="8">
        <f t="shared" ref="R277:R278" si="831">(Q277/100000)*E277</f>
        <v>1120.85049</v>
      </c>
      <c r="S277" s="19">
        <v>20.06</v>
      </c>
      <c r="T277" s="11">
        <f t="shared" ref="T277:T278" si="832">(S277/100000)*E277</f>
        <v>7494.75361</v>
      </c>
      <c r="U277" s="14">
        <f t="shared" si="823"/>
        <v>54.0161545</v>
      </c>
      <c r="V277" s="14">
        <f t="shared" si="824"/>
        <v>23.65671</v>
      </c>
      <c r="W277" s="14">
        <f t="shared" si="825"/>
        <v>158.1845342</v>
      </c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>
      <c r="A278" s="7" t="s">
        <v>23</v>
      </c>
      <c r="B278" s="16" t="s">
        <v>98</v>
      </c>
      <c r="C278" s="20">
        <v>2021.0</v>
      </c>
      <c r="D278" s="17">
        <f>574317+581217</f>
        <v>1155534</v>
      </c>
      <c r="E278" s="18">
        <v>3.17078E7</v>
      </c>
      <c r="F278" s="19">
        <v>5.4</v>
      </c>
      <c r="G278" s="10">
        <f t="shared" si="1"/>
        <v>1712.2212</v>
      </c>
      <c r="H278" s="19">
        <v>3.72</v>
      </c>
      <c r="I278" s="8">
        <f t="shared" si="2"/>
        <v>1179.53016</v>
      </c>
      <c r="J278" s="19">
        <v>7.32</v>
      </c>
      <c r="K278" s="11">
        <f t="shared" si="3"/>
        <v>2321.01096</v>
      </c>
      <c r="L278" s="11">
        <f t="shared" si="13"/>
        <v>148.1757525</v>
      </c>
      <c r="M278" s="12">
        <f>(I278/D278)*100000</f>
        <v>102.0766295</v>
      </c>
      <c r="N278" s="11">
        <f>(K278/D278)*100000</f>
        <v>200.8604645</v>
      </c>
      <c r="O278" s="19">
        <v>12.56</v>
      </c>
      <c r="P278" s="8">
        <f t="shared" si="830"/>
        <v>3982.49968</v>
      </c>
      <c r="Q278" s="19">
        <v>3.85</v>
      </c>
      <c r="R278" s="8">
        <f t="shared" si="831"/>
        <v>1220.7503</v>
      </c>
      <c r="S278" s="19">
        <v>47.93</v>
      </c>
      <c r="T278" s="11">
        <f t="shared" si="832"/>
        <v>15197.54854</v>
      </c>
      <c r="U278" s="11">
        <f>(P278/D278)*100000</f>
        <v>344.6458244</v>
      </c>
      <c r="V278" s="11">
        <f>(R278/D278)*100000</f>
        <v>105.6438235</v>
      </c>
      <c r="W278" s="11">
        <f>(T278/D278)*100000</f>
        <v>1315.197003</v>
      </c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hidden="1">
      <c r="A279" s="7" t="s">
        <v>25</v>
      </c>
      <c r="B279" s="16" t="s">
        <v>98</v>
      </c>
      <c r="C279" s="23">
        <v>2030.0</v>
      </c>
      <c r="D279" s="17">
        <f>665513+673310</f>
        <v>1338823</v>
      </c>
      <c r="E279" s="10">
        <v>4.0846755E7</v>
      </c>
      <c r="F279" s="19">
        <v>5.4</v>
      </c>
      <c r="G279" s="10">
        <f t="shared" si="1"/>
        <v>2205.72477</v>
      </c>
      <c r="H279" s="19">
        <v>3.72</v>
      </c>
      <c r="I279" s="8">
        <f t="shared" si="2"/>
        <v>1519.499286</v>
      </c>
      <c r="J279" s="19">
        <v>7.32</v>
      </c>
      <c r="K279" s="11">
        <f t="shared" si="3"/>
        <v>2989.982466</v>
      </c>
      <c r="L279" s="11">
        <f t="shared" si="13"/>
        <v>164.7510365</v>
      </c>
      <c r="M279" s="11">
        <f t="shared" ref="M279:M281" si="833">(I279*D279)/100000</f>
        <v>20343.40593</v>
      </c>
      <c r="N279" s="11">
        <f t="shared" ref="N279:N281" si="834">(K279*D279)/100000</f>
        <v>40030.57295</v>
      </c>
      <c r="O279" s="19">
        <v>12.56</v>
      </c>
      <c r="P279" s="19"/>
      <c r="Q279" s="19">
        <v>3.85</v>
      </c>
      <c r="R279" s="19"/>
      <c r="S279" s="19">
        <v>47.93</v>
      </c>
      <c r="T279" s="14"/>
      <c r="U279" s="14">
        <f t="shared" ref="U279:U281" si="835">(O279*D279)/100000</f>
        <v>168.1561688</v>
      </c>
      <c r="V279" s="14">
        <f t="shared" ref="V279:V281" si="836">(Q279*D279)/100000</f>
        <v>51.5446855</v>
      </c>
      <c r="W279" s="14">
        <f t="shared" ref="W279:W281" si="837">(S279*D279)/100000</f>
        <v>641.6978639</v>
      </c>
      <c r="X279" s="13"/>
      <c r="Y279" s="13"/>
      <c r="Z279" s="13" t="str">
        <f t="shared" ref="Z279:Z280" si="838">ROUND(F279, 0) &amp; " (" &amp; ROUND(H279, 0) &amp; "-" &amp; ROUND(J279, 0) &amp; ")"</f>
        <v>5 (4-7)</v>
      </c>
      <c r="AA279" s="13" t="str">
        <f t="shared" ref="AA279:AA280" si="839">ROUND(L279, 0) &amp; " (" &amp; ROUND(M279, 0) &amp; "-" &amp; ROUND(N279, 0) &amp; ")"</f>
        <v>165 (20343-40031)</v>
      </c>
      <c r="AB279" s="13" t="str">
        <f t="shared" ref="AB279:AB280" si="840">ROUND(O279, 0) &amp; " (" &amp; ROUND(Q279, 0) &amp; "-" &amp; ROUND(S279, 0) &amp; ")"</f>
        <v>13 (4-48)</v>
      </c>
      <c r="AC279" s="13" t="str">
        <f t="shared" ref="AC279:AC280" si="841">ROUND(U279, 0) &amp; " (" &amp; ROUND(V279, 0) &amp; "-" &amp; ROUND(W279, 0) &amp; ")"</f>
        <v>168 (52-642)</v>
      </c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hidden="1">
      <c r="A280" s="7" t="s">
        <v>27</v>
      </c>
      <c r="B280" s="16" t="s">
        <v>98</v>
      </c>
      <c r="C280" s="23">
        <v>2040.0</v>
      </c>
      <c r="D280" s="17">
        <f>729318+737004</f>
        <v>1466322</v>
      </c>
      <c r="E280" s="10">
        <v>5.2124215E7</v>
      </c>
      <c r="F280" s="19">
        <v>5.4</v>
      </c>
      <c r="G280" s="10">
        <f t="shared" si="1"/>
        <v>2814.70761</v>
      </c>
      <c r="H280" s="19">
        <v>3.72</v>
      </c>
      <c r="I280" s="8">
        <f t="shared" si="2"/>
        <v>1939.020798</v>
      </c>
      <c r="J280" s="19">
        <v>7.32</v>
      </c>
      <c r="K280" s="11">
        <f t="shared" si="3"/>
        <v>3815.492538</v>
      </c>
      <c r="L280" s="11">
        <f t="shared" si="13"/>
        <v>191.9569924</v>
      </c>
      <c r="M280" s="11">
        <f t="shared" si="833"/>
        <v>28432.28855</v>
      </c>
      <c r="N280" s="11">
        <f t="shared" si="834"/>
        <v>55947.40649</v>
      </c>
      <c r="O280" s="19">
        <v>12.56</v>
      </c>
      <c r="P280" s="19"/>
      <c r="Q280" s="19">
        <v>3.85</v>
      </c>
      <c r="R280" s="19"/>
      <c r="S280" s="19">
        <v>47.93</v>
      </c>
      <c r="T280" s="14"/>
      <c r="U280" s="14">
        <f t="shared" si="835"/>
        <v>184.1700432</v>
      </c>
      <c r="V280" s="14">
        <f t="shared" si="836"/>
        <v>56.453397</v>
      </c>
      <c r="W280" s="14">
        <f t="shared" si="837"/>
        <v>702.8081346</v>
      </c>
      <c r="X280" s="13"/>
      <c r="Y280" s="13"/>
      <c r="Z280" s="13" t="str">
        <f t="shared" si="838"/>
        <v>5 (4-7)</v>
      </c>
      <c r="AA280" s="13" t="str">
        <f t="shared" si="839"/>
        <v>192 (28432-55947)</v>
      </c>
      <c r="AB280" s="13" t="str">
        <f t="shared" si="840"/>
        <v>13 (4-48)</v>
      </c>
      <c r="AC280" s="13" t="str">
        <f t="shared" si="841"/>
        <v>184 (56-703)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hidden="1">
      <c r="A281" s="7" t="s">
        <v>29</v>
      </c>
      <c r="B281" s="16" t="s">
        <v>98</v>
      </c>
      <c r="C281" s="23">
        <v>2050.0</v>
      </c>
      <c r="D281" s="17">
        <f>768322+775807</f>
        <v>1544129</v>
      </c>
      <c r="E281" s="10">
        <v>6.3530952E7</v>
      </c>
      <c r="F281" s="19">
        <v>5.4</v>
      </c>
      <c r="G281" s="10">
        <f t="shared" si="1"/>
        <v>3430.671408</v>
      </c>
      <c r="H281" s="19">
        <v>3.72</v>
      </c>
      <c r="I281" s="8">
        <f t="shared" si="2"/>
        <v>2363.351414</v>
      </c>
      <c r="J281" s="19">
        <v>7.32</v>
      </c>
      <c r="K281" s="11">
        <f t="shared" si="3"/>
        <v>4650.465686</v>
      </c>
      <c r="L281" s="11">
        <f t="shared" si="13"/>
        <v>222.1751815</v>
      </c>
      <c r="M281" s="11">
        <f t="shared" si="833"/>
        <v>36493.19456</v>
      </c>
      <c r="N281" s="11">
        <f t="shared" si="834"/>
        <v>71809.1893</v>
      </c>
      <c r="O281" s="19">
        <v>12.56</v>
      </c>
      <c r="P281" s="8">
        <f t="shared" ref="P281:P282" si="842">(O281/100000)*E281</f>
        <v>7979.487571</v>
      </c>
      <c r="Q281" s="19">
        <v>3.85</v>
      </c>
      <c r="R281" s="8">
        <f t="shared" ref="R281:R282" si="843">(Q281/100000)*E281</f>
        <v>2445.941652</v>
      </c>
      <c r="S281" s="19">
        <v>47.93</v>
      </c>
      <c r="T281" s="11">
        <f t="shared" ref="T281:T282" si="844">(S281/100000)*E281</f>
        <v>30450.38529</v>
      </c>
      <c r="U281" s="14">
        <f t="shared" si="835"/>
        <v>193.9426024</v>
      </c>
      <c r="V281" s="14">
        <f t="shared" si="836"/>
        <v>59.4489665</v>
      </c>
      <c r="W281" s="14">
        <f t="shared" si="837"/>
        <v>740.1010297</v>
      </c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>
      <c r="A282" s="7" t="s">
        <v>23</v>
      </c>
      <c r="B282" s="16" t="s">
        <v>99</v>
      </c>
      <c r="C282" s="20">
        <v>2021.0</v>
      </c>
      <c r="D282" s="17">
        <f>188504.5+192828.5</f>
        <v>381333</v>
      </c>
      <c r="E282" s="18">
        <v>1.335526E7</v>
      </c>
      <c r="F282" s="19">
        <v>5.4</v>
      </c>
      <c r="G282" s="10">
        <f t="shared" si="1"/>
        <v>721.18404</v>
      </c>
      <c r="H282" s="19">
        <v>2.36</v>
      </c>
      <c r="I282" s="8">
        <f t="shared" si="2"/>
        <v>315.184136</v>
      </c>
      <c r="J282" s="19">
        <v>4.49</v>
      </c>
      <c r="K282" s="11">
        <f t="shared" si="3"/>
        <v>599.651174</v>
      </c>
      <c r="L282" s="11">
        <f t="shared" si="13"/>
        <v>189.1218541</v>
      </c>
      <c r="M282" s="12">
        <f>(I282/D282)*100000</f>
        <v>82.65325477</v>
      </c>
      <c r="N282" s="11">
        <f>(K282/D282)*100000</f>
        <v>157.2513195</v>
      </c>
      <c r="O282" s="19">
        <v>3.87</v>
      </c>
      <c r="P282" s="8">
        <f t="shared" si="842"/>
        <v>516.848562</v>
      </c>
      <c r="Q282" s="19">
        <v>2.24</v>
      </c>
      <c r="R282" s="8">
        <f t="shared" si="843"/>
        <v>299.157824</v>
      </c>
      <c r="S282" s="19">
        <v>6.37</v>
      </c>
      <c r="T282" s="11">
        <f t="shared" si="844"/>
        <v>850.730062</v>
      </c>
      <c r="U282" s="11">
        <f>(P282/D282)*100000</f>
        <v>135.5373288</v>
      </c>
      <c r="V282" s="11">
        <f>(R282/D282)*100000</f>
        <v>78.4505469</v>
      </c>
      <c r="W282" s="11">
        <f>(T282/D282)*100000</f>
        <v>223.0937427</v>
      </c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hidden="1">
      <c r="A283" s="7" t="s">
        <v>25</v>
      </c>
      <c r="B283" s="16" t="s">
        <v>99</v>
      </c>
      <c r="C283" s="23">
        <v>2030.0</v>
      </c>
      <c r="D283" s="17">
        <f>204633+208795</f>
        <v>413428</v>
      </c>
      <c r="E283" s="10">
        <v>1.6154705E7</v>
      </c>
      <c r="F283" s="19">
        <v>3.32</v>
      </c>
      <c r="G283" s="10">
        <f t="shared" si="1"/>
        <v>536.336206</v>
      </c>
      <c r="H283" s="19">
        <v>2.36</v>
      </c>
      <c r="I283" s="8">
        <f t="shared" si="2"/>
        <v>381.251038</v>
      </c>
      <c r="J283" s="19">
        <v>4.49</v>
      </c>
      <c r="K283" s="11">
        <f t="shared" si="3"/>
        <v>725.3462545</v>
      </c>
      <c r="L283" s="11">
        <f t="shared" si="13"/>
        <v>129.7290474</v>
      </c>
      <c r="M283" s="11">
        <f t="shared" ref="M283:M285" si="845">(I283*D283)/100000</f>
        <v>1576.198541</v>
      </c>
      <c r="N283" s="11">
        <f t="shared" ref="N283:N285" si="846">(K283*D283)/100000</f>
        <v>2998.784513</v>
      </c>
      <c r="O283" s="19">
        <v>3.87</v>
      </c>
      <c r="P283" s="19"/>
      <c r="Q283" s="19">
        <v>2.24</v>
      </c>
      <c r="R283" s="19"/>
      <c r="S283" s="19">
        <v>6.37</v>
      </c>
      <c r="T283" s="14"/>
      <c r="U283" s="14">
        <f t="shared" ref="U283:U285" si="847">(O283*D283)/100000</f>
        <v>15.9996636</v>
      </c>
      <c r="V283" s="14">
        <f t="shared" ref="V283:V285" si="848">(Q283*D283)/100000</f>
        <v>9.2607872</v>
      </c>
      <c r="W283" s="14">
        <f t="shared" ref="W283:W285" si="849">(S283*D283)/100000</f>
        <v>26.3353636</v>
      </c>
      <c r="X283" s="13"/>
      <c r="Y283" s="13"/>
      <c r="Z283" s="13" t="str">
        <f t="shared" ref="Z283:Z284" si="850">ROUND(F283, 0) &amp; " (" &amp; ROUND(H283, 0) &amp; "-" &amp; ROUND(J283, 0) &amp; ")"</f>
        <v>3 (2-4)</v>
      </c>
      <c r="AA283" s="13" t="str">
        <f t="shared" ref="AA283:AA284" si="851">ROUND(L283, 0) &amp; " (" &amp; ROUND(M283, 0) &amp; "-" &amp; ROUND(N283, 0) &amp; ")"</f>
        <v>130 (1576-2999)</v>
      </c>
      <c r="AB283" s="13" t="str">
        <f t="shared" ref="AB283:AB284" si="852">ROUND(O283, 0) &amp; " (" &amp; ROUND(Q283, 0) &amp; "-" &amp; ROUND(S283, 0) &amp; ")"</f>
        <v>4 (2-6)</v>
      </c>
      <c r="AC283" s="13" t="str">
        <f t="shared" ref="AC283:AC284" si="853">ROUND(U283, 0) &amp; " (" &amp; ROUND(V283, 0) &amp; "-" &amp; ROUND(W283, 0) &amp; ")"</f>
        <v>16 (9-26)</v>
      </c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hidden="1">
      <c r="A284" s="7" t="s">
        <v>27</v>
      </c>
      <c r="B284" s="16" t="s">
        <v>99</v>
      </c>
      <c r="C284" s="23">
        <v>2040.0</v>
      </c>
      <c r="D284" s="17">
        <f>220645+224945</f>
        <v>445590</v>
      </c>
      <c r="E284" s="10">
        <v>1.944077E7</v>
      </c>
      <c r="F284" s="19">
        <v>3.32</v>
      </c>
      <c r="G284" s="10">
        <f t="shared" si="1"/>
        <v>645.433564</v>
      </c>
      <c r="H284" s="19">
        <v>2.36</v>
      </c>
      <c r="I284" s="8">
        <f t="shared" si="2"/>
        <v>458.802172</v>
      </c>
      <c r="J284" s="19">
        <v>4.49</v>
      </c>
      <c r="K284" s="11">
        <f t="shared" si="3"/>
        <v>872.890573</v>
      </c>
      <c r="L284" s="11">
        <f t="shared" si="13"/>
        <v>144.8492031</v>
      </c>
      <c r="M284" s="11">
        <f t="shared" si="845"/>
        <v>2044.376598</v>
      </c>
      <c r="N284" s="11">
        <f t="shared" si="846"/>
        <v>3889.513104</v>
      </c>
      <c r="O284" s="19">
        <v>3.87</v>
      </c>
      <c r="P284" s="19"/>
      <c r="Q284" s="19">
        <v>2.24</v>
      </c>
      <c r="R284" s="19"/>
      <c r="S284" s="19">
        <v>6.37</v>
      </c>
      <c r="T284" s="14"/>
      <c r="U284" s="14">
        <f t="shared" si="847"/>
        <v>17.244333</v>
      </c>
      <c r="V284" s="14">
        <f t="shared" si="848"/>
        <v>9.981216</v>
      </c>
      <c r="W284" s="14">
        <f t="shared" si="849"/>
        <v>28.384083</v>
      </c>
      <c r="X284" s="13"/>
      <c r="Y284" s="13"/>
      <c r="Z284" s="13" t="str">
        <f t="shared" si="850"/>
        <v>3 (2-4)</v>
      </c>
      <c r="AA284" s="13" t="str">
        <f t="shared" si="851"/>
        <v>145 (2044-3890)</v>
      </c>
      <c r="AB284" s="13" t="str">
        <f t="shared" si="852"/>
        <v>4 (2-6)</v>
      </c>
      <c r="AC284" s="13" t="str">
        <f t="shared" si="853"/>
        <v>17 (10-28)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hidden="1">
      <c r="A285" s="7" t="s">
        <v>29</v>
      </c>
      <c r="B285" s="16" t="s">
        <v>99</v>
      </c>
      <c r="C285" s="23">
        <v>2050.0</v>
      </c>
      <c r="D285" s="17">
        <f>225076+229588</f>
        <v>454664</v>
      </c>
      <c r="E285" s="10">
        <v>2.270791E7</v>
      </c>
      <c r="F285" s="19">
        <v>3.32</v>
      </c>
      <c r="G285" s="10">
        <f t="shared" si="1"/>
        <v>753.902612</v>
      </c>
      <c r="H285" s="19">
        <v>2.36</v>
      </c>
      <c r="I285" s="8">
        <f t="shared" si="2"/>
        <v>535.906676</v>
      </c>
      <c r="J285" s="19">
        <v>4.49</v>
      </c>
      <c r="K285" s="11">
        <f t="shared" si="3"/>
        <v>1019.585159</v>
      </c>
      <c r="L285" s="11">
        <f t="shared" si="13"/>
        <v>165.81533</v>
      </c>
      <c r="M285" s="11">
        <f t="shared" si="845"/>
        <v>2436.574729</v>
      </c>
      <c r="N285" s="11">
        <f t="shared" si="846"/>
        <v>4635.686667</v>
      </c>
      <c r="O285" s="19">
        <v>3.87</v>
      </c>
      <c r="P285" s="8">
        <f t="shared" ref="P285:P286" si="854">(O285/100000)*E285</f>
        <v>878.796117</v>
      </c>
      <c r="Q285" s="19">
        <v>2.24</v>
      </c>
      <c r="R285" s="8">
        <f t="shared" ref="R285:R286" si="855">(Q285/100000)*E285</f>
        <v>508.657184</v>
      </c>
      <c r="S285" s="19">
        <v>6.37</v>
      </c>
      <c r="T285" s="11">
        <f t="shared" ref="T285:T286" si="856">(S285/100000)*E285</f>
        <v>1446.493867</v>
      </c>
      <c r="U285" s="14">
        <f t="shared" si="847"/>
        <v>17.5954968</v>
      </c>
      <c r="V285" s="14">
        <f t="shared" si="848"/>
        <v>10.1844736</v>
      </c>
      <c r="W285" s="14">
        <f t="shared" si="849"/>
        <v>28.9620968</v>
      </c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>
      <c r="A286" s="7" t="s">
        <v>23</v>
      </c>
      <c r="B286" s="16" t="s">
        <v>100</v>
      </c>
      <c r="C286" s="20">
        <v>2021.0</v>
      </c>
      <c r="D286" s="17">
        <f>350639+363554</f>
        <v>714193</v>
      </c>
      <c r="E286" s="18">
        <v>1.7271431E7</v>
      </c>
      <c r="F286" s="19">
        <v>3.32</v>
      </c>
      <c r="G286" s="10">
        <f t="shared" si="1"/>
        <v>573.4115092</v>
      </c>
      <c r="H286" s="19">
        <v>4.21</v>
      </c>
      <c r="I286" s="8">
        <f t="shared" si="2"/>
        <v>727.1272451</v>
      </c>
      <c r="J286" s="19">
        <v>8.25</v>
      </c>
      <c r="K286" s="11">
        <f t="shared" si="3"/>
        <v>1424.893058</v>
      </c>
      <c r="L286" s="11">
        <f t="shared" si="13"/>
        <v>80.28803267</v>
      </c>
      <c r="M286" s="12">
        <f>(I286/D286)*100000</f>
        <v>101.8110294</v>
      </c>
      <c r="N286" s="11">
        <f>(K286/D286)*100000</f>
        <v>199.5109246</v>
      </c>
      <c r="O286" s="19">
        <v>23.98</v>
      </c>
      <c r="P286" s="8">
        <f t="shared" si="854"/>
        <v>4141.689154</v>
      </c>
      <c r="Q286" s="19">
        <v>3.21</v>
      </c>
      <c r="R286" s="8">
        <f t="shared" si="855"/>
        <v>554.4129351</v>
      </c>
      <c r="S286" s="19">
        <v>133.89</v>
      </c>
      <c r="T286" s="11">
        <f t="shared" si="856"/>
        <v>23124.71897</v>
      </c>
      <c r="U286" s="11">
        <f>(P286/D286)*100000</f>
        <v>579.9117541</v>
      </c>
      <c r="V286" s="11">
        <f>(R286/D286)*100000</f>
        <v>77.62788701</v>
      </c>
      <c r="W286" s="11">
        <f>(T286/D286)*100000</f>
        <v>3237.880932</v>
      </c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hidden="1">
      <c r="A287" s="7" t="s">
        <v>25</v>
      </c>
      <c r="B287" s="16" t="s">
        <v>100</v>
      </c>
      <c r="C287" s="23">
        <v>2030.0</v>
      </c>
      <c r="D287" s="17">
        <f>408783+423358</f>
        <v>832141</v>
      </c>
      <c r="E287" s="10">
        <v>2.2915044E7</v>
      </c>
      <c r="F287" s="19">
        <v>6.06</v>
      </c>
      <c r="G287" s="10">
        <f t="shared" si="1"/>
        <v>1388.651666</v>
      </c>
      <c r="H287" s="19">
        <v>4.21</v>
      </c>
      <c r="I287" s="8">
        <f t="shared" si="2"/>
        <v>964.7233524</v>
      </c>
      <c r="J287" s="19">
        <v>8.25</v>
      </c>
      <c r="K287" s="11">
        <f t="shared" si="3"/>
        <v>1890.49113</v>
      </c>
      <c r="L287" s="11">
        <f t="shared" si="13"/>
        <v>166.8769675</v>
      </c>
      <c r="M287" s="11">
        <f t="shared" ref="M287:M289" si="857">(I287*D287)/100000</f>
        <v>8027.858552</v>
      </c>
      <c r="N287" s="11">
        <f t="shared" ref="N287:N289" si="858">(K287*D287)/100000</f>
        <v>15731.55179</v>
      </c>
      <c r="O287" s="19">
        <v>23.98</v>
      </c>
      <c r="P287" s="19"/>
      <c r="Q287" s="19">
        <v>3.21</v>
      </c>
      <c r="R287" s="19"/>
      <c r="S287" s="19">
        <v>133.89</v>
      </c>
      <c r="T287" s="14"/>
      <c r="U287" s="14">
        <f t="shared" ref="U287:U289" si="859">(O287*D287)/100000</f>
        <v>199.5474118</v>
      </c>
      <c r="V287" s="14">
        <f t="shared" ref="V287:V289" si="860">(Q287*D287)/100000</f>
        <v>26.7117261</v>
      </c>
      <c r="W287" s="14">
        <f t="shared" ref="W287:W289" si="861">(S287*D287)/100000</f>
        <v>1114.153585</v>
      </c>
      <c r="X287" s="13"/>
      <c r="Y287" s="13"/>
      <c r="Z287" s="13" t="str">
        <f t="shared" ref="Z287:Z288" si="862">ROUND(F287, 0) &amp; " (" &amp; ROUND(H287, 0) &amp; "-" &amp; ROUND(J287, 0) &amp; ")"</f>
        <v>6 (4-8)</v>
      </c>
      <c r="AA287" s="13" t="str">
        <f t="shared" ref="AA287:AA288" si="863">ROUND(L287, 0) &amp; " (" &amp; ROUND(M287, 0) &amp; "-" &amp; ROUND(N287, 0) &amp; ")"</f>
        <v>167 (8028-15732)</v>
      </c>
      <c r="AB287" s="13" t="str">
        <f t="shared" ref="AB287:AB288" si="864">ROUND(O287, 0) &amp; " (" &amp; ROUND(Q287, 0) &amp; "-" &amp; ROUND(S287, 0) &amp; ")"</f>
        <v>24 (3-134)</v>
      </c>
      <c r="AC287" s="13" t="str">
        <f t="shared" ref="AC287:AC288" si="865">ROUND(U287, 0) &amp; " (" &amp; ROUND(V287, 0) &amp; "-" &amp; ROUND(W287, 0) &amp; ")"</f>
        <v>200 (27-1114)</v>
      </c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hidden="1">
      <c r="A288" s="7" t="s">
        <v>27</v>
      </c>
      <c r="B288" s="16" t="s">
        <v>100</v>
      </c>
      <c r="C288" s="23">
        <v>2040.0</v>
      </c>
      <c r="D288" s="17">
        <f>461012+476916</f>
        <v>937928</v>
      </c>
      <c r="E288" s="10">
        <v>2.9896287E7</v>
      </c>
      <c r="F288" s="19">
        <v>6.06</v>
      </c>
      <c r="G288" s="10">
        <f t="shared" si="1"/>
        <v>1811.714992</v>
      </c>
      <c r="H288" s="19">
        <v>4.21</v>
      </c>
      <c r="I288" s="8">
        <f t="shared" si="2"/>
        <v>1258.633683</v>
      </c>
      <c r="J288" s="19">
        <v>8.25</v>
      </c>
      <c r="K288" s="11">
        <f t="shared" si="3"/>
        <v>2466.443678</v>
      </c>
      <c r="L288" s="11">
        <f t="shared" si="13"/>
        <v>193.1614145</v>
      </c>
      <c r="M288" s="11">
        <f t="shared" si="857"/>
        <v>11805.07773</v>
      </c>
      <c r="N288" s="11">
        <f t="shared" si="858"/>
        <v>23133.46586</v>
      </c>
      <c r="O288" s="19">
        <v>23.98</v>
      </c>
      <c r="P288" s="19"/>
      <c r="Q288" s="19">
        <v>3.21</v>
      </c>
      <c r="R288" s="19"/>
      <c r="S288" s="19">
        <v>133.89</v>
      </c>
      <c r="T288" s="14"/>
      <c r="U288" s="14">
        <f t="shared" si="859"/>
        <v>224.9151344</v>
      </c>
      <c r="V288" s="14">
        <f t="shared" si="860"/>
        <v>30.1074888</v>
      </c>
      <c r="W288" s="14">
        <f t="shared" si="861"/>
        <v>1255.791799</v>
      </c>
      <c r="X288" s="13"/>
      <c r="Y288" s="13"/>
      <c r="Z288" s="13" t="str">
        <f t="shared" si="862"/>
        <v>6 (4-8)</v>
      </c>
      <c r="AA288" s="13" t="str">
        <f t="shared" si="863"/>
        <v>193 (11805-23133)</v>
      </c>
      <c r="AB288" s="13" t="str">
        <f t="shared" si="864"/>
        <v>24 (3-134)</v>
      </c>
      <c r="AC288" s="13" t="str">
        <f t="shared" si="865"/>
        <v>225 (30-1256)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hidden="1">
      <c r="A289" s="7" t="s">
        <v>29</v>
      </c>
      <c r="B289" s="16" t="s">
        <v>100</v>
      </c>
      <c r="C289" s="23">
        <v>2050.0</v>
      </c>
      <c r="D289" s="17">
        <f>502382+519258</f>
        <v>1021640</v>
      </c>
      <c r="E289" s="10">
        <v>3.7206512E7</v>
      </c>
      <c r="F289" s="19">
        <v>6.06</v>
      </c>
      <c r="G289" s="10">
        <f t="shared" si="1"/>
        <v>2254.714627</v>
      </c>
      <c r="H289" s="19">
        <v>4.21</v>
      </c>
      <c r="I289" s="8">
        <f t="shared" si="2"/>
        <v>1566.394155</v>
      </c>
      <c r="J289" s="19">
        <v>8.25</v>
      </c>
      <c r="K289" s="11">
        <f t="shared" si="3"/>
        <v>3069.53724</v>
      </c>
      <c r="L289" s="11">
        <f t="shared" si="13"/>
        <v>220.6956097</v>
      </c>
      <c r="M289" s="11">
        <f t="shared" si="857"/>
        <v>16002.90925</v>
      </c>
      <c r="N289" s="11">
        <f t="shared" si="858"/>
        <v>31359.62026</v>
      </c>
      <c r="O289" s="19">
        <v>23.98</v>
      </c>
      <c r="P289" s="8">
        <f t="shared" ref="P289:P290" si="866">(O289/100000)*E289</f>
        <v>8922.121578</v>
      </c>
      <c r="Q289" s="19">
        <v>3.21</v>
      </c>
      <c r="R289" s="8">
        <f t="shared" ref="R289:R290" si="867">(Q289/100000)*E289</f>
        <v>1194.329035</v>
      </c>
      <c r="S289" s="19">
        <v>133.89</v>
      </c>
      <c r="T289" s="11">
        <f t="shared" ref="T289:T290" si="868">(S289/100000)*E289</f>
        <v>49815.79892</v>
      </c>
      <c r="U289" s="14">
        <f t="shared" si="859"/>
        <v>244.989272</v>
      </c>
      <c r="V289" s="14">
        <f t="shared" si="860"/>
        <v>32.794644</v>
      </c>
      <c r="W289" s="14">
        <f t="shared" si="861"/>
        <v>1367.873796</v>
      </c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>
      <c r="A290" s="7" t="s">
        <v>23</v>
      </c>
      <c r="B290" s="16" t="s">
        <v>101</v>
      </c>
      <c r="C290" s="20">
        <v>2021.0</v>
      </c>
      <c r="D290" s="17">
        <f>149097+153374</f>
        <v>302471</v>
      </c>
      <c r="E290" s="18">
        <v>1.086578E7</v>
      </c>
      <c r="F290" s="19">
        <v>6.15</v>
      </c>
      <c r="G290" s="10">
        <f t="shared" si="1"/>
        <v>668.24547</v>
      </c>
      <c r="H290" s="19">
        <v>4.14</v>
      </c>
      <c r="I290" s="8">
        <f t="shared" si="2"/>
        <v>449.843292</v>
      </c>
      <c r="J290" s="19">
        <v>8.34</v>
      </c>
      <c r="K290" s="11">
        <f t="shared" si="3"/>
        <v>906.206052</v>
      </c>
      <c r="L290" s="11">
        <f t="shared" si="13"/>
        <v>220.9287733</v>
      </c>
      <c r="M290" s="12">
        <f>(I290/D290)*100000</f>
        <v>148.722784</v>
      </c>
      <c r="N290" s="11">
        <f>(K290/D290)*100000</f>
        <v>299.6009707</v>
      </c>
      <c r="O290" s="19">
        <v>15.05</v>
      </c>
      <c r="P290" s="8">
        <f t="shared" si="866"/>
        <v>1635.29989</v>
      </c>
      <c r="Q290" s="19">
        <v>3.53</v>
      </c>
      <c r="R290" s="8">
        <f t="shared" si="867"/>
        <v>383.562034</v>
      </c>
      <c r="S290" s="19">
        <v>84.27</v>
      </c>
      <c r="T290" s="11">
        <f t="shared" si="868"/>
        <v>9156.592806</v>
      </c>
      <c r="U290" s="11">
        <f>(P290/D290)*100000</f>
        <v>540.6468356</v>
      </c>
      <c r="V290" s="11">
        <f>(R290/D290)*100000</f>
        <v>126.8095236</v>
      </c>
      <c r="W290" s="11">
        <f>(T290/D290)*100000</f>
        <v>3027.263045</v>
      </c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hidden="1">
      <c r="A291" s="7" t="s">
        <v>25</v>
      </c>
      <c r="B291" s="16" t="s">
        <v>101</v>
      </c>
      <c r="C291" s="23">
        <v>2030.0</v>
      </c>
      <c r="D291" s="17">
        <f>184317+189460</f>
        <v>373777</v>
      </c>
      <c r="E291" s="10">
        <v>1.3457453E7</v>
      </c>
      <c r="F291" s="19">
        <v>6.15</v>
      </c>
      <c r="G291" s="10">
        <f t="shared" si="1"/>
        <v>827.6333595</v>
      </c>
      <c r="H291" s="19">
        <v>4.14</v>
      </c>
      <c r="I291" s="8">
        <f t="shared" si="2"/>
        <v>557.1385542</v>
      </c>
      <c r="J291" s="19">
        <v>8.34</v>
      </c>
      <c r="K291" s="11">
        <f t="shared" si="3"/>
        <v>1122.35158</v>
      </c>
      <c r="L291" s="11">
        <f t="shared" si="13"/>
        <v>221.4243679</v>
      </c>
      <c r="M291" s="11">
        <f t="shared" ref="M291:M293" si="869">(I291*D291)/100000</f>
        <v>2082.455774</v>
      </c>
      <c r="N291" s="11">
        <f t="shared" ref="N291:N293" si="870">(K291*D291)/100000</f>
        <v>4195.092066</v>
      </c>
      <c r="O291" s="19">
        <v>15.05</v>
      </c>
      <c r="P291" s="19"/>
      <c r="Q291" s="19">
        <v>3.53</v>
      </c>
      <c r="R291" s="19"/>
      <c r="S291" s="19">
        <v>84.27</v>
      </c>
      <c r="T291" s="14"/>
      <c r="U291" s="14">
        <f t="shared" ref="U291:U293" si="871">(O291*D291)/100000</f>
        <v>56.2534385</v>
      </c>
      <c r="V291" s="14">
        <f t="shared" ref="V291:V293" si="872">(Q291*D291)/100000</f>
        <v>13.1943281</v>
      </c>
      <c r="W291" s="14">
        <f t="shared" ref="W291:W293" si="873">(S291*D291)/100000</f>
        <v>314.9818779</v>
      </c>
      <c r="X291" s="13"/>
      <c r="Y291" s="13"/>
      <c r="Z291" s="13" t="str">
        <f t="shared" ref="Z291:Z292" si="874">ROUND(F291, 0) &amp; " (" &amp; ROUND(H291, 0) &amp; "-" &amp; ROUND(J291, 0) &amp; ")"</f>
        <v>6 (4-8)</v>
      </c>
      <c r="AA291" s="13" t="str">
        <f t="shared" ref="AA291:AA292" si="875">ROUND(L291, 0) &amp; " (" &amp; ROUND(M291, 0) &amp; "-" &amp; ROUND(N291, 0) &amp; ")"</f>
        <v>221 (2082-4195)</v>
      </c>
      <c r="AB291" s="13" t="str">
        <f t="shared" ref="AB291:AB292" si="876">ROUND(O291, 0) &amp; " (" &amp; ROUND(Q291, 0) &amp; "-" &amp; ROUND(S291, 0) &amp; ")"</f>
        <v>15 (4-84)</v>
      </c>
      <c r="AC291" s="13" t="str">
        <f t="shared" ref="AC291:AC292" si="877">ROUND(U291, 0) &amp; " (" &amp; ROUND(V291, 0) &amp; "-" &amp; ROUND(W291, 0) &amp; ")"</f>
        <v>56 (13-315)</v>
      </c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hidden="1">
      <c r="A292" s="7" t="s">
        <v>27</v>
      </c>
      <c r="B292" s="16" t="s">
        <v>101</v>
      </c>
      <c r="C292" s="23">
        <v>2040.0</v>
      </c>
      <c r="D292" s="17">
        <f>189688+194805</f>
        <v>384493</v>
      </c>
      <c r="E292" s="10">
        <v>1.610148E7</v>
      </c>
      <c r="F292" s="19">
        <v>6.15</v>
      </c>
      <c r="G292" s="10">
        <f t="shared" si="1"/>
        <v>990.24102</v>
      </c>
      <c r="H292" s="19">
        <v>4.14</v>
      </c>
      <c r="I292" s="8">
        <f t="shared" si="2"/>
        <v>666.601272</v>
      </c>
      <c r="J292" s="19">
        <v>8.34</v>
      </c>
      <c r="K292" s="11">
        <f t="shared" si="3"/>
        <v>1342.863432</v>
      </c>
      <c r="L292" s="11">
        <f t="shared" si="13"/>
        <v>257.5446159</v>
      </c>
      <c r="M292" s="11">
        <f t="shared" si="869"/>
        <v>2563.035229</v>
      </c>
      <c r="N292" s="11">
        <f t="shared" si="870"/>
        <v>5163.215896</v>
      </c>
      <c r="O292" s="19">
        <v>15.05</v>
      </c>
      <c r="P292" s="19"/>
      <c r="Q292" s="19">
        <v>3.53</v>
      </c>
      <c r="R292" s="19"/>
      <c r="S292" s="19">
        <v>84.27</v>
      </c>
      <c r="T292" s="14"/>
      <c r="U292" s="14">
        <f t="shared" si="871"/>
        <v>57.8661965</v>
      </c>
      <c r="V292" s="14">
        <f t="shared" si="872"/>
        <v>13.5726029</v>
      </c>
      <c r="W292" s="14">
        <f t="shared" si="873"/>
        <v>324.0122511</v>
      </c>
      <c r="X292" s="13"/>
      <c r="Y292" s="13"/>
      <c r="Z292" s="13" t="str">
        <f t="shared" si="874"/>
        <v>6 (4-8)</v>
      </c>
      <c r="AA292" s="13" t="str">
        <f t="shared" si="875"/>
        <v>258 (2563-5163)</v>
      </c>
      <c r="AB292" s="13" t="str">
        <f t="shared" si="876"/>
        <v>15 (4-84)</v>
      </c>
      <c r="AC292" s="13" t="str">
        <f t="shared" si="877"/>
        <v>58 (14-324)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hidden="1">
      <c r="A293" s="7" t="s">
        <v>29</v>
      </c>
      <c r="B293" s="16" t="s">
        <v>101</v>
      </c>
      <c r="C293" s="23">
        <v>2050.0</v>
      </c>
      <c r="D293" s="17">
        <f>185155+190008</f>
        <v>375163</v>
      </c>
      <c r="E293" s="10">
        <v>1.8341974E7</v>
      </c>
      <c r="F293" s="19">
        <v>6.15</v>
      </c>
      <c r="G293" s="10">
        <f t="shared" si="1"/>
        <v>1128.031401</v>
      </c>
      <c r="H293" s="19">
        <v>4.14</v>
      </c>
      <c r="I293" s="8">
        <f t="shared" si="2"/>
        <v>759.3577236</v>
      </c>
      <c r="J293" s="19">
        <v>8.34</v>
      </c>
      <c r="K293" s="11">
        <f t="shared" si="3"/>
        <v>1529.720632</v>
      </c>
      <c r="L293" s="11">
        <f t="shared" si="13"/>
        <v>300.677679</v>
      </c>
      <c r="M293" s="11">
        <f t="shared" si="869"/>
        <v>2848.829217</v>
      </c>
      <c r="N293" s="11">
        <f t="shared" si="870"/>
        <v>5738.945813</v>
      </c>
      <c r="O293" s="19">
        <v>15.05</v>
      </c>
      <c r="P293" s="8">
        <f t="shared" ref="P293:P294" si="878">(O293/100000)*E293</f>
        <v>2760.467087</v>
      </c>
      <c r="Q293" s="19">
        <v>3.53</v>
      </c>
      <c r="R293" s="8">
        <f t="shared" ref="R293:R294" si="879">(Q293/100000)*E293</f>
        <v>647.4716822</v>
      </c>
      <c r="S293" s="19">
        <v>84.27</v>
      </c>
      <c r="T293" s="11">
        <f t="shared" ref="T293:T294" si="880">(S293/100000)*E293</f>
        <v>15456.78149</v>
      </c>
      <c r="U293" s="14">
        <f t="shared" si="871"/>
        <v>56.4620315</v>
      </c>
      <c r="V293" s="14">
        <f t="shared" si="872"/>
        <v>13.2432539</v>
      </c>
      <c r="W293" s="14">
        <f t="shared" si="873"/>
        <v>316.1498601</v>
      </c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>
      <c r="A294" s="7" t="s">
        <v>23</v>
      </c>
      <c r="B294" s="16" t="s">
        <v>102</v>
      </c>
      <c r="C294" s="20">
        <v>2021.0</v>
      </c>
      <c r="D294" s="17">
        <f>795695.5+813060</f>
        <v>1608755.5</v>
      </c>
      <c r="E294" s="18">
        <v>4.591093E7</v>
      </c>
      <c r="F294" s="19">
        <v>4.24</v>
      </c>
      <c r="G294" s="10">
        <f t="shared" si="1"/>
        <v>1946.623432</v>
      </c>
      <c r="H294" s="19">
        <v>2.87</v>
      </c>
      <c r="I294" s="8">
        <f t="shared" si="2"/>
        <v>1317.643691</v>
      </c>
      <c r="J294" s="19">
        <v>5.88</v>
      </c>
      <c r="K294" s="11">
        <f t="shared" si="3"/>
        <v>2699.562684</v>
      </c>
      <c r="L294" s="11">
        <f t="shared" si="13"/>
        <v>121.0018199</v>
      </c>
      <c r="M294" s="12">
        <f>(I294/D294)*100000</f>
        <v>81.90453372</v>
      </c>
      <c r="N294" s="11">
        <f>(K294/D294)*100000</f>
        <v>167.8044106</v>
      </c>
      <c r="O294" s="19">
        <v>5.74</v>
      </c>
      <c r="P294" s="8">
        <f t="shared" si="878"/>
        <v>2635.287382</v>
      </c>
      <c r="Q294" s="19">
        <v>2.63</v>
      </c>
      <c r="R294" s="8">
        <f t="shared" si="879"/>
        <v>1207.457459</v>
      </c>
      <c r="S294" s="19">
        <v>13.57</v>
      </c>
      <c r="T294" s="11">
        <f t="shared" si="880"/>
        <v>6230.113201</v>
      </c>
      <c r="U294" s="11">
        <f>(P294/D294)*100000</f>
        <v>163.8090674</v>
      </c>
      <c r="V294" s="11">
        <f>(R294/D294)*100000</f>
        <v>75.05537411</v>
      </c>
      <c r="W294" s="11">
        <f>(T294/D294)*100000</f>
        <v>387.2628999</v>
      </c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hidden="1">
      <c r="A295" s="7" t="s">
        <v>25</v>
      </c>
      <c r="B295" s="16" t="s">
        <v>102</v>
      </c>
      <c r="C295" s="23">
        <v>2030.0</v>
      </c>
      <c r="D295" s="17">
        <f>855750+876326</f>
        <v>1732076</v>
      </c>
      <c r="E295" s="10">
        <v>5.831294E7</v>
      </c>
      <c r="F295" s="19">
        <v>4.24</v>
      </c>
      <c r="G295" s="10">
        <f t="shared" si="1"/>
        <v>2472.468656</v>
      </c>
      <c r="H295" s="19">
        <v>2.87</v>
      </c>
      <c r="I295" s="8">
        <f t="shared" si="2"/>
        <v>1673.581378</v>
      </c>
      <c r="J295" s="19">
        <v>5.88</v>
      </c>
      <c r="K295" s="11">
        <f t="shared" si="3"/>
        <v>3428.800872</v>
      </c>
      <c r="L295" s="11">
        <f t="shared" si="13"/>
        <v>142.7459682</v>
      </c>
      <c r="M295" s="11">
        <f t="shared" ref="M295:M297" si="881">(I295*D295)/100000</f>
        <v>28987.70139</v>
      </c>
      <c r="N295" s="11">
        <f t="shared" ref="N295:N297" si="882">(K295*D295)/100000</f>
        <v>59389.43699</v>
      </c>
      <c r="O295" s="19">
        <v>5.74</v>
      </c>
      <c r="P295" s="19"/>
      <c r="Q295" s="19">
        <v>2.63</v>
      </c>
      <c r="R295" s="19"/>
      <c r="S295" s="19">
        <v>13.57</v>
      </c>
      <c r="T295" s="14"/>
      <c r="U295" s="14">
        <f t="shared" ref="U295:U297" si="883">(O295*D295)/100000</f>
        <v>99.4211624</v>
      </c>
      <c r="V295" s="14">
        <f t="shared" ref="V295:V297" si="884">(Q295*D295)/100000</f>
        <v>45.5535988</v>
      </c>
      <c r="W295" s="14">
        <f t="shared" ref="W295:W297" si="885">(S295*D295)/100000</f>
        <v>235.0427132</v>
      </c>
      <c r="X295" s="13"/>
      <c r="Y295" s="13"/>
      <c r="Z295" s="13" t="str">
        <f t="shared" ref="Z295:Z296" si="886">ROUND(F295, 0) &amp; " (" &amp; ROUND(H295, 0) &amp; "-" &amp; ROUND(J295, 0) &amp; ")"</f>
        <v>4 (3-6)</v>
      </c>
      <c r="AA295" s="13" t="str">
        <f t="shared" ref="AA295:AA296" si="887">ROUND(L295, 0) &amp; " (" &amp; ROUND(M295, 0) &amp; "-" &amp; ROUND(N295, 0) &amp; ")"</f>
        <v>143 (28988-59389)</v>
      </c>
      <c r="AB295" s="13" t="str">
        <f t="shared" ref="AB295:AB296" si="888">ROUND(O295, 0) &amp; " (" &amp; ROUND(Q295, 0) &amp; "-" &amp; ROUND(S295, 0) &amp; ")"</f>
        <v>6 (3-14)</v>
      </c>
      <c r="AC295" s="13" t="str">
        <f t="shared" ref="AC295:AC296" si="889">ROUND(U295, 0) &amp; " (" &amp; ROUND(V295, 0) &amp; "-" &amp; ROUND(W295, 0) &amp; ")"</f>
        <v>99 (46-235)</v>
      </c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hidden="1">
      <c r="A296" s="7" t="s">
        <v>27</v>
      </c>
      <c r="B296" s="16" t="s">
        <v>102</v>
      </c>
      <c r="C296" s="23">
        <v>2040.0</v>
      </c>
      <c r="D296" s="17">
        <f>880340+902055</f>
        <v>1782395</v>
      </c>
      <c r="E296" s="10">
        <v>7.2020418E7</v>
      </c>
      <c r="F296" s="19">
        <v>4.24</v>
      </c>
      <c r="G296" s="10">
        <f t="shared" si="1"/>
        <v>3053.665723</v>
      </c>
      <c r="H296" s="19">
        <v>2.87</v>
      </c>
      <c r="I296" s="8">
        <f t="shared" si="2"/>
        <v>2066.985997</v>
      </c>
      <c r="J296" s="19">
        <v>5.88</v>
      </c>
      <c r="K296" s="11">
        <f t="shared" si="3"/>
        <v>4234.800578</v>
      </c>
      <c r="L296" s="11">
        <f t="shared" si="13"/>
        <v>171.3237371</v>
      </c>
      <c r="M296" s="11">
        <f t="shared" si="881"/>
        <v>36841.85505</v>
      </c>
      <c r="N296" s="11">
        <f t="shared" si="882"/>
        <v>75480.87377</v>
      </c>
      <c r="O296" s="19">
        <v>5.74</v>
      </c>
      <c r="P296" s="19"/>
      <c r="Q296" s="19">
        <v>2.63</v>
      </c>
      <c r="R296" s="19"/>
      <c r="S296" s="19">
        <v>13.57</v>
      </c>
      <c r="T296" s="14"/>
      <c r="U296" s="14">
        <f t="shared" si="883"/>
        <v>102.309473</v>
      </c>
      <c r="V296" s="14">
        <f t="shared" si="884"/>
        <v>46.8769885</v>
      </c>
      <c r="W296" s="14">
        <f t="shared" si="885"/>
        <v>241.8710015</v>
      </c>
      <c r="X296" s="13"/>
      <c r="Y296" s="13"/>
      <c r="Z296" s="13" t="str">
        <f t="shared" si="886"/>
        <v>4 (3-6)</v>
      </c>
      <c r="AA296" s="13" t="str">
        <f t="shared" si="887"/>
        <v>171 (36842-75481)</v>
      </c>
      <c r="AB296" s="13" t="str">
        <f t="shared" si="888"/>
        <v>6 (3-14)</v>
      </c>
      <c r="AC296" s="13" t="str">
        <f t="shared" si="889"/>
        <v>102 (47-242)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hidden="1">
      <c r="A297" s="7" t="s">
        <v>29</v>
      </c>
      <c r="B297" s="16" t="s">
        <v>102</v>
      </c>
      <c r="C297" s="23">
        <v>2050.0</v>
      </c>
      <c r="D297" s="17">
        <f>902055+925373</f>
        <v>1827428</v>
      </c>
      <c r="E297" s="10">
        <v>8.5431202E7</v>
      </c>
      <c r="F297" s="19">
        <v>4.24</v>
      </c>
      <c r="G297" s="10">
        <f t="shared" si="1"/>
        <v>3622.282965</v>
      </c>
      <c r="H297" s="19">
        <v>2.87</v>
      </c>
      <c r="I297" s="8">
        <f t="shared" si="2"/>
        <v>2451.875497</v>
      </c>
      <c r="J297" s="19">
        <v>5.88</v>
      </c>
      <c r="K297" s="11">
        <f t="shared" si="3"/>
        <v>5023.354678</v>
      </c>
      <c r="L297" s="11">
        <f t="shared" si="13"/>
        <v>198.2175475</v>
      </c>
      <c r="M297" s="11">
        <f t="shared" si="881"/>
        <v>44806.25936</v>
      </c>
      <c r="N297" s="11">
        <f t="shared" si="882"/>
        <v>91798.18992</v>
      </c>
      <c r="O297" s="19">
        <v>5.74</v>
      </c>
      <c r="P297" s="8">
        <f t="shared" ref="P297:P298" si="890">(O297/100000)*E297</f>
        <v>4903.750995</v>
      </c>
      <c r="Q297" s="19">
        <v>2.63</v>
      </c>
      <c r="R297" s="8">
        <f t="shared" ref="R297:R298" si="891">(Q297/100000)*E297</f>
        <v>2246.840613</v>
      </c>
      <c r="S297" s="19">
        <v>13.57</v>
      </c>
      <c r="T297" s="11">
        <f t="shared" ref="T297:T298" si="892">(S297/100000)*E297</f>
        <v>11593.01411</v>
      </c>
      <c r="U297" s="14">
        <f t="shared" si="883"/>
        <v>104.8943672</v>
      </c>
      <c r="V297" s="14">
        <f t="shared" si="884"/>
        <v>48.0613564</v>
      </c>
      <c r="W297" s="14">
        <f t="shared" si="885"/>
        <v>247.9819796</v>
      </c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>
      <c r="A298" s="7" t="s">
        <v>23</v>
      </c>
      <c r="B298" s="16" t="s">
        <v>103</v>
      </c>
      <c r="C298" s="20">
        <v>2021.0</v>
      </c>
      <c r="D298" s="17">
        <f>1077862+1103451</f>
        <v>2181313</v>
      </c>
      <c r="E298" s="18">
        <v>6.2830412E7</v>
      </c>
      <c r="F298" s="19">
        <v>4.74</v>
      </c>
      <c r="G298" s="10">
        <f t="shared" si="1"/>
        <v>2978.161529</v>
      </c>
      <c r="H298" s="19">
        <v>3.31</v>
      </c>
      <c r="I298" s="8">
        <f t="shared" si="2"/>
        <v>2079.686637</v>
      </c>
      <c r="J298" s="19">
        <v>6.4</v>
      </c>
      <c r="K298" s="11">
        <f t="shared" si="3"/>
        <v>4021.146368</v>
      </c>
      <c r="L298" s="11">
        <f t="shared" si="13"/>
        <v>136.5306826</v>
      </c>
      <c r="M298" s="12">
        <f>(I298/D298)*100000</f>
        <v>95.3410463</v>
      </c>
      <c r="N298" s="11">
        <f>(K298/D298)*100000</f>
        <v>184.3452255</v>
      </c>
      <c r="O298" s="19">
        <v>9.15</v>
      </c>
      <c r="P298" s="8">
        <f t="shared" si="890"/>
        <v>5748.982698</v>
      </c>
      <c r="Q298" s="19">
        <v>3.87</v>
      </c>
      <c r="R298" s="8">
        <f t="shared" si="891"/>
        <v>2431.536944</v>
      </c>
      <c r="S298" s="19">
        <v>21.53</v>
      </c>
      <c r="T298" s="11">
        <f t="shared" si="892"/>
        <v>13527.3877</v>
      </c>
      <c r="U298" s="11">
        <f>(P298/D298)*100000</f>
        <v>263.5560645</v>
      </c>
      <c r="V298" s="11">
        <f>(R298/D298)*100000</f>
        <v>111.4712535</v>
      </c>
      <c r="W298" s="11">
        <f>(T298/D298)*100000</f>
        <v>620.14886</v>
      </c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hidden="1">
      <c r="A299" s="7" t="s">
        <v>25</v>
      </c>
      <c r="B299" s="16" t="s">
        <v>103</v>
      </c>
      <c r="C299" s="23">
        <v>2030.0</v>
      </c>
      <c r="D299" s="17">
        <f>1249403+1280930</f>
        <v>2530333</v>
      </c>
      <c r="E299" s="10">
        <v>8.0913124E7</v>
      </c>
      <c r="F299" s="19">
        <v>4.74</v>
      </c>
      <c r="G299" s="10">
        <f t="shared" si="1"/>
        <v>3835.282078</v>
      </c>
      <c r="H299" s="19">
        <v>3.31</v>
      </c>
      <c r="I299" s="8">
        <f t="shared" si="2"/>
        <v>2678.224404</v>
      </c>
      <c r="J299" s="19">
        <v>6.4</v>
      </c>
      <c r="K299" s="11">
        <f t="shared" si="3"/>
        <v>5178.439936</v>
      </c>
      <c r="L299" s="11">
        <f t="shared" si="13"/>
        <v>151.572227</v>
      </c>
      <c r="M299" s="11">
        <f t="shared" ref="M299:M301" si="893">(I299*D299)/100000</f>
        <v>67767.99592</v>
      </c>
      <c r="N299" s="11">
        <f t="shared" ref="N299:N301" si="894">(K299*D299)/100000</f>
        <v>131031.7746</v>
      </c>
      <c r="O299" s="19">
        <v>9.15</v>
      </c>
      <c r="P299" s="19"/>
      <c r="Q299" s="19">
        <v>3.87</v>
      </c>
      <c r="R299" s="19"/>
      <c r="S299" s="19">
        <v>21.53</v>
      </c>
      <c r="T299" s="14"/>
      <c r="U299" s="14">
        <f t="shared" ref="U299:U301" si="895">(O299*D299)/100000</f>
        <v>231.5254695</v>
      </c>
      <c r="V299" s="14">
        <f t="shared" ref="V299:V301" si="896">(Q299*D299)/100000</f>
        <v>97.9238871</v>
      </c>
      <c r="W299" s="14">
        <f t="shared" ref="W299:W301" si="897">(S299*D299)/100000</f>
        <v>544.7806949</v>
      </c>
      <c r="X299" s="13"/>
      <c r="Y299" s="13"/>
      <c r="Z299" s="13" t="str">
        <f t="shared" ref="Z299:Z300" si="898">ROUND(F299, 0) &amp; " (" &amp; ROUND(H299, 0) &amp; "-" &amp; ROUND(J299, 0) &amp; ")"</f>
        <v>5 (3-6)</v>
      </c>
      <c r="AA299" s="13" t="str">
        <f t="shared" ref="AA299:AA300" si="899">ROUND(L299, 0) &amp; " (" &amp; ROUND(M299, 0) &amp; "-" &amp; ROUND(N299, 0) &amp; ")"</f>
        <v>152 (67768-131032)</v>
      </c>
      <c r="AB299" s="13" t="str">
        <f t="shared" ref="AB299:AB300" si="900">ROUND(O299, 0) &amp; " (" &amp; ROUND(Q299, 0) &amp; "-" &amp; ROUND(S299, 0) &amp; ")"</f>
        <v>9 (4-22)</v>
      </c>
      <c r="AC299" s="13" t="str">
        <f t="shared" ref="AC299:AC300" si="901">ROUND(U299, 0) &amp; " (" &amp; ROUND(V299, 0) &amp; "-" &amp; ROUND(W299, 0) &amp; ")"</f>
        <v>232 (98-545)</v>
      </c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hidden="1">
      <c r="A300" s="7" t="s">
        <v>27</v>
      </c>
      <c r="B300" s="16" t="s">
        <v>103</v>
      </c>
      <c r="C300" s="23">
        <v>2040.0</v>
      </c>
      <c r="D300" s="17">
        <f>1444033+1480188</f>
        <v>2924221</v>
      </c>
      <c r="E300" s="10">
        <v>1.03999359E8</v>
      </c>
      <c r="F300" s="19">
        <v>4.74</v>
      </c>
      <c r="G300" s="10">
        <f t="shared" si="1"/>
        <v>4929.569617</v>
      </c>
      <c r="H300" s="19">
        <v>3.31</v>
      </c>
      <c r="I300" s="8">
        <f t="shared" si="2"/>
        <v>3442.378783</v>
      </c>
      <c r="J300" s="19">
        <v>6.4</v>
      </c>
      <c r="K300" s="11">
        <f t="shared" si="3"/>
        <v>6655.958976</v>
      </c>
      <c r="L300" s="11">
        <f t="shared" si="13"/>
        <v>168.5771909</v>
      </c>
      <c r="M300" s="11">
        <f t="shared" si="893"/>
        <v>100662.7633</v>
      </c>
      <c r="N300" s="11">
        <f t="shared" si="894"/>
        <v>194634.9501</v>
      </c>
      <c r="O300" s="19">
        <v>9.15</v>
      </c>
      <c r="P300" s="19"/>
      <c r="Q300" s="19">
        <v>3.87</v>
      </c>
      <c r="R300" s="19"/>
      <c r="S300" s="19">
        <v>21.53</v>
      </c>
      <c r="T300" s="14"/>
      <c r="U300" s="14">
        <f t="shared" si="895"/>
        <v>267.5662215</v>
      </c>
      <c r="V300" s="14">
        <f t="shared" si="896"/>
        <v>113.1673527</v>
      </c>
      <c r="W300" s="14">
        <f t="shared" si="897"/>
        <v>629.5847813</v>
      </c>
      <c r="X300" s="13"/>
      <c r="Y300" s="13"/>
      <c r="Z300" s="13" t="str">
        <f t="shared" si="898"/>
        <v>5 (3-6)</v>
      </c>
      <c r="AA300" s="13" t="str">
        <f t="shared" si="899"/>
        <v>169 (100663-194635)</v>
      </c>
      <c r="AB300" s="13" t="str">
        <f t="shared" si="900"/>
        <v>9 (4-22)</v>
      </c>
      <c r="AC300" s="13" t="str">
        <f t="shared" si="901"/>
        <v>268 (113-630)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hidden="1">
      <c r="A301" s="7" t="s">
        <v>29</v>
      </c>
      <c r="B301" s="16" t="s">
        <v>103</v>
      </c>
      <c r="C301" s="23">
        <v>2050.0</v>
      </c>
      <c r="D301" s="17">
        <f>1617121+1658137</f>
        <v>3275258</v>
      </c>
      <c r="E301" s="10">
        <v>1.29621102E8</v>
      </c>
      <c r="F301" s="19">
        <v>4.74</v>
      </c>
      <c r="G301" s="10">
        <f t="shared" si="1"/>
        <v>6144.040235</v>
      </c>
      <c r="H301" s="19">
        <v>3.31</v>
      </c>
      <c r="I301" s="8">
        <f t="shared" si="2"/>
        <v>4290.458476</v>
      </c>
      <c r="J301" s="19">
        <v>6.4</v>
      </c>
      <c r="K301" s="11">
        <f t="shared" si="3"/>
        <v>8295.750528</v>
      </c>
      <c r="L301" s="11">
        <f t="shared" si="13"/>
        <v>187.5895039</v>
      </c>
      <c r="M301" s="11">
        <f t="shared" si="893"/>
        <v>140523.5845</v>
      </c>
      <c r="N301" s="11">
        <f t="shared" si="894"/>
        <v>271707.2328</v>
      </c>
      <c r="O301" s="19">
        <v>9.15</v>
      </c>
      <c r="P301" s="8">
        <f t="shared" ref="P301:P302" si="902">(O301/100000)*E301</f>
        <v>11860.33083</v>
      </c>
      <c r="Q301" s="19">
        <v>3.87</v>
      </c>
      <c r="R301" s="8">
        <f t="shared" ref="R301:R302" si="903">(Q301/100000)*E301</f>
        <v>5016.336647</v>
      </c>
      <c r="S301" s="19">
        <v>21.53</v>
      </c>
      <c r="T301" s="11">
        <f t="shared" ref="T301:T302" si="904">(S301/100000)*E301</f>
        <v>27907.42326</v>
      </c>
      <c r="U301" s="14">
        <f t="shared" si="895"/>
        <v>299.686107</v>
      </c>
      <c r="V301" s="14">
        <f t="shared" si="896"/>
        <v>126.7524846</v>
      </c>
      <c r="W301" s="14">
        <f t="shared" si="897"/>
        <v>705.1630474</v>
      </c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>
      <c r="A302" s="7" t="s">
        <v>23</v>
      </c>
      <c r="B302" s="16" t="s">
        <v>104</v>
      </c>
      <c r="C302" s="20">
        <v>2021.0</v>
      </c>
      <c r="D302" s="17">
        <f>319900+318698.5</f>
        <v>638598.5</v>
      </c>
      <c r="E302" s="18">
        <v>1.9603607E7</v>
      </c>
      <c r="F302" s="19">
        <v>4.51</v>
      </c>
      <c r="G302" s="10">
        <f t="shared" si="1"/>
        <v>884.1226757</v>
      </c>
      <c r="H302" s="19">
        <v>3.18</v>
      </c>
      <c r="I302" s="8">
        <f t="shared" si="2"/>
        <v>623.3947026</v>
      </c>
      <c r="J302" s="19">
        <v>6.2</v>
      </c>
      <c r="K302" s="11">
        <f t="shared" si="3"/>
        <v>1215.423634</v>
      </c>
      <c r="L302" s="11">
        <f t="shared" si="13"/>
        <v>138.4473461</v>
      </c>
      <c r="M302" s="12">
        <f>(I302/D302)*100000</f>
        <v>97.61919306</v>
      </c>
      <c r="N302" s="11">
        <f>(K302/D302)*100000</f>
        <v>190.3267286</v>
      </c>
      <c r="O302" s="19">
        <v>8.47</v>
      </c>
      <c r="P302" s="8">
        <f t="shared" si="902"/>
        <v>1660.425513</v>
      </c>
      <c r="Q302" s="19">
        <v>3.63</v>
      </c>
      <c r="R302" s="8">
        <f t="shared" si="903"/>
        <v>711.6109341</v>
      </c>
      <c r="S302" s="19">
        <v>20.56</v>
      </c>
      <c r="T302" s="11">
        <f t="shared" si="904"/>
        <v>4030.501599</v>
      </c>
      <c r="U302" s="11">
        <f>(P302/D302)*100000</f>
        <v>260.0108696</v>
      </c>
      <c r="V302" s="11">
        <f>(R302/D302)*100000</f>
        <v>111.4332298</v>
      </c>
      <c r="W302" s="11">
        <f>(T302/D302)*100000</f>
        <v>631.1479904</v>
      </c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hidden="1">
      <c r="A303" s="7" t="s">
        <v>25</v>
      </c>
      <c r="B303" s="16" t="s">
        <v>104</v>
      </c>
      <c r="C303" s="23">
        <v>2030.0</v>
      </c>
      <c r="D303" s="17">
        <f>367283+368622</f>
        <v>735905</v>
      </c>
      <c r="E303" s="10">
        <v>2.5024901E7</v>
      </c>
      <c r="F303" s="19">
        <v>4.51</v>
      </c>
      <c r="G303" s="10">
        <f t="shared" si="1"/>
        <v>1128.623035</v>
      </c>
      <c r="H303" s="19">
        <v>3.18</v>
      </c>
      <c r="I303" s="8">
        <f t="shared" si="2"/>
        <v>795.7918518</v>
      </c>
      <c r="J303" s="19">
        <v>6.2</v>
      </c>
      <c r="K303" s="11">
        <f t="shared" si="3"/>
        <v>1551.543862</v>
      </c>
      <c r="L303" s="11">
        <f t="shared" si="13"/>
        <v>153.3653169</v>
      </c>
      <c r="M303" s="11">
        <f t="shared" ref="M303:M305" si="905">(I303*D303)/100000</f>
        <v>5856.272027</v>
      </c>
      <c r="N303" s="11">
        <f t="shared" ref="N303:N305" si="906">(K303*D303)/100000</f>
        <v>11417.88886</v>
      </c>
      <c r="O303" s="19">
        <v>8.47</v>
      </c>
      <c r="P303" s="19"/>
      <c r="Q303" s="19">
        <v>3.63</v>
      </c>
      <c r="R303" s="19"/>
      <c r="S303" s="19">
        <v>20.56</v>
      </c>
      <c r="T303" s="14"/>
      <c r="U303" s="14">
        <f t="shared" ref="U303:U305" si="907">(O303*D303)/100000</f>
        <v>62.3311535</v>
      </c>
      <c r="V303" s="14">
        <f t="shared" ref="V303:V305" si="908">(Q303*D303)/100000</f>
        <v>26.7133515</v>
      </c>
      <c r="W303" s="14">
        <f t="shared" ref="W303:W305" si="909">(S303*D303)/100000</f>
        <v>151.302068</v>
      </c>
      <c r="X303" s="13"/>
      <c r="Y303" s="13"/>
      <c r="Z303" s="13" t="str">
        <f t="shared" ref="Z303:Z304" si="910">ROUND(F303, 0) &amp; " (" &amp; ROUND(H303, 0) &amp; "-" &amp; ROUND(J303, 0) &amp; ")"</f>
        <v>5 (3-6)</v>
      </c>
      <c r="AA303" s="13" t="str">
        <f t="shared" ref="AA303:AA304" si="911">ROUND(L303, 0) &amp; " (" &amp; ROUND(M303, 0) &amp; "-" &amp; ROUND(N303, 0) &amp; ")"</f>
        <v>153 (5856-11418)</v>
      </c>
      <c r="AB303" s="13" t="str">
        <f t="shared" ref="AB303:AB304" si="912">ROUND(O303, 0) &amp; " (" &amp; ROUND(Q303, 0) &amp; "-" &amp; ROUND(S303, 0) &amp; ")"</f>
        <v>8 (4-21)</v>
      </c>
      <c r="AC303" s="13" t="str">
        <f t="shared" ref="AC303:AC304" si="913">ROUND(U303, 0) &amp; " (" &amp; ROUND(V303, 0) &amp; "-" &amp; ROUND(W303, 0) &amp; ")"</f>
        <v>62 (27-151)</v>
      </c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hidden="1">
      <c r="A304" s="7" t="s">
        <v>27</v>
      </c>
      <c r="B304" s="16" t="s">
        <v>104</v>
      </c>
      <c r="C304" s="23">
        <v>2040.0</v>
      </c>
      <c r="D304" s="17">
        <f>402689+403757</f>
        <v>806446</v>
      </c>
      <c r="E304" s="10">
        <v>3.1550402E7</v>
      </c>
      <c r="F304" s="19">
        <v>4.51</v>
      </c>
      <c r="G304" s="10">
        <f t="shared" si="1"/>
        <v>1422.92313</v>
      </c>
      <c r="H304" s="19">
        <v>3.18</v>
      </c>
      <c r="I304" s="8">
        <f t="shared" si="2"/>
        <v>1003.302784</v>
      </c>
      <c r="J304" s="19">
        <v>6.2</v>
      </c>
      <c r="K304" s="11">
        <f t="shared" si="3"/>
        <v>1956.124924</v>
      </c>
      <c r="L304" s="11">
        <f t="shared" si="13"/>
        <v>176.4436962</v>
      </c>
      <c r="M304" s="11">
        <f t="shared" si="905"/>
        <v>8091.095166</v>
      </c>
      <c r="N304" s="11">
        <f t="shared" si="906"/>
        <v>15775.0912</v>
      </c>
      <c r="O304" s="19">
        <v>8.47</v>
      </c>
      <c r="P304" s="19"/>
      <c r="Q304" s="19">
        <v>3.63</v>
      </c>
      <c r="R304" s="19"/>
      <c r="S304" s="19">
        <v>20.56</v>
      </c>
      <c r="T304" s="14"/>
      <c r="U304" s="14">
        <f t="shared" si="907"/>
        <v>68.3059762</v>
      </c>
      <c r="V304" s="14">
        <f t="shared" si="908"/>
        <v>29.2739898</v>
      </c>
      <c r="W304" s="14">
        <f t="shared" si="909"/>
        <v>165.8052976</v>
      </c>
      <c r="X304" s="13"/>
      <c r="Y304" s="13"/>
      <c r="Z304" s="13" t="str">
        <f t="shared" si="910"/>
        <v>5 (3-6)</v>
      </c>
      <c r="AA304" s="13" t="str">
        <f t="shared" si="911"/>
        <v>176 (8091-15775)</v>
      </c>
      <c r="AB304" s="13" t="str">
        <f t="shared" si="912"/>
        <v>8 (4-21)</v>
      </c>
      <c r="AC304" s="13" t="str">
        <f t="shared" si="913"/>
        <v>68 (29-166)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hidden="1">
      <c r="A305" s="7" t="s">
        <v>29</v>
      </c>
      <c r="B305" s="16" t="s">
        <v>104</v>
      </c>
      <c r="C305" s="23">
        <v>2050.0</v>
      </c>
      <c r="D305" s="17">
        <f>430834+431608</f>
        <v>862442</v>
      </c>
      <c r="E305" s="10">
        <v>3.8083385E7</v>
      </c>
      <c r="F305" s="19">
        <v>4.51</v>
      </c>
      <c r="G305" s="10">
        <f t="shared" si="1"/>
        <v>1717.560664</v>
      </c>
      <c r="H305" s="19">
        <v>3.18</v>
      </c>
      <c r="I305" s="8">
        <f t="shared" si="2"/>
        <v>1211.051643</v>
      </c>
      <c r="J305" s="19">
        <v>6.2</v>
      </c>
      <c r="K305" s="11">
        <f t="shared" si="3"/>
        <v>2361.16987</v>
      </c>
      <c r="L305" s="11">
        <f t="shared" si="13"/>
        <v>199.1508604</v>
      </c>
      <c r="M305" s="11">
        <f t="shared" si="905"/>
        <v>10444.61801</v>
      </c>
      <c r="N305" s="11">
        <f t="shared" si="906"/>
        <v>20363.72065</v>
      </c>
      <c r="O305" s="19">
        <v>8.47</v>
      </c>
      <c r="P305" s="8">
        <f t="shared" ref="P305:P306" si="914">(O305/100000)*E305</f>
        <v>3225.66271</v>
      </c>
      <c r="Q305" s="19">
        <v>3.63</v>
      </c>
      <c r="R305" s="8">
        <f t="shared" ref="R305:R306" si="915">(Q305/100000)*E305</f>
        <v>1382.426876</v>
      </c>
      <c r="S305" s="19">
        <v>20.56</v>
      </c>
      <c r="T305" s="11">
        <f t="shared" ref="T305:T306" si="916">(S305/100000)*E305</f>
        <v>7829.943956</v>
      </c>
      <c r="U305" s="14">
        <f t="shared" si="907"/>
        <v>73.0488374</v>
      </c>
      <c r="V305" s="14">
        <f t="shared" si="908"/>
        <v>31.3066446</v>
      </c>
      <c r="W305" s="14">
        <f t="shared" si="909"/>
        <v>177.3180752</v>
      </c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>
      <c r="A306" s="7" t="s">
        <v>23</v>
      </c>
      <c r="B306" s="16" t="s">
        <v>105</v>
      </c>
      <c r="C306" s="20">
        <v>2021.0</v>
      </c>
      <c r="D306" s="17">
        <f>31055+30595.5</f>
        <v>61650.5</v>
      </c>
      <c r="E306" s="18">
        <v>2401441.0</v>
      </c>
      <c r="F306" s="19">
        <v>4.25</v>
      </c>
      <c r="G306" s="10">
        <f t="shared" si="1"/>
        <v>102.0612425</v>
      </c>
      <c r="H306" s="19">
        <v>2.9</v>
      </c>
      <c r="I306" s="8">
        <f t="shared" si="2"/>
        <v>69.641789</v>
      </c>
      <c r="J306" s="19">
        <v>5.83</v>
      </c>
      <c r="K306" s="11">
        <f t="shared" si="3"/>
        <v>140.0040103</v>
      </c>
      <c r="L306" s="11">
        <f t="shared" si="13"/>
        <v>165.548118</v>
      </c>
      <c r="M306" s="12">
        <f>(I306/D306)*100000</f>
        <v>112.9622452</v>
      </c>
      <c r="N306" s="11">
        <f>(K306/D306)*100000</f>
        <v>227.0930654</v>
      </c>
      <c r="O306" s="19">
        <v>7.25</v>
      </c>
      <c r="P306" s="8">
        <f t="shared" si="914"/>
        <v>174.1044725</v>
      </c>
      <c r="Q306" s="19">
        <v>4.38</v>
      </c>
      <c r="R306" s="8">
        <f t="shared" si="915"/>
        <v>105.1831158</v>
      </c>
      <c r="S306" s="19">
        <v>11.56</v>
      </c>
      <c r="T306" s="11">
        <f t="shared" si="916"/>
        <v>277.6065796</v>
      </c>
      <c r="U306" s="11">
        <f>(P306/D306)*100000</f>
        <v>282.4056131</v>
      </c>
      <c r="V306" s="11">
        <f>(R306/D306)*100000</f>
        <v>170.6119428</v>
      </c>
      <c r="W306" s="11">
        <f>(T306/D306)*100000</f>
        <v>450.290881</v>
      </c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hidden="1">
      <c r="A307" s="7" t="s">
        <v>25</v>
      </c>
      <c r="B307" s="16" t="s">
        <v>105</v>
      </c>
      <c r="C307" s="23">
        <v>2030.0</v>
      </c>
      <c r="D307" s="17">
        <f>28602+29336</f>
        <v>57938</v>
      </c>
      <c r="E307" s="10">
        <v>2765918.0</v>
      </c>
      <c r="F307" s="19">
        <v>4.25</v>
      </c>
      <c r="G307" s="10">
        <f t="shared" si="1"/>
        <v>117.551515</v>
      </c>
      <c r="H307" s="19">
        <v>2.9</v>
      </c>
      <c r="I307" s="8">
        <f t="shared" si="2"/>
        <v>80.211622</v>
      </c>
      <c r="J307" s="19">
        <v>5.83</v>
      </c>
      <c r="K307" s="11">
        <f t="shared" si="3"/>
        <v>161.2530194</v>
      </c>
      <c r="L307" s="11">
        <f t="shared" si="13"/>
        <v>202.8919103</v>
      </c>
      <c r="M307" s="11">
        <f t="shared" ref="M307:M309" si="917">(I307*D307)/100000</f>
        <v>46.47300955</v>
      </c>
      <c r="N307" s="11">
        <f t="shared" ref="N307:N309" si="918">(K307*D307)/100000</f>
        <v>93.42677438</v>
      </c>
      <c r="O307" s="19">
        <v>7.25</v>
      </c>
      <c r="P307" s="19"/>
      <c r="Q307" s="19">
        <v>4.38</v>
      </c>
      <c r="R307" s="19"/>
      <c r="S307" s="19">
        <v>11.56</v>
      </c>
      <c r="T307" s="14"/>
      <c r="U307" s="14">
        <f t="shared" ref="U307:U309" si="919">(O307*D307)/100000</f>
        <v>4.200505</v>
      </c>
      <c r="V307" s="14">
        <f t="shared" ref="V307:V309" si="920">(Q307*D307)/100000</f>
        <v>2.5376844</v>
      </c>
      <c r="W307" s="14">
        <f t="shared" ref="W307:W309" si="921">(S307*D307)/100000</f>
        <v>6.6976328</v>
      </c>
      <c r="X307" s="13"/>
      <c r="Y307" s="13"/>
      <c r="Z307" s="13" t="str">
        <f t="shared" ref="Z307:Z308" si="922">ROUND(F307, 0) &amp; " (" &amp; ROUND(H307, 0) &amp; "-" &amp; ROUND(J307, 0) &amp; ")"</f>
        <v>4 (3-6)</v>
      </c>
      <c r="AA307" s="13" t="str">
        <f t="shared" ref="AA307:AA308" si="923">ROUND(L307, 0) &amp; " (" &amp; ROUND(M307, 0) &amp; "-" &amp; ROUND(N307, 0) &amp; ")"</f>
        <v>203 (46-93)</v>
      </c>
      <c r="AB307" s="13" t="str">
        <f t="shared" ref="AB307:AB308" si="924">ROUND(O307, 0) &amp; " (" &amp; ROUND(Q307, 0) &amp; "-" &amp; ROUND(S307, 0) &amp; ")"</f>
        <v>7 (4-12)</v>
      </c>
      <c r="AC307" s="13" t="str">
        <f t="shared" ref="AC307:AC308" si="925">ROUND(U307, 0) &amp; " (" &amp; ROUND(V307, 0) &amp; "-" &amp; ROUND(W307, 0) &amp; ")"</f>
        <v>4 (3-7)</v>
      </c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hidden="1">
      <c r="A308" s="7" t="s">
        <v>27</v>
      </c>
      <c r="B308" s="16" t="s">
        <v>105</v>
      </c>
      <c r="C308" s="23">
        <v>2040.0</v>
      </c>
      <c r="D308" s="17">
        <f>26834+27505</f>
        <v>54339</v>
      </c>
      <c r="E308" s="10">
        <v>3126640.0</v>
      </c>
      <c r="F308" s="19">
        <v>4.25</v>
      </c>
      <c r="G308" s="10">
        <f t="shared" si="1"/>
        <v>132.8822</v>
      </c>
      <c r="H308" s="19">
        <v>2.9</v>
      </c>
      <c r="I308" s="8">
        <f t="shared" si="2"/>
        <v>90.67256</v>
      </c>
      <c r="J308" s="19">
        <v>5.83</v>
      </c>
      <c r="K308" s="11">
        <f t="shared" si="3"/>
        <v>182.283112</v>
      </c>
      <c r="L308" s="11">
        <f t="shared" si="13"/>
        <v>244.5429618</v>
      </c>
      <c r="M308" s="11">
        <f t="shared" si="917"/>
        <v>49.27056238</v>
      </c>
      <c r="N308" s="11">
        <f t="shared" si="918"/>
        <v>99.05082023</v>
      </c>
      <c r="O308" s="19">
        <v>7.25</v>
      </c>
      <c r="P308" s="19"/>
      <c r="Q308" s="19">
        <v>4.38</v>
      </c>
      <c r="R308" s="19"/>
      <c r="S308" s="19">
        <v>11.56</v>
      </c>
      <c r="T308" s="14"/>
      <c r="U308" s="14">
        <f t="shared" si="919"/>
        <v>3.9395775</v>
      </c>
      <c r="V308" s="14">
        <f t="shared" si="920"/>
        <v>2.3800482</v>
      </c>
      <c r="W308" s="14">
        <f t="shared" si="921"/>
        <v>6.2815884</v>
      </c>
      <c r="X308" s="13"/>
      <c r="Y308" s="13"/>
      <c r="Z308" s="13" t="str">
        <f t="shared" si="922"/>
        <v>4 (3-6)</v>
      </c>
      <c r="AA308" s="13" t="str">
        <f t="shared" si="923"/>
        <v>245 (49-99)</v>
      </c>
      <c r="AB308" s="13" t="str">
        <f t="shared" si="924"/>
        <v>7 (4-12)</v>
      </c>
      <c r="AC308" s="13" t="str">
        <f t="shared" si="925"/>
        <v>4 (2-6)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hidden="1">
      <c r="A309" s="7" t="s">
        <v>29</v>
      </c>
      <c r="B309" s="16" t="s">
        <v>105</v>
      </c>
      <c r="C309" s="23">
        <v>2050.0</v>
      </c>
      <c r="D309" s="17">
        <f>26962+27637</f>
        <v>54599</v>
      </c>
      <c r="E309" s="10">
        <v>3437430.0</v>
      </c>
      <c r="F309" s="19">
        <v>4.25</v>
      </c>
      <c r="G309" s="10">
        <f t="shared" si="1"/>
        <v>146.090775</v>
      </c>
      <c r="H309" s="19">
        <v>2.9</v>
      </c>
      <c r="I309" s="8">
        <f t="shared" si="2"/>
        <v>99.68547</v>
      </c>
      <c r="J309" s="19">
        <v>5.83</v>
      </c>
      <c r="K309" s="11">
        <f t="shared" si="3"/>
        <v>200.402169</v>
      </c>
      <c r="L309" s="11">
        <f t="shared" si="13"/>
        <v>267.5704225</v>
      </c>
      <c r="M309" s="11">
        <f t="shared" si="917"/>
        <v>54.42726977</v>
      </c>
      <c r="N309" s="11">
        <f t="shared" si="918"/>
        <v>109.4175803</v>
      </c>
      <c r="O309" s="19">
        <v>7.25</v>
      </c>
      <c r="P309" s="8">
        <f t="shared" ref="P309:P310" si="926">(O309/100000)*E309</f>
        <v>249.213675</v>
      </c>
      <c r="Q309" s="19">
        <v>4.38</v>
      </c>
      <c r="R309" s="8">
        <f t="shared" ref="R309:R310" si="927">(Q309/100000)*E309</f>
        <v>150.559434</v>
      </c>
      <c r="S309" s="19">
        <v>11.56</v>
      </c>
      <c r="T309" s="11">
        <f t="shared" ref="T309:T310" si="928">(S309/100000)*E309</f>
        <v>397.366908</v>
      </c>
      <c r="U309" s="14">
        <f t="shared" si="919"/>
        <v>3.9584275</v>
      </c>
      <c r="V309" s="14">
        <f t="shared" si="920"/>
        <v>2.3914362</v>
      </c>
      <c r="W309" s="14">
        <f t="shared" si="921"/>
        <v>6.3116444</v>
      </c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>
      <c r="A310" s="7" t="s">
        <v>23</v>
      </c>
      <c r="B310" s="16" t="s">
        <v>106</v>
      </c>
      <c r="C310" s="20">
        <v>2021.0</v>
      </c>
      <c r="D310" s="17">
        <f>14724+14405</f>
        <v>29129</v>
      </c>
      <c r="E310" s="18">
        <v>1206593.0</v>
      </c>
      <c r="F310" s="19">
        <v>4.73</v>
      </c>
      <c r="G310" s="10">
        <f t="shared" si="1"/>
        <v>57.0718489</v>
      </c>
      <c r="H310" s="19">
        <v>3.29</v>
      </c>
      <c r="I310" s="8">
        <f t="shared" si="2"/>
        <v>39.6969097</v>
      </c>
      <c r="J310" s="19">
        <v>6.56</v>
      </c>
      <c r="K310" s="11">
        <f t="shared" si="3"/>
        <v>79.1525008</v>
      </c>
      <c r="L310" s="11">
        <f t="shared" si="13"/>
        <v>195.9279375</v>
      </c>
      <c r="M310" s="12">
        <f>(I310/D310)*100000</f>
        <v>136.2796859</v>
      </c>
      <c r="N310" s="11">
        <f>(K310/D310)*100000</f>
        <v>271.7309238</v>
      </c>
      <c r="O310" s="19">
        <v>6.34</v>
      </c>
      <c r="P310" s="8">
        <f t="shared" si="926"/>
        <v>76.4979962</v>
      </c>
      <c r="Q310" s="19">
        <v>3.8</v>
      </c>
      <c r="R310" s="8">
        <f t="shared" si="927"/>
        <v>45.850534</v>
      </c>
      <c r="S310" s="19">
        <v>10.64</v>
      </c>
      <c r="T310" s="11">
        <f t="shared" si="928"/>
        <v>128.3814952</v>
      </c>
      <c r="U310" s="11">
        <f>(P310/D310)*100000</f>
        <v>262.6179965</v>
      </c>
      <c r="V310" s="11">
        <f>(R310/D310)*100000</f>
        <v>157.4051083</v>
      </c>
      <c r="W310" s="11">
        <f>(T310/D310)*100000</f>
        <v>440.7343033</v>
      </c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hidden="1">
      <c r="A311" s="7" t="s">
        <v>25</v>
      </c>
      <c r="B311" s="16" t="s">
        <v>106</v>
      </c>
      <c r="C311" s="23">
        <v>2030.0</v>
      </c>
      <c r="D311" s="17">
        <f>13639+13954</f>
        <v>27593</v>
      </c>
      <c r="E311" s="10">
        <v>1320918.0</v>
      </c>
      <c r="F311" s="19">
        <v>4.73</v>
      </c>
      <c r="G311" s="10">
        <f t="shared" si="1"/>
        <v>62.4794214</v>
      </c>
      <c r="H311" s="19">
        <v>3.29</v>
      </c>
      <c r="I311" s="8">
        <f t="shared" si="2"/>
        <v>43.4582022</v>
      </c>
      <c r="J311" s="19">
        <v>6.56</v>
      </c>
      <c r="K311" s="11">
        <f t="shared" si="3"/>
        <v>86.6522208</v>
      </c>
      <c r="L311" s="11">
        <f t="shared" si="13"/>
        <v>226.4321437</v>
      </c>
      <c r="M311" s="11">
        <f t="shared" ref="M311:M313" si="929">(I311*D311)/100000</f>
        <v>11.99142173</v>
      </c>
      <c r="N311" s="11">
        <f t="shared" ref="N311:N313" si="930">(K311*D311)/100000</f>
        <v>23.90994729</v>
      </c>
      <c r="O311" s="19">
        <v>6.34</v>
      </c>
      <c r="P311" s="19"/>
      <c r="Q311" s="19">
        <v>3.8</v>
      </c>
      <c r="R311" s="19"/>
      <c r="S311" s="19">
        <v>10.64</v>
      </c>
      <c r="T311" s="14"/>
      <c r="U311" s="14">
        <f t="shared" ref="U311:U313" si="931">(O311*D311)/100000</f>
        <v>1.7493962</v>
      </c>
      <c r="V311" s="14">
        <f t="shared" ref="V311:V313" si="932">(Q311*D311)/100000</f>
        <v>1.048534</v>
      </c>
      <c r="W311" s="14">
        <f t="shared" ref="W311:W313" si="933">(S311*D311)/100000</f>
        <v>2.9358952</v>
      </c>
      <c r="X311" s="13"/>
      <c r="Y311" s="13"/>
      <c r="Z311" s="13" t="str">
        <f t="shared" ref="Z311:Z312" si="934">ROUND(F311, 0) &amp; " (" &amp; ROUND(H311, 0) &amp; "-" &amp; ROUND(J311, 0) &amp; ")"</f>
        <v>5 (3-7)</v>
      </c>
      <c r="AA311" s="13" t="str">
        <f t="shared" ref="AA311:AA312" si="935">ROUND(L311, 0) &amp; " (" &amp; ROUND(M311, 0) &amp; "-" &amp; ROUND(N311, 0) &amp; ")"</f>
        <v>226 (12-24)</v>
      </c>
      <c r="AB311" s="13" t="str">
        <f t="shared" ref="AB311:AB312" si="936">ROUND(O311, 0) &amp; " (" &amp; ROUND(Q311, 0) &amp; "-" &amp; ROUND(S311, 0) &amp; ")"</f>
        <v>6 (4-11)</v>
      </c>
      <c r="AC311" s="13" t="str">
        <f t="shared" ref="AC311:AC312" si="937">ROUND(U311, 0) &amp; " (" &amp; ROUND(V311, 0) &amp; "-" &amp; ROUND(W311, 0) &amp; ")"</f>
        <v>2 (1-3)</v>
      </c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hidden="1">
      <c r="A312" s="7" t="s">
        <v>27</v>
      </c>
      <c r="B312" s="16" t="s">
        <v>106</v>
      </c>
      <c r="C312" s="23">
        <v>2040.0</v>
      </c>
      <c r="D312" s="17">
        <f>13000+13288</f>
        <v>26288</v>
      </c>
      <c r="E312" s="10">
        <v>1429781.0</v>
      </c>
      <c r="F312" s="19">
        <v>4.73</v>
      </c>
      <c r="G312" s="10">
        <f t="shared" si="1"/>
        <v>67.6286413</v>
      </c>
      <c r="H312" s="19">
        <v>3.29</v>
      </c>
      <c r="I312" s="8">
        <f t="shared" si="2"/>
        <v>47.0397949</v>
      </c>
      <c r="J312" s="19">
        <v>6.56</v>
      </c>
      <c r="K312" s="11">
        <f t="shared" si="3"/>
        <v>93.7936336</v>
      </c>
      <c r="L312" s="11">
        <f t="shared" si="13"/>
        <v>257.260504</v>
      </c>
      <c r="M312" s="11">
        <f t="shared" si="929"/>
        <v>12.36582128</v>
      </c>
      <c r="N312" s="11">
        <f t="shared" si="930"/>
        <v>24.6564704</v>
      </c>
      <c r="O312" s="19">
        <v>6.34</v>
      </c>
      <c r="P312" s="19"/>
      <c r="Q312" s="19">
        <v>3.8</v>
      </c>
      <c r="R312" s="19"/>
      <c r="S312" s="19">
        <v>10.64</v>
      </c>
      <c r="T312" s="14"/>
      <c r="U312" s="14">
        <f t="shared" si="931"/>
        <v>1.6666592</v>
      </c>
      <c r="V312" s="14">
        <f t="shared" si="932"/>
        <v>0.998944</v>
      </c>
      <c r="W312" s="14">
        <f t="shared" si="933"/>
        <v>2.7970432</v>
      </c>
      <c r="X312" s="13"/>
      <c r="Y312" s="13"/>
      <c r="Z312" s="13" t="str">
        <f t="shared" si="934"/>
        <v>5 (3-7)</v>
      </c>
      <c r="AA312" s="13" t="str">
        <f t="shared" si="935"/>
        <v>257 (12-25)</v>
      </c>
      <c r="AB312" s="13" t="str">
        <f t="shared" si="936"/>
        <v>6 (4-11)</v>
      </c>
      <c r="AC312" s="13" t="str">
        <f t="shared" si="937"/>
        <v>2 (1-3)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hidden="1">
      <c r="A313" s="7" t="s">
        <v>29</v>
      </c>
      <c r="B313" s="16" t="s">
        <v>106</v>
      </c>
      <c r="C313" s="23">
        <v>2050.0</v>
      </c>
      <c r="D313" s="17">
        <f>11996+12253</f>
        <v>24249</v>
      </c>
      <c r="E313" s="10">
        <v>1505331.0</v>
      </c>
      <c r="F313" s="19">
        <v>4.73</v>
      </c>
      <c r="G313" s="10">
        <f t="shared" si="1"/>
        <v>71.2021563</v>
      </c>
      <c r="H313" s="19">
        <v>3.29</v>
      </c>
      <c r="I313" s="8">
        <f t="shared" si="2"/>
        <v>49.5253899</v>
      </c>
      <c r="J313" s="19">
        <v>6.56</v>
      </c>
      <c r="K313" s="11">
        <f t="shared" si="3"/>
        <v>98.7497136</v>
      </c>
      <c r="L313" s="11">
        <f t="shared" si="13"/>
        <v>293.6292478</v>
      </c>
      <c r="M313" s="11">
        <f t="shared" si="929"/>
        <v>12.0094118</v>
      </c>
      <c r="N313" s="11">
        <f t="shared" si="930"/>
        <v>23.94581805</v>
      </c>
      <c r="O313" s="19">
        <v>6.34</v>
      </c>
      <c r="P313" s="8">
        <f t="shared" ref="P313:P314" si="938">(O313/100000)*E313</f>
        <v>95.4379854</v>
      </c>
      <c r="Q313" s="19">
        <v>3.8</v>
      </c>
      <c r="R313" s="8">
        <f t="shared" ref="R313:R314" si="939">(Q313/100000)*E313</f>
        <v>57.202578</v>
      </c>
      <c r="S313" s="19">
        <v>10.64</v>
      </c>
      <c r="T313" s="11">
        <f t="shared" ref="T313:T314" si="940">(S313/100000)*E313</f>
        <v>160.1672184</v>
      </c>
      <c r="U313" s="14">
        <f t="shared" si="931"/>
        <v>1.5373866</v>
      </c>
      <c r="V313" s="14">
        <f t="shared" si="932"/>
        <v>0.921462</v>
      </c>
      <c r="W313" s="14">
        <f t="shared" si="933"/>
        <v>2.5800936</v>
      </c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>
      <c r="A314" s="7" t="s">
        <v>23</v>
      </c>
      <c r="B314" s="16" t="s">
        <v>107</v>
      </c>
      <c r="C314" s="20">
        <v>2021.0</v>
      </c>
      <c r="D314" s="17">
        <f>27362+26883</f>
        <v>54245</v>
      </c>
      <c r="E314" s="18">
        <v>2261542.0</v>
      </c>
      <c r="F314" s="19">
        <v>3.61</v>
      </c>
      <c r="G314" s="10">
        <f t="shared" si="1"/>
        <v>81.6416662</v>
      </c>
      <c r="H314" s="19">
        <v>2.53</v>
      </c>
      <c r="I314" s="8">
        <f t="shared" si="2"/>
        <v>57.2170126</v>
      </c>
      <c r="J314" s="19">
        <v>4.85</v>
      </c>
      <c r="K314" s="11">
        <f t="shared" si="3"/>
        <v>109.684787</v>
      </c>
      <c r="L314" s="11">
        <f t="shared" si="13"/>
        <v>150.5054221</v>
      </c>
      <c r="M314" s="12">
        <f>(I314/D314)*100000</f>
        <v>105.4788692</v>
      </c>
      <c r="N314" s="11">
        <f>(K314/D314)*100000</f>
        <v>202.2025754</v>
      </c>
      <c r="O314" s="19">
        <v>11.2</v>
      </c>
      <c r="P314" s="8">
        <f t="shared" si="938"/>
        <v>253.292704</v>
      </c>
      <c r="Q314" s="19">
        <v>5.61</v>
      </c>
      <c r="R314" s="8">
        <f t="shared" si="939"/>
        <v>126.8725062</v>
      </c>
      <c r="S314" s="19">
        <v>20.42</v>
      </c>
      <c r="T314" s="11">
        <f t="shared" si="940"/>
        <v>461.8068764</v>
      </c>
      <c r="U314" s="11">
        <f>(P314/D314)*100000</f>
        <v>466.9420297</v>
      </c>
      <c r="V314" s="11">
        <f>(R314/D314)*100000</f>
        <v>233.8879274</v>
      </c>
      <c r="W314" s="11">
        <f>(T314/D314)*100000</f>
        <v>851.3353791</v>
      </c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hidden="1">
      <c r="A315" s="7" t="s">
        <v>25</v>
      </c>
      <c r="B315" s="16" t="s">
        <v>107</v>
      </c>
      <c r="C315" s="23">
        <v>2030.0</v>
      </c>
      <c r="D315" s="17">
        <f>26223+26728</f>
        <v>52951</v>
      </c>
      <c r="E315" s="10">
        <v>2493818.0</v>
      </c>
      <c r="F315" s="19">
        <v>3.61</v>
      </c>
      <c r="G315" s="10">
        <f t="shared" si="1"/>
        <v>90.0268298</v>
      </c>
      <c r="H315" s="19">
        <v>2.53</v>
      </c>
      <c r="I315" s="8">
        <f t="shared" si="2"/>
        <v>63.0935954</v>
      </c>
      <c r="J315" s="19">
        <v>4.85</v>
      </c>
      <c r="K315" s="11">
        <f t="shared" si="3"/>
        <v>120.950173</v>
      </c>
      <c r="L315" s="11">
        <f t="shared" si="13"/>
        <v>170.0191305</v>
      </c>
      <c r="M315" s="11">
        <f t="shared" ref="M315:M317" si="941">(I315*D315)/100000</f>
        <v>33.4086897</v>
      </c>
      <c r="N315" s="11">
        <f t="shared" ref="N315:N317" si="942">(K315*D315)/100000</f>
        <v>64.04432611</v>
      </c>
      <c r="O315" s="19">
        <v>11.2</v>
      </c>
      <c r="P315" s="19"/>
      <c r="Q315" s="19">
        <v>5.61</v>
      </c>
      <c r="R315" s="19"/>
      <c r="S315" s="19">
        <v>20.42</v>
      </c>
      <c r="T315" s="14"/>
      <c r="U315" s="14">
        <f t="shared" ref="U315:U317" si="943">(O315*D315)/100000</f>
        <v>5.930512</v>
      </c>
      <c r="V315" s="14">
        <f t="shared" ref="V315:V317" si="944">(Q315*D315)/100000</f>
        <v>2.9705511</v>
      </c>
      <c r="W315" s="14">
        <f t="shared" ref="W315:W317" si="945">(S315*D315)/100000</f>
        <v>10.8125942</v>
      </c>
      <c r="X315" s="13"/>
      <c r="Y315" s="13"/>
      <c r="Z315" s="13" t="str">
        <f t="shared" ref="Z315:Z316" si="946">ROUND(F315, 0) &amp; " (" &amp; ROUND(H315, 0) &amp; "-" &amp; ROUND(J315, 0) &amp; ")"</f>
        <v>4 (3-5)</v>
      </c>
      <c r="AA315" s="13" t="str">
        <f t="shared" ref="AA315:AA316" si="947">ROUND(L315, 0) &amp; " (" &amp; ROUND(M315, 0) &amp; "-" &amp; ROUND(N315, 0) &amp; ")"</f>
        <v>170 (33-64)</v>
      </c>
      <c r="AB315" s="13" t="str">
        <f t="shared" ref="AB315:AB316" si="948">ROUND(O315, 0) &amp; " (" &amp; ROUND(Q315, 0) &amp; "-" &amp; ROUND(S315, 0) &amp; ")"</f>
        <v>11 (6-20)</v>
      </c>
      <c r="AC315" s="13" t="str">
        <f t="shared" ref="AC315:AC316" si="949">ROUND(U315, 0) &amp; " (" &amp; ROUND(V315, 0) &amp; "-" &amp; ROUND(W315, 0) &amp; ")"</f>
        <v>6 (3-11)</v>
      </c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hidden="1">
      <c r="A316" s="7" t="s">
        <v>27</v>
      </c>
      <c r="B316" s="16" t="s">
        <v>107</v>
      </c>
      <c r="C316" s="23">
        <v>2040.0</v>
      </c>
      <c r="D316" s="17">
        <f>26336+26843</f>
        <v>53179</v>
      </c>
      <c r="E316" s="10">
        <v>2757876.0</v>
      </c>
      <c r="F316" s="19">
        <v>3.61</v>
      </c>
      <c r="G316" s="10">
        <f t="shared" si="1"/>
        <v>99.5593236</v>
      </c>
      <c r="H316" s="19">
        <v>2.53</v>
      </c>
      <c r="I316" s="8">
        <f t="shared" si="2"/>
        <v>69.7742628</v>
      </c>
      <c r="J316" s="19">
        <v>4.85</v>
      </c>
      <c r="K316" s="11">
        <f t="shared" si="3"/>
        <v>133.756986</v>
      </c>
      <c r="L316" s="11">
        <f t="shared" si="13"/>
        <v>187.2154866</v>
      </c>
      <c r="M316" s="11">
        <f t="shared" si="941"/>
        <v>37.10525521</v>
      </c>
      <c r="N316" s="11">
        <f t="shared" si="942"/>
        <v>71.13062758</v>
      </c>
      <c r="O316" s="19">
        <v>11.2</v>
      </c>
      <c r="P316" s="19"/>
      <c r="Q316" s="19">
        <v>5.61</v>
      </c>
      <c r="R316" s="19"/>
      <c r="S316" s="19">
        <v>20.42</v>
      </c>
      <c r="T316" s="14"/>
      <c r="U316" s="14">
        <f t="shared" si="943"/>
        <v>5.956048</v>
      </c>
      <c r="V316" s="14">
        <f t="shared" si="944"/>
        <v>2.9833419</v>
      </c>
      <c r="W316" s="14">
        <f t="shared" si="945"/>
        <v>10.8591518</v>
      </c>
      <c r="X316" s="13"/>
      <c r="Y316" s="13"/>
      <c r="Z316" s="13" t="str">
        <f t="shared" si="946"/>
        <v>4 (3-5)</v>
      </c>
      <c r="AA316" s="13" t="str">
        <f t="shared" si="947"/>
        <v>187 (37-71)</v>
      </c>
      <c r="AB316" s="13" t="str">
        <f t="shared" si="948"/>
        <v>11 (6-20)</v>
      </c>
      <c r="AC316" s="13" t="str">
        <f t="shared" si="949"/>
        <v>6 (3-11)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hidden="1">
      <c r="A317" s="7" t="s">
        <v>29</v>
      </c>
      <c r="B317" s="16" t="s">
        <v>107</v>
      </c>
      <c r="C317" s="23">
        <v>2050.0</v>
      </c>
      <c r="D317" s="17">
        <f>25072+25555</f>
        <v>50627</v>
      </c>
      <c r="E317" s="10">
        <v>2993077.0</v>
      </c>
      <c r="F317" s="19">
        <v>3.61</v>
      </c>
      <c r="G317" s="10">
        <f t="shared" si="1"/>
        <v>108.0500797</v>
      </c>
      <c r="H317" s="19">
        <v>2.53</v>
      </c>
      <c r="I317" s="8">
        <f t="shared" si="2"/>
        <v>75.7248481</v>
      </c>
      <c r="J317" s="19">
        <v>4.85</v>
      </c>
      <c r="K317" s="11">
        <f t="shared" si="3"/>
        <v>145.1642345</v>
      </c>
      <c r="L317" s="11">
        <f t="shared" si="13"/>
        <v>213.4238246</v>
      </c>
      <c r="M317" s="11">
        <f t="shared" si="941"/>
        <v>38.33721885</v>
      </c>
      <c r="N317" s="11">
        <f t="shared" si="942"/>
        <v>73.492297</v>
      </c>
      <c r="O317" s="19">
        <v>11.2</v>
      </c>
      <c r="P317" s="8">
        <f t="shared" ref="P317:P318" si="950">(O317/100000)*E317</f>
        <v>335.224624</v>
      </c>
      <c r="Q317" s="19">
        <v>5.61</v>
      </c>
      <c r="R317" s="8">
        <f t="shared" ref="R317:R318" si="951">(Q317/100000)*E317</f>
        <v>167.9116197</v>
      </c>
      <c r="S317" s="19">
        <v>20.42</v>
      </c>
      <c r="T317" s="11">
        <f t="shared" ref="T317:T318" si="952">(S317/100000)*E317</f>
        <v>611.1863234</v>
      </c>
      <c r="U317" s="14">
        <f t="shared" si="943"/>
        <v>5.670224</v>
      </c>
      <c r="V317" s="14">
        <f t="shared" si="944"/>
        <v>2.8401747</v>
      </c>
      <c r="W317" s="14">
        <f t="shared" si="945"/>
        <v>10.3380334</v>
      </c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>
      <c r="A318" s="24" t="s">
        <v>23</v>
      </c>
      <c r="B318" s="16" t="s">
        <v>108</v>
      </c>
      <c r="C318" s="20">
        <v>2021.0</v>
      </c>
      <c r="D318" s="17">
        <f>43237+43013</f>
        <v>86250</v>
      </c>
      <c r="E318" s="18">
        <v>2810548.0</v>
      </c>
      <c r="F318" s="19">
        <v>4.25</v>
      </c>
      <c r="G318" s="10">
        <f t="shared" si="1"/>
        <v>119.44829</v>
      </c>
      <c r="H318" s="19">
        <v>2.95</v>
      </c>
      <c r="I318" s="8">
        <f t="shared" si="2"/>
        <v>82.911166</v>
      </c>
      <c r="J318" s="19">
        <v>5.79</v>
      </c>
      <c r="K318" s="11">
        <f t="shared" si="3"/>
        <v>162.7307292</v>
      </c>
      <c r="L318" s="11">
        <f t="shared" si="13"/>
        <v>138.490771</v>
      </c>
      <c r="M318" s="12">
        <f>(I318/D318)*100000</f>
        <v>96.12888812</v>
      </c>
      <c r="N318" s="11">
        <f>(K318/D318)*100000</f>
        <v>188.6733092</v>
      </c>
      <c r="O318" s="19">
        <v>6.53</v>
      </c>
      <c r="P318" s="8">
        <f t="shared" si="950"/>
        <v>183.5287844</v>
      </c>
      <c r="Q318" s="19">
        <v>3.86</v>
      </c>
      <c r="R318" s="8">
        <f t="shared" si="951"/>
        <v>108.4871528</v>
      </c>
      <c r="S318" s="19">
        <v>10.91</v>
      </c>
      <c r="T318" s="11">
        <f t="shared" si="952"/>
        <v>306.6307868</v>
      </c>
      <c r="U318" s="11">
        <f>(P318/D318)*100000</f>
        <v>212.7869964</v>
      </c>
      <c r="V318" s="11">
        <f>(R318/D318)*100000</f>
        <v>125.7822061</v>
      </c>
      <c r="W318" s="11">
        <f>(T318/D318)*100000</f>
        <v>355.5139557</v>
      </c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hidden="1">
      <c r="A319" s="24" t="s">
        <v>25</v>
      </c>
      <c r="B319" s="16" t="s">
        <v>108</v>
      </c>
      <c r="C319" s="23">
        <v>2030.0</v>
      </c>
      <c r="D319" s="17">
        <f>38890+39069</f>
        <v>77959</v>
      </c>
      <c r="E319" s="10">
        <v>3389958.0</v>
      </c>
      <c r="F319" s="19">
        <v>4.25</v>
      </c>
      <c r="G319" s="10">
        <f t="shared" si="1"/>
        <v>144.073215</v>
      </c>
      <c r="H319" s="19">
        <v>2.95</v>
      </c>
      <c r="I319" s="8">
        <f t="shared" si="2"/>
        <v>100.003761</v>
      </c>
      <c r="J319" s="19">
        <v>5.79</v>
      </c>
      <c r="K319" s="11">
        <f t="shared" si="3"/>
        <v>196.2785682</v>
      </c>
      <c r="L319" s="11">
        <f t="shared" si="13"/>
        <v>184.8063918</v>
      </c>
      <c r="M319" s="11">
        <f t="shared" ref="M319:M321" si="953">(I319*D319)/100000</f>
        <v>77.96193204</v>
      </c>
      <c r="N319" s="11">
        <f t="shared" ref="N319:N321" si="954">(K319*D319)/100000</f>
        <v>153.016809</v>
      </c>
      <c r="O319" s="19">
        <v>6.53</v>
      </c>
      <c r="P319" s="19"/>
      <c r="Q319" s="19">
        <v>3.86</v>
      </c>
      <c r="R319" s="19"/>
      <c r="S319" s="19">
        <v>10.91</v>
      </c>
      <c r="T319" s="14"/>
      <c r="U319" s="14">
        <f t="shared" ref="U319:U321" si="955">(O319*D319)/100000</f>
        <v>5.0907227</v>
      </c>
      <c r="V319" s="14">
        <f t="shared" ref="V319:V321" si="956">(Q319*D319)/100000</f>
        <v>3.0092174</v>
      </c>
      <c r="W319" s="14">
        <f t="shared" ref="W319:W321" si="957">(S319*D319)/100000</f>
        <v>8.5053269</v>
      </c>
      <c r="X319" s="13"/>
      <c r="Y319" s="13"/>
      <c r="Z319" s="13" t="str">
        <f t="shared" ref="Z319:Z320" si="958">ROUND(F319, 0) &amp; " (" &amp; ROUND(H319, 0) &amp; "-" &amp; ROUND(J319, 0) &amp; ")"</f>
        <v>4 (3-6)</v>
      </c>
      <c r="AA319" s="13" t="str">
        <f t="shared" ref="AA319:AA320" si="959">ROUND(L319, 0) &amp; " (" &amp; ROUND(M319, 0) &amp; "-" &amp; ROUND(N319, 0) &amp; ")"</f>
        <v>185 (78-153)</v>
      </c>
      <c r="AB319" s="13" t="str">
        <f t="shared" ref="AB319:AB320" si="960">ROUND(O319, 0) &amp; " (" &amp; ROUND(Q319, 0) &amp; "-" &amp; ROUND(S319, 0) &amp; ")"</f>
        <v>7 (4-11)</v>
      </c>
      <c r="AC319" s="13" t="str">
        <f t="shared" ref="AC319:AC320" si="961">ROUND(U319, 0) &amp; " (" &amp; ROUND(V319, 0) &amp; "-" &amp; ROUND(W319, 0) &amp; ")"</f>
        <v>5 (3-9)</v>
      </c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hidden="1">
      <c r="A320" s="24" t="s">
        <v>27</v>
      </c>
      <c r="B320" s="16" t="s">
        <v>108</v>
      </c>
      <c r="C320" s="23">
        <v>2040.0</v>
      </c>
      <c r="D320" s="17">
        <f>41380+41548</f>
        <v>82928</v>
      </c>
      <c r="E320" s="10">
        <v>3962405.0</v>
      </c>
      <c r="F320" s="19">
        <v>4.25</v>
      </c>
      <c r="G320" s="10">
        <f t="shared" si="1"/>
        <v>168.4022125</v>
      </c>
      <c r="H320" s="19">
        <v>2.95</v>
      </c>
      <c r="I320" s="8">
        <f t="shared" si="2"/>
        <v>116.8909475</v>
      </c>
      <c r="J320" s="19">
        <v>5.79</v>
      </c>
      <c r="K320" s="11">
        <f t="shared" si="3"/>
        <v>229.4232495</v>
      </c>
      <c r="L320" s="11">
        <f t="shared" si="13"/>
        <v>203.0703894</v>
      </c>
      <c r="M320" s="11">
        <f t="shared" si="953"/>
        <v>96.93532494</v>
      </c>
      <c r="N320" s="11">
        <f t="shared" si="954"/>
        <v>190.2561123</v>
      </c>
      <c r="O320" s="19">
        <v>6.53</v>
      </c>
      <c r="P320" s="19"/>
      <c r="Q320" s="19">
        <v>3.86</v>
      </c>
      <c r="R320" s="19"/>
      <c r="S320" s="19">
        <v>10.91</v>
      </c>
      <c r="T320" s="14"/>
      <c r="U320" s="14">
        <f t="shared" si="955"/>
        <v>5.4151984</v>
      </c>
      <c r="V320" s="14">
        <f t="shared" si="956"/>
        <v>3.2010208</v>
      </c>
      <c r="W320" s="14">
        <f t="shared" si="957"/>
        <v>9.0474448</v>
      </c>
      <c r="X320" s="13"/>
      <c r="Y320" s="13"/>
      <c r="Z320" s="13" t="str">
        <f t="shared" si="958"/>
        <v>4 (3-6)</v>
      </c>
      <c r="AA320" s="13" t="str">
        <f t="shared" si="959"/>
        <v>203 (97-190)</v>
      </c>
      <c r="AB320" s="13" t="str">
        <f t="shared" si="960"/>
        <v>7 (4-11)</v>
      </c>
      <c r="AC320" s="13" t="str">
        <f t="shared" si="961"/>
        <v>5 (3-9)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hidden="1">
      <c r="A321" s="24" t="s">
        <v>29</v>
      </c>
      <c r="B321" s="16" t="s">
        <v>108</v>
      </c>
      <c r="C321" s="23">
        <v>2050.0</v>
      </c>
      <c r="D321" s="17">
        <f>42430+42597</f>
        <v>85027</v>
      </c>
      <c r="E321" s="10">
        <v>4512301.0</v>
      </c>
      <c r="F321" s="19">
        <v>4.25</v>
      </c>
      <c r="G321" s="10">
        <f t="shared" si="1"/>
        <v>191.7727925</v>
      </c>
      <c r="H321" s="19">
        <v>2.95</v>
      </c>
      <c r="I321" s="8">
        <f t="shared" si="2"/>
        <v>133.1128795</v>
      </c>
      <c r="J321" s="19">
        <v>5.79</v>
      </c>
      <c r="K321" s="11">
        <f t="shared" si="3"/>
        <v>261.2622279</v>
      </c>
      <c r="L321" s="11">
        <f t="shared" si="13"/>
        <v>225.5434068</v>
      </c>
      <c r="M321" s="11">
        <f t="shared" si="953"/>
        <v>113.1818881</v>
      </c>
      <c r="N321" s="11">
        <f t="shared" si="954"/>
        <v>222.1434345</v>
      </c>
      <c r="O321" s="19">
        <v>6.53</v>
      </c>
      <c r="P321" s="8">
        <f t="shared" ref="P321:P322" si="962">(O321/100000)*E321</f>
        <v>294.6532553</v>
      </c>
      <c r="Q321" s="19">
        <v>3.86</v>
      </c>
      <c r="R321" s="8">
        <f t="shared" ref="R321:R322" si="963">(Q321/100000)*E321</f>
        <v>174.1748186</v>
      </c>
      <c r="S321" s="19">
        <v>10.91</v>
      </c>
      <c r="T321" s="11">
        <f t="shared" ref="T321:T322" si="964">(S321/100000)*E321</f>
        <v>492.2920391</v>
      </c>
      <c r="U321" s="14">
        <f t="shared" si="955"/>
        <v>5.5522631</v>
      </c>
      <c r="V321" s="14">
        <f t="shared" si="956"/>
        <v>3.2820422</v>
      </c>
      <c r="W321" s="14">
        <f t="shared" si="957"/>
        <v>9.2764457</v>
      </c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>
      <c r="A322" s="24" t="s">
        <v>23</v>
      </c>
      <c r="B322" s="16" t="s">
        <v>109</v>
      </c>
      <c r="C322" s="20">
        <v>2021.0</v>
      </c>
      <c r="D322" s="17">
        <f>613225+609633.5</f>
        <v>1222858.5</v>
      </c>
      <c r="E322" s="18">
        <v>6.1502603E7</v>
      </c>
      <c r="F322" s="19">
        <v>2.6</v>
      </c>
      <c r="G322" s="10">
        <f t="shared" si="1"/>
        <v>1599.067678</v>
      </c>
      <c r="H322" s="19">
        <v>1.86</v>
      </c>
      <c r="I322" s="8">
        <f t="shared" si="2"/>
        <v>1143.948416</v>
      </c>
      <c r="J322" s="19">
        <v>3.51</v>
      </c>
      <c r="K322" s="11">
        <f t="shared" si="3"/>
        <v>2158.741365</v>
      </c>
      <c r="L322" s="11">
        <f t="shared" si="13"/>
        <v>130.7647351</v>
      </c>
      <c r="M322" s="12">
        <f>(I322/D322)*100000</f>
        <v>93.54707972</v>
      </c>
      <c r="N322" s="11">
        <f>(K322/D322)*100000</f>
        <v>176.5323924</v>
      </c>
      <c r="O322" s="19">
        <v>5.16</v>
      </c>
      <c r="P322" s="8">
        <f t="shared" si="962"/>
        <v>3173.534315</v>
      </c>
      <c r="Q322" s="19">
        <v>3.34</v>
      </c>
      <c r="R322" s="8">
        <f t="shared" si="963"/>
        <v>2054.18694</v>
      </c>
      <c r="S322" s="19">
        <v>7.45</v>
      </c>
      <c r="T322" s="11">
        <f t="shared" si="964"/>
        <v>4581.943924</v>
      </c>
      <c r="U322" s="11">
        <f>(P322/D322)*100000</f>
        <v>259.517705</v>
      </c>
      <c r="V322" s="11">
        <f>(R322/D322)*100000</f>
        <v>167.9823905</v>
      </c>
      <c r="W322" s="11">
        <f>(T322/D322)*100000</f>
        <v>374.6912601</v>
      </c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hidden="1">
      <c r="A323" s="24" t="s">
        <v>25</v>
      </c>
      <c r="B323" s="16" t="s">
        <v>109</v>
      </c>
      <c r="C323" s="23">
        <v>2030.0</v>
      </c>
      <c r="D323" s="17">
        <f>556744+575303</f>
        <v>1132047</v>
      </c>
      <c r="E323" s="10">
        <v>6.8161359E7</v>
      </c>
      <c r="F323" s="19">
        <v>2.6</v>
      </c>
      <c r="G323" s="10">
        <f t="shared" si="1"/>
        <v>1772.195334</v>
      </c>
      <c r="H323" s="19">
        <v>1.86</v>
      </c>
      <c r="I323" s="8">
        <f t="shared" si="2"/>
        <v>1267.801277</v>
      </c>
      <c r="J323" s="19">
        <v>3.51</v>
      </c>
      <c r="K323" s="11">
        <f t="shared" si="3"/>
        <v>2392.463701</v>
      </c>
      <c r="L323" s="11">
        <f t="shared" si="13"/>
        <v>156.5478583</v>
      </c>
      <c r="M323" s="11">
        <f t="shared" ref="M323:M325" si="965">(I323*D323)/100000</f>
        <v>14352.10633</v>
      </c>
      <c r="N323" s="11">
        <f t="shared" ref="N323:N325" si="966">(K323*D323)/100000</f>
        <v>27083.81355</v>
      </c>
      <c r="O323" s="19">
        <v>5.16</v>
      </c>
      <c r="P323" s="19"/>
      <c r="Q323" s="19">
        <v>3.34</v>
      </c>
      <c r="R323" s="19"/>
      <c r="S323" s="19">
        <v>7.45</v>
      </c>
      <c r="T323" s="14"/>
      <c r="U323" s="14">
        <f t="shared" ref="U323:U325" si="967">(O323*D323)/100000</f>
        <v>58.4136252</v>
      </c>
      <c r="V323" s="14">
        <f t="shared" ref="V323:V325" si="968">(Q323*D323)/100000</f>
        <v>37.8103698</v>
      </c>
      <c r="W323" s="14">
        <f t="shared" ref="W323:W325" si="969">(S323*D323)/100000</f>
        <v>84.3375015</v>
      </c>
      <c r="X323" s="13"/>
      <c r="Y323" s="13"/>
      <c r="Z323" s="13" t="str">
        <f t="shared" ref="Z323:Z324" si="970">ROUND(F323, 0) &amp; " (" &amp; ROUND(H323, 0) &amp; "-" &amp; ROUND(J323, 0) &amp; ")"</f>
        <v>3 (2-4)</v>
      </c>
      <c r="AA323" s="13" t="str">
        <f t="shared" ref="AA323:AA324" si="971">ROUND(L323, 0) &amp; " (" &amp; ROUND(M323, 0) &amp; "-" &amp; ROUND(N323, 0) &amp; ")"</f>
        <v>157 (14352-27084)</v>
      </c>
      <c r="AB323" s="13" t="str">
        <f t="shared" ref="AB323:AB324" si="972">ROUND(O323, 0) &amp; " (" &amp; ROUND(Q323, 0) &amp; "-" &amp; ROUND(S323, 0) &amp; ")"</f>
        <v>5 (3-7)</v>
      </c>
      <c r="AC323" s="13" t="str">
        <f t="shared" ref="AC323:AC324" si="973">ROUND(U323, 0) &amp; " (" &amp; ROUND(V323, 0) &amp; "-" &amp; ROUND(W323, 0) &amp; ")"</f>
        <v>58 (38-84)</v>
      </c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hidden="1">
      <c r="A324" s="24" t="s">
        <v>27</v>
      </c>
      <c r="B324" s="16" t="s">
        <v>109</v>
      </c>
      <c r="C324" s="23">
        <v>2040.0</v>
      </c>
      <c r="D324" s="17">
        <f>548100+566228</f>
        <v>1114328</v>
      </c>
      <c r="E324" s="10">
        <v>7.4035624E7</v>
      </c>
      <c r="F324" s="19">
        <v>2.6</v>
      </c>
      <c r="G324" s="10">
        <f t="shared" si="1"/>
        <v>1924.926224</v>
      </c>
      <c r="H324" s="19">
        <v>1.86</v>
      </c>
      <c r="I324" s="8">
        <f t="shared" si="2"/>
        <v>1377.062606</v>
      </c>
      <c r="J324" s="19">
        <v>3.51</v>
      </c>
      <c r="K324" s="11">
        <f t="shared" si="3"/>
        <v>2598.650402</v>
      </c>
      <c r="L324" s="11">
        <f t="shared" si="13"/>
        <v>172.7432339</v>
      </c>
      <c r="M324" s="11">
        <f t="shared" si="965"/>
        <v>15344.9942</v>
      </c>
      <c r="N324" s="11">
        <f t="shared" si="966"/>
        <v>28957.48906</v>
      </c>
      <c r="O324" s="19">
        <v>5.16</v>
      </c>
      <c r="P324" s="19"/>
      <c r="Q324" s="19">
        <v>3.34</v>
      </c>
      <c r="R324" s="19"/>
      <c r="S324" s="19">
        <v>7.45</v>
      </c>
      <c r="T324" s="14"/>
      <c r="U324" s="14">
        <f t="shared" si="967"/>
        <v>57.4993248</v>
      </c>
      <c r="V324" s="14">
        <f t="shared" si="968"/>
        <v>37.2185552</v>
      </c>
      <c r="W324" s="14">
        <f t="shared" si="969"/>
        <v>83.017436</v>
      </c>
      <c r="X324" s="13"/>
      <c r="Y324" s="13"/>
      <c r="Z324" s="13" t="str">
        <f t="shared" si="970"/>
        <v>3 (2-4)</v>
      </c>
      <c r="AA324" s="13" t="str">
        <f t="shared" si="971"/>
        <v>173 (15345-28957)</v>
      </c>
      <c r="AB324" s="13" t="str">
        <f t="shared" si="972"/>
        <v>5 (3-7)</v>
      </c>
      <c r="AC324" s="13" t="str">
        <f t="shared" si="973"/>
        <v>57 (37-83)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hidden="1">
      <c r="A325" s="24" t="s">
        <v>29</v>
      </c>
      <c r="B325" s="16" t="s">
        <v>109</v>
      </c>
      <c r="C325" s="23">
        <v>2050.0</v>
      </c>
      <c r="D325" s="17">
        <f>558436+577192</f>
        <v>1135628</v>
      </c>
      <c r="E325" s="10">
        <v>7.9177328E7</v>
      </c>
      <c r="F325" s="19">
        <v>2.6</v>
      </c>
      <c r="G325" s="10">
        <f t="shared" si="1"/>
        <v>2058.610528</v>
      </c>
      <c r="H325" s="19">
        <v>1.86</v>
      </c>
      <c r="I325" s="8">
        <f t="shared" si="2"/>
        <v>1472.698301</v>
      </c>
      <c r="J325" s="19">
        <v>3.51</v>
      </c>
      <c r="K325" s="11">
        <f t="shared" si="3"/>
        <v>2779.124213</v>
      </c>
      <c r="L325" s="11">
        <f t="shared" si="13"/>
        <v>181.2750767</v>
      </c>
      <c r="M325" s="11">
        <f t="shared" si="965"/>
        <v>16724.37426</v>
      </c>
      <c r="N325" s="11">
        <f t="shared" si="966"/>
        <v>31560.51272</v>
      </c>
      <c r="O325" s="19">
        <v>5.16</v>
      </c>
      <c r="P325" s="8">
        <f t="shared" ref="P325:P326" si="974">(O325/100000)*E325</f>
        <v>4085.550125</v>
      </c>
      <c r="Q325" s="19">
        <v>3.34</v>
      </c>
      <c r="R325" s="8">
        <f t="shared" ref="R325:R326" si="975">(Q325/100000)*E325</f>
        <v>2644.522755</v>
      </c>
      <c r="S325" s="19">
        <v>7.45</v>
      </c>
      <c r="T325" s="11">
        <f t="shared" ref="T325:T326" si="976">(S325/100000)*E325</f>
        <v>5898.710936</v>
      </c>
      <c r="U325" s="14">
        <f t="shared" si="967"/>
        <v>58.5984048</v>
      </c>
      <c r="V325" s="14">
        <f t="shared" si="968"/>
        <v>37.9299752</v>
      </c>
      <c r="W325" s="14">
        <f t="shared" si="969"/>
        <v>84.604286</v>
      </c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>
      <c r="A326" s="24" t="s">
        <v>23</v>
      </c>
      <c r="B326" s="16" t="s">
        <v>110</v>
      </c>
      <c r="C326" s="20">
        <v>2021.0</v>
      </c>
      <c r="D326" s="17">
        <f>236626+232667</f>
        <v>469293</v>
      </c>
      <c r="E326" s="18">
        <v>1.579721E7</v>
      </c>
      <c r="F326" s="19">
        <v>5.0</v>
      </c>
      <c r="G326" s="10">
        <f t="shared" si="1"/>
        <v>789.8605</v>
      </c>
      <c r="H326" s="19">
        <v>3.65</v>
      </c>
      <c r="I326" s="8">
        <f t="shared" si="2"/>
        <v>576.598165</v>
      </c>
      <c r="J326" s="19">
        <v>6.78</v>
      </c>
      <c r="K326" s="11">
        <f t="shared" si="3"/>
        <v>1071.050838</v>
      </c>
      <c r="L326" s="11">
        <f t="shared" si="13"/>
        <v>168.3086046</v>
      </c>
      <c r="M326" s="12">
        <f>(I326/D326)*100000</f>
        <v>122.8652814</v>
      </c>
      <c r="N326" s="11">
        <f>(K326/D326)*100000</f>
        <v>228.2264679</v>
      </c>
      <c r="O326" s="19">
        <v>16.34</v>
      </c>
      <c r="P326" s="8">
        <f t="shared" si="974"/>
        <v>2581.264114</v>
      </c>
      <c r="Q326" s="19">
        <v>9.1</v>
      </c>
      <c r="R326" s="8">
        <f t="shared" si="975"/>
        <v>1437.54611</v>
      </c>
      <c r="S326" s="19">
        <v>29.18</v>
      </c>
      <c r="T326" s="11">
        <f t="shared" si="976"/>
        <v>4609.625878</v>
      </c>
      <c r="U326" s="11">
        <f>(P326/D326)*100000</f>
        <v>550.03252</v>
      </c>
      <c r="V326" s="11">
        <f>(R326/D326)*100000</f>
        <v>306.3216605</v>
      </c>
      <c r="W326" s="11">
        <f>(T326/D326)*100000</f>
        <v>982.2490167</v>
      </c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hidden="1">
      <c r="A327" s="24" t="s">
        <v>25</v>
      </c>
      <c r="B327" s="16" t="s">
        <v>110</v>
      </c>
      <c r="C327" s="23">
        <v>2030.0</v>
      </c>
      <c r="D327" s="17">
        <f>255235+259956</f>
        <v>515191</v>
      </c>
      <c r="E327" s="10">
        <v>1.8610349E7</v>
      </c>
      <c r="F327" s="19">
        <v>5.0</v>
      </c>
      <c r="G327" s="10">
        <f t="shared" si="1"/>
        <v>930.51745</v>
      </c>
      <c r="H327" s="19">
        <v>3.65</v>
      </c>
      <c r="I327" s="8">
        <f t="shared" si="2"/>
        <v>679.2777385</v>
      </c>
      <c r="J327" s="19">
        <v>6.78</v>
      </c>
      <c r="K327" s="11">
        <f t="shared" si="3"/>
        <v>1261.781662</v>
      </c>
      <c r="L327" s="11">
        <f t="shared" si="13"/>
        <v>180.6160143</v>
      </c>
      <c r="M327" s="11">
        <f t="shared" ref="M327:M329" si="977">(I327*D327)/100000</f>
        <v>3499.577774</v>
      </c>
      <c r="N327" s="11">
        <f t="shared" ref="N327:N329" si="978">(K327*D327)/100000</f>
        <v>6500.585563</v>
      </c>
      <c r="O327" s="19">
        <v>16.34</v>
      </c>
      <c r="P327" s="19"/>
      <c r="Q327" s="19">
        <v>9.1</v>
      </c>
      <c r="R327" s="19"/>
      <c r="S327" s="19">
        <v>29.18</v>
      </c>
      <c r="T327" s="14"/>
      <c r="U327" s="14">
        <f t="shared" ref="U327:U329" si="979">(O327*D327)/100000</f>
        <v>84.1822094</v>
      </c>
      <c r="V327" s="14">
        <f t="shared" ref="V327:V329" si="980">(Q327*D327)/100000</f>
        <v>46.882381</v>
      </c>
      <c r="W327" s="14">
        <f t="shared" ref="W327:W329" si="981">(S327*D327)/100000</f>
        <v>150.3327338</v>
      </c>
      <c r="X327" s="13"/>
      <c r="Y327" s="13"/>
      <c r="Z327" s="13" t="str">
        <f t="shared" ref="Z327:Z328" si="982">ROUND(F327, 0) &amp; " (" &amp; ROUND(H327, 0) &amp; "-" &amp; ROUND(J327, 0) &amp; ")"</f>
        <v>5 (4-7)</v>
      </c>
      <c r="AA327" s="13" t="str">
        <f t="shared" ref="AA327:AA328" si="983">ROUND(L327, 0) &amp; " (" &amp; ROUND(M327, 0) &amp; "-" &amp; ROUND(N327, 0) &amp; ")"</f>
        <v>181 (3500-6501)</v>
      </c>
      <c r="AB327" s="13" t="str">
        <f t="shared" ref="AB327:AB328" si="984">ROUND(O327, 0) &amp; " (" &amp; ROUND(Q327, 0) &amp; "-" &amp; ROUND(S327, 0) &amp; ")"</f>
        <v>16 (9-29)</v>
      </c>
      <c r="AC327" s="13" t="str">
        <f t="shared" ref="AC327:AC328" si="985">ROUND(U327, 0) &amp; " (" &amp; ROUND(V327, 0) &amp; "-" &amp; ROUND(W327, 0) &amp; ")"</f>
        <v>84 (47-150)</v>
      </c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hidden="1">
      <c r="A328" s="24" t="s">
        <v>27</v>
      </c>
      <c r="B328" s="16" t="s">
        <v>110</v>
      </c>
      <c r="C328" s="23">
        <v>2040.0</v>
      </c>
      <c r="D328" s="17">
        <f>278020+283127</f>
        <v>561147</v>
      </c>
      <c r="E328" s="10">
        <v>2.2250109E7</v>
      </c>
      <c r="F328" s="19">
        <v>5.0</v>
      </c>
      <c r="G328" s="10">
        <f t="shared" si="1"/>
        <v>1112.50545</v>
      </c>
      <c r="H328" s="19">
        <v>3.65</v>
      </c>
      <c r="I328" s="8">
        <f t="shared" si="2"/>
        <v>812.1289785</v>
      </c>
      <c r="J328" s="19">
        <v>6.78</v>
      </c>
      <c r="K328" s="11">
        <f t="shared" si="3"/>
        <v>1508.55739</v>
      </c>
      <c r="L328" s="11">
        <f t="shared" si="13"/>
        <v>198.2556175</v>
      </c>
      <c r="M328" s="11">
        <f t="shared" si="977"/>
        <v>4557.237399</v>
      </c>
      <c r="N328" s="11">
        <f t="shared" si="978"/>
        <v>8465.224538</v>
      </c>
      <c r="O328" s="19">
        <v>16.34</v>
      </c>
      <c r="P328" s="19"/>
      <c r="Q328" s="19">
        <v>9.1</v>
      </c>
      <c r="R328" s="19"/>
      <c r="S328" s="19">
        <v>29.18</v>
      </c>
      <c r="T328" s="14"/>
      <c r="U328" s="14">
        <f t="shared" si="979"/>
        <v>91.6914198</v>
      </c>
      <c r="V328" s="14">
        <f t="shared" si="980"/>
        <v>51.064377</v>
      </c>
      <c r="W328" s="14">
        <f t="shared" si="981"/>
        <v>163.7426946</v>
      </c>
      <c r="X328" s="13"/>
      <c r="Y328" s="13"/>
      <c r="Z328" s="13" t="str">
        <f t="shared" si="982"/>
        <v>5 (4-7)</v>
      </c>
      <c r="AA328" s="13" t="str">
        <f t="shared" si="983"/>
        <v>198 (4557-8465)</v>
      </c>
      <c r="AB328" s="13" t="str">
        <f t="shared" si="984"/>
        <v>16 (9-29)</v>
      </c>
      <c r="AC328" s="13" t="str">
        <f t="shared" si="985"/>
        <v>92 (51-164)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hidden="1">
      <c r="A329" s="24" t="s">
        <v>29</v>
      </c>
      <c r="B329" s="16" t="s">
        <v>110</v>
      </c>
      <c r="C329" s="23">
        <v>2050.0</v>
      </c>
      <c r="D329" s="17">
        <f>280594+285663</f>
        <v>566257</v>
      </c>
      <c r="E329" s="10">
        <v>2.5866385E7</v>
      </c>
      <c r="F329" s="19">
        <v>5.0</v>
      </c>
      <c r="G329" s="10">
        <f t="shared" si="1"/>
        <v>1293.31925</v>
      </c>
      <c r="H329" s="19">
        <v>3.65</v>
      </c>
      <c r="I329" s="8">
        <f t="shared" si="2"/>
        <v>944.1230525</v>
      </c>
      <c r="J329" s="19">
        <v>6.78</v>
      </c>
      <c r="K329" s="11">
        <f t="shared" si="3"/>
        <v>1753.740903</v>
      </c>
      <c r="L329" s="11">
        <f t="shared" si="13"/>
        <v>228.3979271</v>
      </c>
      <c r="M329" s="11">
        <f t="shared" si="977"/>
        <v>5346.162873</v>
      </c>
      <c r="N329" s="11">
        <f t="shared" si="978"/>
        <v>9930.680625</v>
      </c>
      <c r="O329" s="19">
        <v>16.34</v>
      </c>
      <c r="P329" s="8">
        <f t="shared" ref="P329:P330" si="986">(O329/100000)*E329</f>
        <v>4226.567309</v>
      </c>
      <c r="Q329" s="19">
        <v>9.1</v>
      </c>
      <c r="R329" s="8">
        <f t="shared" ref="R329:R330" si="987">(Q329/100000)*E329</f>
        <v>2353.841035</v>
      </c>
      <c r="S329" s="19">
        <v>29.18</v>
      </c>
      <c r="T329" s="11">
        <f t="shared" ref="T329:T330" si="988">(S329/100000)*E329</f>
        <v>7547.811143</v>
      </c>
      <c r="U329" s="14">
        <f t="shared" si="979"/>
        <v>92.5263938</v>
      </c>
      <c r="V329" s="14">
        <f t="shared" si="980"/>
        <v>51.529387</v>
      </c>
      <c r="W329" s="14">
        <f t="shared" si="981"/>
        <v>165.2337926</v>
      </c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>
      <c r="A330" s="24" t="s">
        <v>23</v>
      </c>
      <c r="B330" s="16" t="s">
        <v>111</v>
      </c>
      <c r="C330" s="20">
        <v>2021.0</v>
      </c>
      <c r="D330" s="17">
        <f>225531+218250.5</f>
        <v>443781.5</v>
      </c>
      <c r="E330" s="18">
        <v>1.3413417E7</v>
      </c>
      <c r="F330" s="19">
        <v>6.11</v>
      </c>
      <c r="G330" s="10">
        <f t="shared" si="1"/>
        <v>819.5597787</v>
      </c>
      <c r="H330" s="19">
        <v>4.27</v>
      </c>
      <c r="I330" s="8">
        <f t="shared" si="2"/>
        <v>572.7529059</v>
      </c>
      <c r="J330" s="19">
        <v>8.24</v>
      </c>
      <c r="K330" s="11">
        <f t="shared" si="3"/>
        <v>1105.265561</v>
      </c>
      <c r="L330" s="11">
        <f t="shared" si="13"/>
        <v>184.6764182</v>
      </c>
      <c r="M330" s="12">
        <f>(I330/D330)*100000</f>
        <v>129.0619158</v>
      </c>
      <c r="N330" s="11">
        <f>(K330/D330)*100000</f>
        <v>249.0562497</v>
      </c>
      <c r="O330" s="19">
        <v>9.82</v>
      </c>
      <c r="P330" s="8">
        <f t="shared" si="986"/>
        <v>1317.197549</v>
      </c>
      <c r="Q330" s="19">
        <v>3.54</v>
      </c>
      <c r="R330" s="8">
        <f t="shared" si="987"/>
        <v>474.8349618</v>
      </c>
      <c r="S330" s="19">
        <v>33.93</v>
      </c>
      <c r="T330" s="11">
        <f t="shared" si="988"/>
        <v>4551.172388</v>
      </c>
      <c r="U330" s="11">
        <f>(P330/D330)*100000</f>
        <v>296.8121811</v>
      </c>
      <c r="V330" s="11">
        <f>(R330/D330)*100000</f>
        <v>106.9974665</v>
      </c>
      <c r="W330" s="11">
        <f>(T330/D330)*100000</f>
        <v>1025.543514</v>
      </c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hidden="1">
      <c r="A331" s="24" t="s">
        <v>25</v>
      </c>
      <c r="B331" s="16" t="s">
        <v>111</v>
      </c>
      <c r="C331" s="23">
        <v>2030.0</v>
      </c>
      <c r="D331" s="17">
        <f>241702+250016</f>
        <v>491718</v>
      </c>
      <c r="E331" s="10">
        <v>1.6618822E7</v>
      </c>
      <c r="F331" s="19">
        <v>6.11</v>
      </c>
      <c r="G331" s="10">
        <f t="shared" si="1"/>
        <v>1015.410024</v>
      </c>
      <c r="H331" s="19">
        <v>4.27</v>
      </c>
      <c r="I331" s="8">
        <f t="shared" si="2"/>
        <v>709.6236994</v>
      </c>
      <c r="J331" s="19">
        <v>8.24</v>
      </c>
      <c r="K331" s="11">
        <f t="shared" si="3"/>
        <v>1369.390933</v>
      </c>
      <c r="L331" s="11">
        <f t="shared" si="13"/>
        <v>206.5025125</v>
      </c>
      <c r="M331" s="11">
        <f t="shared" ref="M331:M333" si="989">(I331*D331)/100000</f>
        <v>3489.347462</v>
      </c>
      <c r="N331" s="11">
        <f t="shared" ref="N331:N333" si="990">(K331*D331)/100000</f>
        <v>6733.541707</v>
      </c>
      <c r="O331" s="19">
        <v>9.82</v>
      </c>
      <c r="P331" s="19"/>
      <c r="Q331" s="19">
        <v>3.54</v>
      </c>
      <c r="R331" s="19"/>
      <c r="S331" s="19">
        <v>33.93</v>
      </c>
      <c r="T331" s="14"/>
      <c r="U331" s="14">
        <f t="shared" ref="U331:U333" si="991">(O331*D331)/100000</f>
        <v>48.2867076</v>
      </c>
      <c r="V331" s="14">
        <f t="shared" ref="V331:V333" si="992">(Q331*D331)/100000</f>
        <v>17.4068172</v>
      </c>
      <c r="W331" s="14">
        <f t="shared" ref="W331:W333" si="993">(S331*D331)/100000</f>
        <v>166.8399174</v>
      </c>
      <c r="X331" s="13"/>
      <c r="Y331" s="13"/>
      <c r="Z331" s="13" t="str">
        <f t="shared" ref="Z331:Z332" si="994">ROUND(F331, 0) &amp; " (" &amp; ROUND(H331, 0) &amp; "-" &amp; ROUND(J331, 0) &amp; ")"</f>
        <v>6 (4-8)</v>
      </c>
      <c r="AA331" s="13" t="str">
        <f t="shared" ref="AA331:AA332" si="995">ROUND(L331, 0) &amp; " (" &amp; ROUND(M331, 0) &amp; "-" &amp; ROUND(N331, 0) &amp; ")"</f>
        <v>207 (3489-6734)</v>
      </c>
      <c r="AB331" s="13" t="str">
        <f t="shared" ref="AB331:AB332" si="996">ROUND(O331, 0) &amp; " (" &amp; ROUND(Q331, 0) &amp; "-" &amp; ROUND(S331, 0) &amp; ")"</f>
        <v>10 (4-34)</v>
      </c>
      <c r="AC331" s="13" t="str">
        <f t="shared" ref="AC331:AC332" si="997">ROUND(U331, 0) &amp; " (" &amp; ROUND(V331, 0) &amp; "-" &amp; ROUND(W331, 0) &amp; ")"</f>
        <v>48 (17-167)</v>
      </c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hidden="1">
      <c r="A332" s="24" t="s">
        <v>27</v>
      </c>
      <c r="B332" s="16" t="s">
        <v>111</v>
      </c>
      <c r="C332" s="23">
        <v>2040.0</v>
      </c>
      <c r="D332" s="17">
        <f>269110+278287</f>
        <v>547397</v>
      </c>
      <c r="E332" s="10">
        <v>2.044576E7</v>
      </c>
      <c r="F332" s="19">
        <v>6.11</v>
      </c>
      <c r="G332" s="10">
        <f t="shared" si="1"/>
        <v>1249.235936</v>
      </c>
      <c r="H332" s="19">
        <v>4.27</v>
      </c>
      <c r="I332" s="8">
        <f t="shared" si="2"/>
        <v>873.033952</v>
      </c>
      <c r="J332" s="19">
        <v>8.24</v>
      </c>
      <c r="K332" s="11">
        <f t="shared" si="3"/>
        <v>1684.730624</v>
      </c>
      <c r="L332" s="11">
        <f t="shared" si="13"/>
        <v>228.2138806</v>
      </c>
      <c r="M332" s="11">
        <f t="shared" si="989"/>
        <v>4778.961662</v>
      </c>
      <c r="N332" s="11">
        <f t="shared" si="990"/>
        <v>9222.164894</v>
      </c>
      <c r="O332" s="19">
        <v>9.82</v>
      </c>
      <c r="P332" s="19"/>
      <c r="Q332" s="19">
        <v>3.54</v>
      </c>
      <c r="R332" s="19"/>
      <c r="S332" s="19">
        <v>33.93</v>
      </c>
      <c r="T332" s="14"/>
      <c r="U332" s="14">
        <f t="shared" si="991"/>
        <v>53.7543854</v>
      </c>
      <c r="V332" s="14">
        <f t="shared" si="992"/>
        <v>19.3778538</v>
      </c>
      <c r="W332" s="14">
        <f t="shared" si="993"/>
        <v>185.7318021</v>
      </c>
      <c r="X332" s="13"/>
      <c r="Y332" s="13"/>
      <c r="Z332" s="13" t="str">
        <f t="shared" si="994"/>
        <v>6 (4-8)</v>
      </c>
      <c r="AA332" s="13" t="str">
        <f t="shared" si="995"/>
        <v>228 (4779-9222)</v>
      </c>
      <c r="AB332" s="13" t="str">
        <f t="shared" si="996"/>
        <v>10 (4-34)</v>
      </c>
      <c r="AC332" s="13" t="str">
        <f t="shared" si="997"/>
        <v>54 (19-186)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hidden="1">
      <c r="A333" s="24" t="s">
        <v>29</v>
      </c>
      <c r="B333" s="16" t="s">
        <v>111</v>
      </c>
      <c r="C333" s="23">
        <v>2050.0</v>
      </c>
      <c r="D333" s="17">
        <f>285101+294654</f>
        <v>579755</v>
      </c>
      <c r="E333" s="10">
        <v>2.4433809E7</v>
      </c>
      <c r="F333" s="19">
        <v>6.11</v>
      </c>
      <c r="G333" s="10">
        <f t="shared" si="1"/>
        <v>1492.90573</v>
      </c>
      <c r="H333" s="19">
        <v>4.27</v>
      </c>
      <c r="I333" s="8">
        <f t="shared" si="2"/>
        <v>1043.323644</v>
      </c>
      <c r="J333" s="19">
        <v>8.24</v>
      </c>
      <c r="K333" s="11">
        <f t="shared" si="3"/>
        <v>2013.345862</v>
      </c>
      <c r="L333" s="11">
        <f t="shared" si="13"/>
        <v>257.5063139</v>
      </c>
      <c r="M333" s="11">
        <f t="shared" si="989"/>
        <v>6048.720994</v>
      </c>
      <c r="N333" s="11">
        <f t="shared" si="990"/>
        <v>11672.4733</v>
      </c>
      <c r="O333" s="19">
        <v>9.82</v>
      </c>
      <c r="P333" s="8">
        <f t="shared" ref="P333:P334" si="998">(O333/100000)*E333</f>
        <v>2399.400044</v>
      </c>
      <c r="Q333" s="19">
        <v>3.54</v>
      </c>
      <c r="R333" s="8">
        <f t="shared" ref="R333:R334" si="999">(Q333/100000)*E333</f>
        <v>864.9568386</v>
      </c>
      <c r="S333" s="19">
        <v>33.93</v>
      </c>
      <c r="T333" s="11">
        <f t="shared" ref="T333:T334" si="1000">(S333/100000)*E333</f>
        <v>8290.391394</v>
      </c>
      <c r="U333" s="14">
        <f t="shared" si="991"/>
        <v>56.931941</v>
      </c>
      <c r="V333" s="14">
        <f t="shared" si="992"/>
        <v>20.523327</v>
      </c>
      <c r="W333" s="14">
        <f t="shared" si="993"/>
        <v>196.7108715</v>
      </c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>
      <c r="A334" s="24" t="s">
        <v>23</v>
      </c>
      <c r="B334" s="16" t="s">
        <v>112</v>
      </c>
      <c r="C334" s="20">
        <v>2021.0</v>
      </c>
      <c r="D334" s="17">
        <f>344161+332468</f>
        <v>676629</v>
      </c>
      <c r="E334" s="18">
        <v>2.1995243E7</v>
      </c>
      <c r="F334" s="19">
        <v>6.88</v>
      </c>
      <c r="G334" s="10">
        <f t="shared" si="1"/>
        <v>1513.272718</v>
      </c>
      <c r="H334" s="19">
        <v>4.74</v>
      </c>
      <c r="I334" s="8">
        <f t="shared" si="2"/>
        <v>1042.574518</v>
      </c>
      <c r="J334" s="19">
        <v>9.15</v>
      </c>
      <c r="K334" s="11">
        <f t="shared" si="3"/>
        <v>2012.564735</v>
      </c>
      <c r="L334" s="11">
        <f t="shared" si="13"/>
        <v>223.6488117</v>
      </c>
      <c r="M334" s="12">
        <f>(I334/D334)*100000</f>
        <v>154.083629</v>
      </c>
      <c r="N334" s="11">
        <f>(K334/D334)*100000</f>
        <v>297.4399168</v>
      </c>
      <c r="O334" s="19">
        <v>25.48</v>
      </c>
      <c r="P334" s="8">
        <f t="shared" si="998"/>
        <v>5604.387916</v>
      </c>
      <c r="Q334" s="19">
        <v>3.86</v>
      </c>
      <c r="R334" s="8">
        <f t="shared" si="999"/>
        <v>849.0163798</v>
      </c>
      <c r="S334" s="19">
        <v>106.98</v>
      </c>
      <c r="T334" s="11">
        <f t="shared" si="1000"/>
        <v>23530.51096</v>
      </c>
      <c r="U334" s="11">
        <f>(P334/D334)*100000</f>
        <v>828.2807737</v>
      </c>
      <c r="V334" s="11">
        <f>(R334/D334)*100000</f>
        <v>125.4773857</v>
      </c>
      <c r="W334" s="11">
        <f>(T334/D334)*100000</f>
        <v>3477.608994</v>
      </c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hidden="1">
      <c r="A335" s="24" t="s">
        <v>25</v>
      </c>
      <c r="B335" s="16" t="s">
        <v>112</v>
      </c>
      <c r="C335" s="23">
        <v>2030.0</v>
      </c>
      <c r="D335" s="17">
        <f>362331+373701</f>
        <v>736032</v>
      </c>
      <c r="E335" s="10">
        <v>2.6730324E7</v>
      </c>
      <c r="F335" s="19">
        <v>6.88</v>
      </c>
      <c r="G335" s="10">
        <f t="shared" si="1"/>
        <v>1839.046291</v>
      </c>
      <c r="H335" s="19">
        <v>4.74</v>
      </c>
      <c r="I335" s="8">
        <f t="shared" si="2"/>
        <v>1267.017358</v>
      </c>
      <c r="J335" s="19">
        <v>9.15</v>
      </c>
      <c r="K335" s="11">
        <f t="shared" si="3"/>
        <v>2445.824646</v>
      </c>
      <c r="L335" s="11">
        <f t="shared" si="13"/>
        <v>249.8595565</v>
      </c>
      <c r="M335" s="11">
        <f t="shared" ref="M335:M337" si="1001">(I335*D335)/100000</f>
        <v>9325.653197</v>
      </c>
      <c r="N335" s="11">
        <f t="shared" ref="N335:N337" si="1002">(K335*D335)/100000</f>
        <v>18002.05206</v>
      </c>
      <c r="O335" s="19">
        <v>25.48</v>
      </c>
      <c r="P335" s="19"/>
      <c r="Q335" s="19">
        <v>3.86</v>
      </c>
      <c r="R335" s="19"/>
      <c r="S335" s="19">
        <v>106.98</v>
      </c>
      <c r="T335" s="14"/>
      <c r="U335" s="14">
        <f t="shared" ref="U335:U337" si="1003">(O335*D335)/100000</f>
        <v>187.5409536</v>
      </c>
      <c r="V335" s="14">
        <f t="shared" ref="V335:V337" si="1004">(Q335*D335)/100000</f>
        <v>28.4108352</v>
      </c>
      <c r="W335" s="14">
        <f t="shared" ref="W335:W337" si="1005">(S335*D335)/100000</f>
        <v>787.4070336</v>
      </c>
      <c r="X335" s="13"/>
      <c r="Y335" s="13"/>
      <c r="Z335" s="13" t="str">
        <f t="shared" ref="Z335:Z336" si="1006">ROUND(F335, 0) &amp; " (" &amp; ROUND(H335, 0) &amp; "-" &amp; ROUND(J335, 0) &amp; ")"</f>
        <v>7 (5-9)</v>
      </c>
      <c r="AA335" s="13" t="str">
        <f t="shared" ref="AA335:AA336" si="1007">ROUND(L335, 0) &amp; " (" &amp; ROUND(M335, 0) &amp; "-" &amp; ROUND(N335, 0) &amp; ")"</f>
        <v>250 (9326-18002)</v>
      </c>
      <c r="AB335" s="13" t="str">
        <f t="shared" ref="AB335:AB336" si="1008">ROUND(O335, 0) &amp; " (" &amp; ROUND(Q335, 0) &amp; "-" &amp; ROUND(S335, 0) &amp; ")"</f>
        <v>25 (4-107)</v>
      </c>
      <c r="AC335" s="13" t="str">
        <f t="shared" ref="AC335:AC336" si="1009">ROUND(U335, 0) &amp; " (" &amp; ROUND(V335, 0) &amp; "-" &amp; ROUND(W335, 0) &amp; ")"</f>
        <v>188 (28-787)</v>
      </c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hidden="1">
      <c r="A336" s="24" t="s">
        <v>27</v>
      </c>
      <c r="B336" s="16" t="s">
        <v>112</v>
      </c>
      <c r="C336" s="23">
        <v>2040.0</v>
      </c>
      <c r="D336" s="17">
        <f>384608+396318</f>
        <v>780926</v>
      </c>
      <c r="E336" s="10">
        <v>3.2193645E7</v>
      </c>
      <c r="F336" s="19">
        <v>6.88</v>
      </c>
      <c r="G336" s="10">
        <f t="shared" si="1"/>
        <v>2214.922776</v>
      </c>
      <c r="H336" s="19">
        <v>4.74</v>
      </c>
      <c r="I336" s="8">
        <f t="shared" si="2"/>
        <v>1525.978773</v>
      </c>
      <c r="J336" s="19">
        <v>9.15</v>
      </c>
      <c r="K336" s="11">
        <f t="shared" si="3"/>
        <v>2945.718518</v>
      </c>
      <c r="L336" s="11">
        <f t="shared" si="13"/>
        <v>283.6277414</v>
      </c>
      <c r="M336" s="11">
        <f t="shared" si="1001"/>
        <v>11916.76499</v>
      </c>
      <c r="N336" s="11">
        <f t="shared" si="1002"/>
        <v>23003.88179</v>
      </c>
      <c r="O336" s="19">
        <v>25.48</v>
      </c>
      <c r="P336" s="19"/>
      <c r="Q336" s="19">
        <v>3.86</v>
      </c>
      <c r="R336" s="19"/>
      <c r="S336" s="19">
        <v>106.98</v>
      </c>
      <c r="T336" s="14"/>
      <c r="U336" s="14">
        <f t="shared" si="1003"/>
        <v>198.9799448</v>
      </c>
      <c r="V336" s="14">
        <f t="shared" si="1004"/>
        <v>30.1437436</v>
      </c>
      <c r="W336" s="14">
        <f t="shared" si="1005"/>
        <v>835.4346348</v>
      </c>
      <c r="X336" s="13"/>
      <c r="Y336" s="13"/>
      <c r="Z336" s="13" t="str">
        <f t="shared" si="1006"/>
        <v>7 (5-9)</v>
      </c>
      <c r="AA336" s="13" t="str">
        <f t="shared" si="1007"/>
        <v>284 (11917-23004)</v>
      </c>
      <c r="AB336" s="13" t="str">
        <f t="shared" si="1008"/>
        <v>25 (4-107)</v>
      </c>
      <c r="AC336" s="13" t="str">
        <f t="shared" si="1009"/>
        <v>199 (30-835)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hidden="1">
      <c r="A337" s="24" t="s">
        <v>29</v>
      </c>
      <c r="B337" s="16" t="s">
        <v>112</v>
      </c>
      <c r="C337" s="23">
        <v>2050.0</v>
      </c>
      <c r="D337" s="17">
        <f>382398+393986</f>
        <v>776384</v>
      </c>
      <c r="E337" s="10">
        <v>3.7304383E7</v>
      </c>
      <c r="F337" s="19">
        <v>6.88</v>
      </c>
      <c r="G337" s="10">
        <f t="shared" si="1"/>
        <v>2566.54155</v>
      </c>
      <c r="H337" s="19">
        <v>4.74</v>
      </c>
      <c r="I337" s="8">
        <f t="shared" si="2"/>
        <v>1768.227754</v>
      </c>
      <c r="J337" s="19">
        <v>9.15</v>
      </c>
      <c r="K337" s="11">
        <f t="shared" si="3"/>
        <v>3413.351045</v>
      </c>
      <c r="L337" s="11">
        <f t="shared" si="13"/>
        <v>330.5763064</v>
      </c>
      <c r="M337" s="11">
        <f t="shared" si="1001"/>
        <v>13728.23737</v>
      </c>
      <c r="N337" s="11">
        <f t="shared" si="1002"/>
        <v>26500.71137</v>
      </c>
      <c r="O337" s="19">
        <v>25.48</v>
      </c>
      <c r="P337" s="8">
        <f t="shared" ref="P337:P338" si="1010">(O337/100000)*E337</f>
        <v>9505.156788</v>
      </c>
      <c r="Q337" s="19">
        <v>3.86</v>
      </c>
      <c r="R337" s="8">
        <f t="shared" ref="R337:R338" si="1011">(Q337/100000)*E337</f>
        <v>1439.949184</v>
      </c>
      <c r="S337" s="19">
        <v>106.98</v>
      </c>
      <c r="T337" s="11">
        <f t="shared" ref="T337:T338" si="1012">(S337/100000)*E337</f>
        <v>39908.22893</v>
      </c>
      <c r="U337" s="14">
        <f t="shared" si="1003"/>
        <v>197.8226432</v>
      </c>
      <c r="V337" s="14">
        <f t="shared" si="1004"/>
        <v>29.9684224</v>
      </c>
      <c r="W337" s="14">
        <f t="shared" si="1005"/>
        <v>830.5756032</v>
      </c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>
      <c r="A338" s="24" t="s">
        <v>23</v>
      </c>
      <c r="B338" s="16" t="s">
        <v>113</v>
      </c>
      <c r="C338" s="20">
        <v>2021.0</v>
      </c>
      <c r="D338" s="17">
        <f>3951.5+3746</f>
        <v>7697.5</v>
      </c>
      <c r="E338" s="18">
        <v>516649.0</v>
      </c>
      <c r="F338" s="19">
        <v>1.95</v>
      </c>
      <c r="G338" s="10">
        <f t="shared" si="1"/>
        <v>10.0746555</v>
      </c>
      <c r="H338" s="19">
        <v>1.36</v>
      </c>
      <c r="I338" s="8">
        <f t="shared" si="2"/>
        <v>7.0264264</v>
      </c>
      <c r="J338" s="19">
        <v>2.64</v>
      </c>
      <c r="K338" s="11">
        <f t="shared" si="3"/>
        <v>13.6395336</v>
      </c>
      <c r="L338" s="11">
        <f t="shared" si="13"/>
        <v>130.882176</v>
      </c>
      <c r="M338" s="12">
        <f>(I338/D338)*100000</f>
        <v>91.2819279</v>
      </c>
      <c r="N338" s="11">
        <f>(K338/D338)*100000</f>
        <v>177.1943306</v>
      </c>
      <c r="O338" s="19">
        <v>3.32</v>
      </c>
      <c r="P338" s="8">
        <f t="shared" si="1010"/>
        <v>17.1527468</v>
      </c>
      <c r="Q338" s="19">
        <v>1.94</v>
      </c>
      <c r="R338" s="8">
        <f t="shared" si="1011"/>
        <v>10.0229906</v>
      </c>
      <c r="S338" s="19">
        <v>5.4</v>
      </c>
      <c r="T338" s="11">
        <f t="shared" si="1012"/>
        <v>27.899046</v>
      </c>
      <c r="U338" s="11">
        <f>(P338/D338)*100000</f>
        <v>222.8352946</v>
      </c>
      <c r="V338" s="11">
        <f>(R338/D338)*100000</f>
        <v>130.2109854</v>
      </c>
      <c r="W338" s="11">
        <f>(T338/D338)*100000</f>
        <v>362.442949</v>
      </c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hidden="1">
      <c r="A339" s="24" t="s">
        <v>25</v>
      </c>
      <c r="B339" s="16" t="s">
        <v>113</v>
      </c>
      <c r="C339" s="23">
        <v>2030.0</v>
      </c>
      <c r="D339" s="17">
        <f>3039+3136</f>
        <v>6175</v>
      </c>
      <c r="E339" s="10">
        <v>538614.0</v>
      </c>
      <c r="F339" s="19">
        <v>1.95</v>
      </c>
      <c r="G339" s="10">
        <f t="shared" si="1"/>
        <v>10.502973</v>
      </c>
      <c r="H339" s="19">
        <v>1.36</v>
      </c>
      <c r="I339" s="8">
        <f t="shared" si="2"/>
        <v>7.3251504</v>
      </c>
      <c r="J339" s="19">
        <v>2.64</v>
      </c>
      <c r="K339" s="11">
        <f t="shared" si="3"/>
        <v>14.2194096</v>
      </c>
      <c r="L339" s="11">
        <f t="shared" si="13"/>
        <v>170.0886316</v>
      </c>
      <c r="M339" s="11">
        <f t="shared" ref="M339:M341" si="1013">(I339*D339)/100000</f>
        <v>0.4523280372</v>
      </c>
      <c r="N339" s="11">
        <f t="shared" ref="N339:N341" si="1014">(K339*D339)/100000</f>
        <v>0.8780485428</v>
      </c>
      <c r="O339" s="19">
        <v>3.32</v>
      </c>
      <c r="P339" s="19"/>
      <c r="Q339" s="19">
        <v>1.94</v>
      </c>
      <c r="R339" s="19"/>
      <c r="S339" s="19">
        <v>5.4</v>
      </c>
      <c r="T339" s="14"/>
      <c r="U339" s="14">
        <f t="shared" ref="U339:U341" si="1015">(O339*D339)/100000</f>
        <v>0.20501</v>
      </c>
      <c r="V339" s="14">
        <f t="shared" ref="V339:V341" si="1016">(Q339*D339)/100000</f>
        <v>0.119795</v>
      </c>
      <c r="W339" s="14">
        <f t="shared" ref="W339:W341" si="1017">(S339*D339)/100000</f>
        <v>0.33345</v>
      </c>
      <c r="X339" s="13"/>
      <c r="Y339" s="13"/>
      <c r="Z339" s="13" t="str">
        <f t="shared" ref="Z339:Z340" si="1018">ROUND(F339, 0) &amp; " (" &amp; ROUND(H339, 0) &amp; "-" &amp; ROUND(J339, 0) &amp; ")"</f>
        <v>2 (1-3)</v>
      </c>
      <c r="AA339" s="13" t="str">
        <f t="shared" ref="AA339:AA340" si="1019">ROUND(L339, 0) &amp; " (" &amp; ROUND(M339, 0) &amp; "-" &amp; ROUND(N339, 0) &amp; ")"</f>
        <v>170 (0-1)</v>
      </c>
      <c r="AB339" s="13" t="str">
        <f t="shared" ref="AB339:AB340" si="1020">ROUND(O339, 0) &amp; " (" &amp; ROUND(Q339, 0) &amp; "-" &amp; ROUND(S339, 0) &amp; ")"</f>
        <v>3 (2-5)</v>
      </c>
      <c r="AC339" s="13" t="str">
        <f t="shared" ref="AC339:AC340" si="1021">ROUND(U339, 0) &amp; " (" &amp; ROUND(V339, 0) &amp; "-" &amp; ROUND(W339, 0) &amp; ")"</f>
        <v>0 (0-0)</v>
      </c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hidden="1">
      <c r="A340" s="24" t="s">
        <v>27</v>
      </c>
      <c r="B340" s="16" t="s">
        <v>113</v>
      </c>
      <c r="C340" s="23">
        <v>2040.0</v>
      </c>
      <c r="D340" s="17">
        <f>3036+3135</f>
        <v>6171</v>
      </c>
      <c r="E340" s="10">
        <v>557374.0</v>
      </c>
      <c r="F340" s="19">
        <v>1.95</v>
      </c>
      <c r="G340" s="10">
        <f t="shared" si="1"/>
        <v>10.868793</v>
      </c>
      <c r="H340" s="19">
        <v>1.36</v>
      </c>
      <c r="I340" s="8">
        <f t="shared" si="2"/>
        <v>7.5802864</v>
      </c>
      <c r="J340" s="19">
        <v>2.64</v>
      </c>
      <c r="K340" s="11">
        <f t="shared" si="3"/>
        <v>14.7146736</v>
      </c>
      <c r="L340" s="11">
        <f t="shared" si="13"/>
        <v>176.1269324</v>
      </c>
      <c r="M340" s="11">
        <f t="shared" si="1013"/>
        <v>0.4677794737</v>
      </c>
      <c r="N340" s="11">
        <f t="shared" si="1014"/>
        <v>0.9080425079</v>
      </c>
      <c r="O340" s="19">
        <v>3.32</v>
      </c>
      <c r="P340" s="19"/>
      <c r="Q340" s="19">
        <v>1.94</v>
      </c>
      <c r="R340" s="19"/>
      <c r="S340" s="19">
        <v>5.4</v>
      </c>
      <c r="T340" s="14"/>
      <c r="U340" s="14">
        <f t="shared" si="1015"/>
        <v>0.2048772</v>
      </c>
      <c r="V340" s="14">
        <f t="shared" si="1016"/>
        <v>0.1197174</v>
      </c>
      <c r="W340" s="14">
        <f t="shared" si="1017"/>
        <v>0.333234</v>
      </c>
      <c r="X340" s="13"/>
      <c r="Y340" s="13"/>
      <c r="Z340" s="13" t="str">
        <f t="shared" si="1018"/>
        <v>2 (1-3)</v>
      </c>
      <c r="AA340" s="13" t="str">
        <f t="shared" si="1019"/>
        <v>176 (0-1)</v>
      </c>
      <c r="AB340" s="13" t="str">
        <f t="shared" si="1020"/>
        <v>3 (2-5)</v>
      </c>
      <c r="AC340" s="13" t="str">
        <f t="shared" si="1021"/>
        <v>0 (0-0)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hidden="1">
      <c r="A341" s="24" t="s">
        <v>29</v>
      </c>
      <c r="B341" s="16" t="s">
        <v>113</v>
      </c>
      <c r="C341" s="23">
        <v>2050.0</v>
      </c>
      <c r="D341" s="17">
        <f>2741+2831</f>
        <v>5572</v>
      </c>
      <c r="E341" s="10">
        <v>566134.0</v>
      </c>
      <c r="F341" s="19">
        <v>1.95</v>
      </c>
      <c r="G341" s="10">
        <f t="shared" si="1"/>
        <v>11.039613</v>
      </c>
      <c r="H341" s="19">
        <v>1.36</v>
      </c>
      <c r="I341" s="8">
        <f t="shared" si="2"/>
        <v>7.6994224</v>
      </c>
      <c r="J341" s="19">
        <v>2.64</v>
      </c>
      <c r="K341" s="11">
        <f t="shared" si="3"/>
        <v>14.9459376</v>
      </c>
      <c r="L341" s="11">
        <f t="shared" si="13"/>
        <v>198.1265793</v>
      </c>
      <c r="M341" s="11">
        <f t="shared" si="1013"/>
        <v>0.4290118161</v>
      </c>
      <c r="N341" s="11">
        <f t="shared" si="1014"/>
        <v>0.8327876431</v>
      </c>
      <c r="O341" s="19">
        <v>3.32</v>
      </c>
      <c r="P341" s="8">
        <f t="shared" ref="P341:P342" si="1022">(O341/100000)*E341</f>
        <v>18.7956488</v>
      </c>
      <c r="Q341" s="19">
        <v>1.94</v>
      </c>
      <c r="R341" s="8">
        <f t="shared" ref="R341:R342" si="1023">(Q341/100000)*E341</f>
        <v>10.9829996</v>
      </c>
      <c r="S341" s="19">
        <v>5.4</v>
      </c>
      <c r="T341" s="11">
        <f t="shared" ref="T341:T342" si="1024">(S341/100000)*E341</f>
        <v>30.571236</v>
      </c>
      <c r="U341" s="14">
        <f t="shared" si="1015"/>
        <v>0.1849904</v>
      </c>
      <c r="V341" s="14">
        <f t="shared" si="1016"/>
        <v>0.1080968</v>
      </c>
      <c r="W341" s="14">
        <f t="shared" si="1017"/>
        <v>0.300888</v>
      </c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>
      <c r="A342" s="24" t="s">
        <v>23</v>
      </c>
      <c r="B342" s="16" t="s">
        <v>114</v>
      </c>
      <c r="C342" s="20">
        <v>2021.0</v>
      </c>
      <c r="D342" s="17">
        <f>452498.5+442897.5</f>
        <v>895396</v>
      </c>
      <c r="E342" s="18">
        <v>2.6915758E7</v>
      </c>
      <c r="F342" s="19">
        <v>3.89</v>
      </c>
      <c r="G342" s="10">
        <f t="shared" si="1"/>
        <v>1047.022986</v>
      </c>
      <c r="H342" s="19">
        <v>2.71</v>
      </c>
      <c r="I342" s="8">
        <f t="shared" si="2"/>
        <v>729.4170418</v>
      </c>
      <c r="J342" s="19">
        <v>5.41</v>
      </c>
      <c r="K342" s="11">
        <f t="shared" si="3"/>
        <v>1456.142508</v>
      </c>
      <c r="L342" s="11">
        <f t="shared" si="13"/>
        <v>116.9340701</v>
      </c>
      <c r="M342" s="12">
        <f>(I342/D342)*100000</f>
        <v>81.46306682</v>
      </c>
      <c r="N342" s="11">
        <f>(K342/D342)*100000</f>
        <v>162.6255319</v>
      </c>
      <c r="O342" s="19">
        <v>5.89</v>
      </c>
      <c r="P342" s="8">
        <f t="shared" si="1022"/>
        <v>1585.338146</v>
      </c>
      <c r="Q342" s="19">
        <v>2.83</v>
      </c>
      <c r="R342" s="8">
        <f t="shared" si="1023"/>
        <v>761.7159514</v>
      </c>
      <c r="S342" s="19">
        <v>13.7</v>
      </c>
      <c r="T342" s="11">
        <f t="shared" si="1024"/>
        <v>3687.458846</v>
      </c>
      <c r="U342" s="11">
        <f>(P342/D342)*100000</f>
        <v>177.0544146</v>
      </c>
      <c r="V342" s="11">
        <f>(R342/D342)*100000</f>
        <v>85.07028749</v>
      </c>
      <c r="W342" s="11">
        <f>(T342/D342)*100000</f>
        <v>411.8243599</v>
      </c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hidden="1">
      <c r="A343" s="24" t="s">
        <v>25</v>
      </c>
      <c r="B343" s="16" t="s">
        <v>114</v>
      </c>
      <c r="C343" s="23">
        <v>2030.0</v>
      </c>
      <c r="D343" s="17">
        <f>494252+504278</f>
        <v>998530</v>
      </c>
      <c r="E343" s="18">
        <v>3.377719E7</v>
      </c>
      <c r="F343" s="19">
        <v>3.89</v>
      </c>
      <c r="G343" s="10">
        <f t="shared" si="1"/>
        <v>1313.932691</v>
      </c>
      <c r="H343" s="19">
        <v>2.71</v>
      </c>
      <c r="I343" s="8">
        <f t="shared" si="2"/>
        <v>915.361849</v>
      </c>
      <c r="J343" s="19">
        <v>5.41</v>
      </c>
      <c r="K343" s="11">
        <f t="shared" si="3"/>
        <v>1827.345979</v>
      </c>
      <c r="L343" s="11">
        <f t="shared" si="13"/>
        <v>131.5867016</v>
      </c>
      <c r="M343" s="11">
        <f t="shared" ref="M343:M345" si="1025">(I343*D343)/100000</f>
        <v>9140.162671</v>
      </c>
      <c r="N343" s="11">
        <f t="shared" ref="N343:N345" si="1026">(K343*D343)/100000</f>
        <v>18246.5978</v>
      </c>
      <c r="O343" s="19">
        <v>5.89</v>
      </c>
      <c r="P343" s="19"/>
      <c r="Q343" s="19">
        <v>2.83</v>
      </c>
      <c r="R343" s="19"/>
      <c r="S343" s="19">
        <v>13.7</v>
      </c>
      <c r="T343" s="14"/>
      <c r="U343" s="14">
        <f t="shared" ref="U343:U345" si="1027">(O343*D343)/100000</f>
        <v>58.813417</v>
      </c>
      <c r="V343" s="14">
        <f t="shared" ref="V343:V345" si="1028">(Q343*D343)/100000</f>
        <v>28.258399</v>
      </c>
      <c r="W343" s="14">
        <f t="shared" ref="W343:W345" si="1029">(S343*D343)/100000</f>
        <v>136.79861</v>
      </c>
      <c r="X343" s="13"/>
      <c r="Y343" s="13"/>
      <c r="Z343" s="13" t="str">
        <f t="shared" ref="Z343:Z344" si="1030">ROUND(F343, 0) &amp; " (" &amp; ROUND(H343, 0) &amp; "-" &amp; ROUND(J343, 0) &amp; ")"</f>
        <v>4 (3-5)</v>
      </c>
      <c r="AA343" s="13" t="str">
        <f t="shared" ref="AA343:AA344" si="1031">ROUND(L343, 0) &amp; " (" &amp; ROUND(M343, 0) &amp; "-" &amp; ROUND(N343, 0) &amp; ")"</f>
        <v>132 (9140-18247)</v>
      </c>
      <c r="AB343" s="13" t="str">
        <f t="shared" ref="AB343:AB344" si="1032">ROUND(O343, 0) &amp; " (" &amp; ROUND(Q343, 0) &amp; "-" &amp; ROUND(S343, 0) &amp; ")"</f>
        <v>6 (3-14)</v>
      </c>
      <c r="AC343" s="13" t="str">
        <f t="shared" ref="AC343:AC344" si="1033">ROUND(U343, 0) &amp; " (" &amp; ROUND(V343, 0) &amp; "-" &amp; ROUND(W343, 0) &amp; ")"</f>
        <v>59 (28-137)</v>
      </c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hidden="1">
      <c r="A344" s="24" t="s">
        <v>27</v>
      </c>
      <c r="B344" s="16" t="s">
        <v>114</v>
      </c>
      <c r="C344" s="23">
        <v>2040.0</v>
      </c>
      <c r="D344" s="17">
        <f>553423+564188</f>
        <v>1117611</v>
      </c>
      <c r="E344" s="18">
        <v>4.2208003E7</v>
      </c>
      <c r="F344" s="19">
        <v>3.89</v>
      </c>
      <c r="G344" s="10">
        <f t="shared" si="1"/>
        <v>1641.891317</v>
      </c>
      <c r="H344" s="19">
        <v>2.71</v>
      </c>
      <c r="I344" s="8">
        <f t="shared" si="2"/>
        <v>1143.836881</v>
      </c>
      <c r="J344" s="19">
        <v>5.41</v>
      </c>
      <c r="K344" s="11">
        <f t="shared" si="3"/>
        <v>2283.452962</v>
      </c>
      <c r="L344" s="11">
        <f t="shared" si="13"/>
        <v>146.910805</v>
      </c>
      <c r="M344" s="11">
        <f t="shared" si="1025"/>
        <v>12783.64681</v>
      </c>
      <c r="N344" s="11">
        <f t="shared" si="1026"/>
        <v>25520.12149</v>
      </c>
      <c r="O344" s="19">
        <v>5.89</v>
      </c>
      <c r="P344" s="19"/>
      <c r="Q344" s="19">
        <v>2.83</v>
      </c>
      <c r="R344" s="19"/>
      <c r="S344" s="19">
        <v>13.7</v>
      </c>
      <c r="T344" s="14"/>
      <c r="U344" s="14">
        <f t="shared" si="1027"/>
        <v>65.8272879</v>
      </c>
      <c r="V344" s="14">
        <f t="shared" si="1028"/>
        <v>31.6283913</v>
      </c>
      <c r="W344" s="14">
        <f t="shared" si="1029"/>
        <v>153.112707</v>
      </c>
      <c r="X344" s="13"/>
      <c r="Y344" s="13"/>
      <c r="Z344" s="13" t="str">
        <f t="shared" si="1030"/>
        <v>4 (3-5)</v>
      </c>
      <c r="AA344" s="13" t="str">
        <f t="shared" si="1031"/>
        <v>147 (12784-25520)</v>
      </c>
      <c r="AB344" s="13" t="str">
        <f t="shared" si="1032"/>
        <v>6 (3-14)</v>
      </c>
      <c r="AC344" s="13" t="str">
        <f t="shared" si="1033"/>
        <v>66 (32-153)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hidden="1">
      <c r="A345" s="24" t="s">
        <v>29</v>
      </c>
      <c r="B345" s="16" t="s">
        <v>114</v>
      </c>
      <c r="C345" s="23">
        <v>2050.0</v>
      </c>
      <c r="D345" s="17">
        <f>595513+604947</f>
        <v>1200460</v>
      </c>
      <c r="E345" s="18">
        <v>5.1096317E7</v>
      </c>
      <c r="F345" s="19">
        <v>3.89</v>
      </c>
      <c r="G345" s="10">
        <f t="shared" si="1"/>
        <v>1987.646731</v>
      </c>
      <c r="H345" s="19">
        <v>2.71</v>
      </c>
      <c r="I345" s="8">
        <f t="shared" si="2"/>
        <v>1384.710191</v>
      </c>
      <c r="J345" s="19">
        <v>5.41</v>
      </c>
      <c r="K345" s="11">
        <f t="shared" si="3"/>
        <v>2764.31075</v>
      </c>
      <c r="L345" s="11">
        <f t="shared" si="13"/>
        <v>165.5737577</v>
      </c>
      <c r="M345" s="11">
        <f t="shared" si="1025"/>
        <v>16622.89196</v>
      </c>
      <c r="N345" s="11">
        <f t="shared" si="1026"/>
        <v>33184.44483</v>
      </c>
      <c r="O345" s="19">
        <v>5.89</v>
      </c>
      <c r="P345" s="8">
        <f t="shared" ref="P345:P346" si="1034">(O345/100000)*E345</f>
        <v>3009.573071</v>
      </c>
      <c r="Q345" s="19">
        <v>2.83</v>
      </c>
      <c r="R345" s="8">
        <f t="shared" ref="R345:R346" si="1035">(Q345/100000)*E345</f>
        <v>1446.025771</v>
      </c>
      <c r="S345" s="19">
        <v>13.7</v>
      </c>
      <c r="T345" s="11">
        <f t="shared" ref="T345:T346" si="1036">(S345/100000)*E345</f>
        <v>7000.195429</v>
      </c>
      <c r="U345" s="14">
        <f t="shared" si="1027"/>
        <v>70.707094</v>
      </c>
      <c r="V345" s="14">
        <f t="shared" si="1028"/>
        <v>33.973018</v>
      </c>
      <c r="W345" s="14">
        <f t="shared" si="1029"/>
        <v>164.46302</v>
      </c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>
      <c r="A346" s="24" t="s">
        <v>23</v>
      </c>
      <c r="B346" s="16" t="s">
        <v>115</v>
      </c>
      <c r="C346" s="20">
        <v>2021.0</v>
      </c>
      <c r="D346" s="17">
        <f>367994+355954</f>
        <v>723948</v>
      </c>
      <c r="E346" s="18">
        <v>1.7828273E7</v>
      </c>
      <c r="F346" s="19">
        <v>7.74</v>
      </c>
      <c r="G346" s="10">
        <f t="shared" si="1"/>
        <v>1379.90833</v>
      </c>
      <c r="H346" s="19">
        <v>5.4</v>
      </c>
      <c r="I346" s="8">
        <f t="shared" si="2"/>
        <v>962.726742</v>
      </c>
      <c r="J346" s="19">
        <v>10.38</v>
      </c>
      <c r="K346" s="11">
        <f t="shared" si="3"/>
        <v>1850.574737</v>
      </c>
      <c r="L346" s="11">
        <f t="shared" si="13"/>
        <v>190.6087634</v>
      </c>
      <c r="M346" s="12">
        <f>(I346/D346)*100000</f>
        <v>132.9828582</v>
      </c>
      <c r="N346" s="11">
        <f>(K346/D346)*100000</f>
        <v>255.6226051</v>
      </c>
      <c r="O346" s="19">
        <v>24.93</v>
      </c>
      <c r="P346" s="8">
        <f t="shared" si="1034"/>
        <v>4444.588459</v>
      </c>
      <c r="Q346" s="19">
        <v>4.33</v>
      </c>
      <c r="R346" s="8">
        <f t="shared" si="1035"/>
        <v>771.9642209</v>
      </c>
      <c r="S346" s="19">
        <v>93.93</v>
      </c>
      <c r="T346" s="11">
        <f t="shared" si="1036"/>
        <v>16746.09683</v>
      </c>
      <c r="U346" s="11">
        <f>(P346/D346)*100000</f>
        <v>613.9375285</v>
      </c>
      <c r="V346" s="11">
        <f>(R346/D346)*100000</f>
        <v>106.6325511</v>
      </c>
      <c r="W346" s="11">
        <f>(T346/D346)*100000</f>
        <v>2313.162938</v>
      </c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hidden="1">
      <c r="A347" s="24" t="s">
        <v>25</v>
      </c>
      <c r="B347" s="16" t="s">
        <v>115</v>
      </c>
      <c r="C347" s="23">
        <v>2030.0</v>
      </c>
      <c r="D347" s="17">
        <f>441022+455514</f>
        <v>896536</v>
      </c>
      <c r="E347" s="10">
        <v>2.4207479E7</v>
      </c>
      <c r="F347" s="19">
        <v>7.74</v>
      </c>
      <c r="G347" s="10">
        <f t="shared" si="1"/>
        <v>1873.658875</v>
      </c>
      <c r="H347" s="19">
        <v>5.4</v>
      </c>
      <c r="I347" s="8">
        <f t="shared" si="2"/>
        <v>1307.203866</v>
      </c>
      <c r="J347" s="19">
        <v>10.38</v>
      </c>
      <c r="K347" s="11">
        <f t="shared" si="3"/>
        <v>2512.73632</v>
      </c>
      <c r="L347" s="11">
        <f t="shared" si="13"/>
        <v>208.9886937</v>
      </c>
      <c r="M347" s="11">
        <f t="shared" ref="M347:M349" si="1037">(I347*D347)/100000</f>
        <v>11719.55325</v>
      </c>
      <c r="N347" s="11">
        <f t="shared" ref="N347:N349" si="1038">(K347*D347)/100000</f>
        <v>22527.5857</v>
      </c>
      <c r="O347" s="19">
        <v>24.93</v>
      </c>
      <c r="P347" s="19"/>
      <c r="Q347" s="19">
        <v>4.33</v>
      </c>
      <c r="R347" s="19"/>
      <c r="S347" s="19">
        <v>93.93</v>
      </c>
      <c r="T347" s="14"/>
      <c r="U347" s="14">
        <f t="shared" ref="U347:U349" si="1039">(O347*D347)/100000</f>
        <v>223.5064248</v>
      </c>
      <c r="V347" s="14">
        <f t="shared" ref="V347:V349" si="1040">(Q347*D347)/100000</f>
        <v>38.8200088</v>
      </c>
      <c r="W347" s="14">
        <f t="shared" ref="W347:W349" si="1041">(S347*D347)/100000</f>
        <v>842.1162648</v>
      </c>
      <c r="X347" s="13"/>
      <c r="Y347" s="13"/>
      <c r="Z347" s="13" t="str">
        <f t="shared" ref="Z347:Z348" si="1042">ROUND(F347, 0) &amp; " (" &amp; ROUND(H347, 0) &amp; "-" &amp; ROUND(J347, 0) &amp; ")"</f>
        <v>8 (5-10)</v>
      </c>
      <c r="AA347" s="13" t="str">
        <f t="shared" ref="AA347:AA348" si="1043">ROUND(L347, 0) &amp; " (" &amp; ROUND(M347, 0) &amp; "-" &amp; ROUND(N347, 0) &amp; ")"</f>
        <v>209 (11720-22528)</v>
      </c>
      <c r="AB347" s="13" t="str">
        <f t="shared" ref="AB347:AB348" si="1044">ROUND(O347, 0) &amp; " (" &amp; ROUND(Q347, 0) &amp; "-" &amp; ROUND(S347, 0) &amp; ")"</f>
        <v>25 (4-94)</v>
      </c>
      <c r="AC347" s="13" t="str">
        <f t="shared" ref="AC347:AC348" si="1045">ROUND(U347, 0) &amp; " (" &amp; ROUND(V347, 0) &amp; "-" &amp; ROUND(W347, 0) &amp; ")"</f>
        <v>224 (39-842)</v>
      </c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hidden="1">
      <c r="A348" s="24" t="s">
        <v>27</v>
      </c>
      <c r="B348" s="16" t="s">
        <v>115</v>
      </c>
      <c r="C348" s="23">
        <v>2040.0</v>
      </c>
      <c r="D348" s="17">
        <f>489296+505089</f>
        <v>994385</v>
      </c>
      <c r="E348" s="10">
        <v>3.1307342E7</v>
      </c>
      <c r="F348" s="19">
        <v>7.74</v>
      </c>
      <c r="G348" s="10">
        <f t="shared" si="1"/>
        <v>2423.188271</v>
      </c>
      <c r="H348" s="19">
        <v>5.4</v>
      </c>
      <c r="I348" s="8">
        <f t="shared" si="2"/>
        <v>1690.596468</v>
      </c>
      <c r="J348" s="19">
        <v>10.38</v>
      </c>
      <c r="K348" s="11">
        <f t="shared" si="3"/>
        <v>3249.7021</v>
      </c>
      <c r="L348" s="11">
        <f t="shared" si="13"/>
        <v>243.6871303</v>
      </c>
      <c r="M348" s="11">
        <f t="shared" si="1037"/>
        <v>16811.03769</v>
      </c>
      <c r="N348" s="11">
        <f t="shared" si="1038"/>
        <v>32314.55022</v>
      </c>
      <c r="O348" s="19">
        <v>24.93</v>
      </c>
      <c r="P348" s="19"/>
      <c r="Q348" s="19">
        <v>4.33</v>
      </c>
      <c r="R348" s="19"/>
      <c r="S348" s="19">
        <v>93.93</v>
      </c>
      <c r="T348" s="14"/>
      <c r="U348" s="14">
        <f t="shared" si="1039"/>
        <v>247.9001805</v>
      </c>
      <c r="V348" s="14">
        <f t="shared" si="1040"/>
        <v>43.0568705</v>
      </c>
      <c r="W348" s="14">
        <f t="shared" si="1041"/>
        <v>934.0258305</v>
      </c>
      <c r="X348" s="13"/>
      <c r="Y348" s="13"/>
      <c r="Z348" s="13" t="str">
        <f t="shared" si="1042"/>
        <v>8 (5-10)</v>
      </c>
      <c r="AA348" s="13" t="str">
        <f t="shared" si="1043"/>
        <v>244 (16811-32315)</v>
      </c>
      <c r="AB348" s="13" t="str">
        <f t="shared" si="1044"/>
        <v>25 (4-94)</v>
      </c>
      <c r="AC348" s="13" t="str">
        <f t="shared" si="1045"/>
        <v>248 (43-934)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hidden="1">
      <c r="A349" s="24" t="s">
        <v>29</v>
      </c>
      <c r="B349" s="16" t="s">
        <v>115</v>
      </c>
      <c r="C349" s="23">
        <v>2050.0</v>
      </c>
      <c r="D349" s="17">
        <f>542748+560005</f>
        <v>1102753</v>
      </c>
      <c r="E349" s="10">
        <v>3.8857686E7</v>
      </c>
      <c r="F349" s="19">
        <v>7.74</v>
      </c>
      <c r="G349" s="10">
        <f t="shared" si="1"/>
        <v>3007.584896</v>
      </c>
      <c r="H349" s="19">
        <v>5.4</v>
      </c>
      <c r="I349" s="8">
        <f t="shared" si="2"/>
        <v>2098.315044</v>
      </c>
      <c r="J349" s="19">
        <v>10.38</v>
      </c>
      <c r="K349" s="11">
        <f t="shared" si="3"/>
        <v>4033.427807</v>
      </c>
      <c r="L349" s="11">
        <f t="shared" si="13"/>
        <v>272.7342294</v>
      </c>
      <c r="M349" s="11">
        <f t="shared" si="1037"/>
        <v>23139.2321</v>
      </c>
      <c r="N349" s="11">
        <f t="shared" si="1038"/>
        <v>44478.74614</v>
      </c>
      <c r="O349" s="19">
        <v>24.93</v>
      </c>
      <c r="P349" s="8">
        <f t="shared" ref="P349:P350" si="1046">(O349/100000)*E349</f>
        <v>9687.22112</v>
      </c>
      <c r="Q349" s="19">
        <v>4.33</v>
      </c>
      <c r="R349" s="8">
        <f t="shared" ref="R349:R350" si="1047">(Q349/100000)*E349</f>
        <v>1682.537804</v>
      </c>
      <c r="S349" s="19">
        <v>93.93</v>
      </c>
      <c r="T349" s="11">
        <f t="shared" ref="T349:T350" si="1048">(S349/100000)*E349</f>
        <v>36499.02446</v>
      </c>
      <c r="U349" s="14">
        <f t="shared" si="1039"/>
        <v>274.9163229</v>
      </c>
      <c r="V349" s="14">
        <f t="shared" si="1040"/>
        <v>47.7492049</v>
      </c>
      <c r="W349" s="14">
        <f t="shared" si="1041"/>
        <v>1035.815893</v>
      </c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>
      <c r="A350" s="24" t="s">
        <v>23</v>
      </c>
      <c r="B350" s="16" t="s">
        <v>116</v>
      </c>
      <c r="C350" s="20">
        <v>2021.0</v>
      </c>
      <c r="D350" s="17">
        <f>472227.5+463348.5</f>
        <v>935576</v>
      </c>
      <c r="E350" s="18">
        <v>2.9639736E7</v>
      </c>
      <c r="F350" s="19">
        <v>4.48</v>
      </c>
      <c r="G350" s="10">
        <f t="shared" si="1"/>
        <v>1327.860173</v>
      </c>
      <c r="H350" s="19">
        <v>3.05</v>
      </c>
      <c r="I350" s="8">
        <f t="shared" si="2"/>
        <v>904.011948</v>
      </c>
      <c r="J350" s="19">
        <v>6.16</v>
      </c>
      <c r="K350" s="11">
        <f t="shared" si="3"/>
        <v>1825.807738</v>
      </c>
      <c r="L350" s="11">
        <f t="shared" si="13"/>
        <v>141.929696</v>
      </c>
      <c r="M350" s="12">
        <f>(I350/D350)*100000</f>
        <v>96.62624394</v>
      </c>
      <c r="N350" s="11">
        <f>(K350/D350)*100000</f>
        <v>195.153332</v>
      </c>
      <c r="O350" s="19">
        <v>8.91</v>
      </c>
      <c r="P350" s="8">
        <f t="shared" si="1046"/>
        <v>2640.900478</v>
      </c>
      <c r="Q350" s="19">
        <v>3.9</v>
      </c>
      <c r="R350" s="8">
        <f t="shared" si="1047"/>
        <v>1155.949704</v>
      </c>
      <c r="S350" s="19">
        <v>24.49</v>
      </c>
      <c r="T350" s="11">
        <f t="shared" si="1048"/>
        <v>7258.771346</v>
      </c>
      <c r="U350" s="11">
        <f>(P350/D350)*100000</f>
        <v>282.2753552</v>
      </c>
      <c r="V350" s="11">
        <f>(R350/D350)*100000</f>
        <v>123.5548693</v>
      </c>
      <c r="W350" s="11">
        <f>(T350/D350)*100000</f>
        <v>775.8612177</v>
      </c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hidden="1">
      <c r="A351" s="24" t="s">
        <v>25</v>
      </c>
      <c r="B351" s="16" t="s">
        <v>116</v>
      </c>
      <c r="C351" s="23">
        <v>2030.0</v>
      </c>
      <c r="D351" s="17">
        <f>514543+524603</f>
        <v>1039146</v>
      </c>
      <c r="E351" s="10">
        <v>3.6699009E7</v>
      </c>
      <c r="F351" s="19">
        <v>4.48</v>
      </c>
      <c r="G351" s="10">
        <f t="shared" si="1"/>
        <v>1644.115603</v>
      </c>
      <c r="H351" s="19">
        <v>3.05</v>
      </c>
      <c r="I351" s="8">
        <f t="shared" si="2"/>
        <v>1119.319775</v>
      </c>
      <c r="J351" s="19">
        <v>6.16</v>
      </c>
      <c r="K351" s="11">
        <f t="shared" si="3"/>
        <v>2260.658954</v>
      </c>
      <c r="L351" s="11">
        <f t="shared" si="13"/>
        <v>158.2179601</v>
      </c>
      <c r="M351" s="11">
        <f t="shared" ref="M351:M353" si="1049">(I351*D351)/100000</f>
        <v>11631.36666</v>
      </c>
      <c r="N351" s="11">
        <f t="shared" ref="N351:N353" si="1050">(K351*D351)/100000</f>
        <v>23491.5471</v>
      </c>
      <c r="O351" s="19">
        <v>8.91</v>
      </c>
      <c r="P351" s="19"/>
      <c r="Q351" s="19">
        <v>3.9</v>
      </c>
      <c r="R351" s="19"/>
      <c r="S351" s="19">
        <v>24.49</v>
      </c>
      <c r="T351" s="14"/>
      <c r="U351" s="14">
        <f t="shared" ref="U351:U353" si="1051">(O351*D351)/100000</f>
        <v>92.5879086</v>
      </c>
      <c r="V351" s="14">
        <f t="shared" ref="V351:V353" si="1052">(Q351*D351)/100000</f>
        <v>40.526694</v>
      </c>
      <c r="W351" s="14">
        <f t="shared" ref="W351:W353" si="1053">(S351*D351)/100000</f>
        <v>254.4868554</v>
      </c>
      <c r="X351" s="13"/>
      <c r="Y351" s="13"/>
      <c r="Z351" s="13" t="str">
        <f t="shared" ref="Z351:Z352" si="1054">ROUND(F351, 0) &amp; " (" &amp; ROUND(H351, 0) &amp; "-" &amp; ROUND(J351, 0) &amp; ")"</f>
        <v>4 (3-6)</v>
      </c>
      <c r="AA351" s="13" t="str">
        <f t="shared" ref="AA351:AA352" si="1055">ROUND(L351, 0) &amp; " (" &amp; ROUND(M351, 0) &amp; "-" &amp; ROUND(N351, 0) &amp; ")"</f>
        <v>158 (11631-23492)</v>
      </c>
      <c r="AB351" s="13" t="str">
        <f t="shared" ref="AB351:AB352" si="1056">ROUND(O351, 0) &amp; " (" &amp; ROUND(Q351, 0) &amp; "-" &amp; ROUND(S351, 0) &amp; ")"</f>
        <v>9 (4-24)</v>
      </c>
      <c r="AC351" s="13" t="str">
        <f t="shared" ref="AC351:AC352" si="1057">ROUND(U351, 0) &amp; " (" &amp; ROUND(V351, 0) &amp; "-" &amp; ROUND(W351, 0) &amp; ")"</f>
        <v>93 (41-254)</v>
      </c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hidden="1">
      <c r="A352" s="24" t="s">
        <v>27</v>
      </c>
      <c r="B352" s="16" t="s">
        <v>116</v>
      </c>
      <c r="C352" s="23">
        <v>2040.0</v>
      </c>
      <c r="D352" s="17">
        <f>614540+626490</f>
        <v>1241030</v>
      </c>
      <c r="E352" s="10">
        <v>4.5743925E7</v>
      </c>
      <c r="F352" s="19">
        <v>4.48</v>
      </c>
      <c r="G352" s="10">
        <f t="shared" si="1"/>
        <v>2049.32784</v>
      </c>
      <c r="H352" s="19">
        <v>3.05</v>
      </c>
      <c r="I352" s="8">
        <f t="shared" si="2"/>
        <v>1395.189713</v>
      </c>
      <c r="J352" s="19">
        <v>6.16</v>
      </c>
      <c r="K352" s="11">
        <f t="shared" si="3"/>
        <v>2817.82578</v>
      </c>
      <c r="L352" s="11">
        <f t="shared" si="13"/>
        <v>165.1312088</v>
      </c>
      <c r="M352" s="11">
        <f t="shared" si="1049"/>
        <v>17314.72289</v>
      </c>
      <c r="N352" s="11">
        <f t="shared" si="1050"/>
        <v>34970.06328</v>
      </c>
      <c r="O352" s="19">
        <v>8.91</v>
      </c>
      <c r="P352" s="19"/>
      <c r="Q352" s="19">
        <v>3.9</v>
      </c>
      <c r="R352" s="19"/>
      <c r="S352" s="19">
        <v>24.49</v>
      </c>
      <c r="T352" s="14"/>
      <c r="U352" s="14">
        <f t="shared" si="1051"/>
        <v>110.575773</v>
      </c>
      <c r="V352" s="14">
        <f t="shared" si="1052"/>
        <v>48.40017</v>
      </c>
      <c r="W352" s="14">
        <f t="shared" si="1053"/>
        <v>303.928247</v>
      </c>
      <c r="X352" s="13"/>
      <c r="Y352" s="13"/>
      <c r="Z352" s="13" t="str">
        <f t="shared" si="1054"/>
        <v>4 (3-6)</v>
      </c>
      <c r="AA352" s="13" t="str">
        <f t="shared" si="1055"/>
        <v>165 (17315-34970)</v>
      </c>
      <c r="AB352" s="13" t="str">
        <f t="shared" si="1056"/>
        <v>9 (4-24)</v>
      </c>
      <c r="AC352" s="13" t="str">
        <f t="shared" si="1057"/>
        <v>111 (48-304)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hidden="1">
      <c r="A353" s="24" t="s">
        <v>29</v>
      </c>
      <c r="B353" s="16" t="s">
        <v>116</v>
      </c>
      <c r="C353" s="23">
        <v>2050.0</v>
      </c>
      <c r="D353" s="17">
        <f>674267+687291</f>
        <v>1361558</v>
      </c>
      <c r="E353" s="10">
        <v>5.5746985E7</v>
      </c>
      <c r="F353" s="19">
        <v>4.48</v>
      </c>
      <c r="G353" s="10">
        <f t="shared" si="1"/>
        <v>2497.464928</v>
      </c>
      <c r="H353" s="19">
        <v>3.05</v>
      </c>
      <c r="I353" s="8">
        <f t="shared" si="2"/>
        <v>1700.283043</v>
      </c>
      <c r="J353" s="19">
        <v>6.16</v>
      </c>
      <c r="K353" s="11">
        <f t="shared" si="3"/>
        <v>3434.014276</v>
      </c>
      <c r="L353" s="11">
        <f t="shared" si="13"/>
        <v>183.4269953</v>
      </c>
      <c r="M353" s="11">
        <f t="shared" si="1049"/>
        <v>23150.33979</v>
      </c>
      <c r="N353" s="11">
        <f t="shared" si="1050"/>
        <v>46756.0961</v>
      </c>
      <c r="O353" s="19">
        <v>8.91</v>
      </c>
      <c r="P353" s="8">
        <f t="shared" ref="P353:P354" si="1058">(O353/100000)*E353</f>
        <v>4967.056364</v>
      </c>
      <c r="Q353" s="19">
        <v>3.9</v>
      </c>
      <c r="R353" s="8">
        <f t="shared" ref="R353:R354" si="1059">(Q353/100000)*E353</f>
        <v>2174.132415</v>
      </c>
      <c r="S353" s="19">
        <v>24.49</v>
      </c>
      <c r="T353" s="11">
        <f t="shared" ref="T353:T354" si="1060">(S353/100000)*E353</f>
        <v>13652.43663</v>
      </c>
      <c r="U353" s="14">
        <f t="shared" si="1051"/>
        <v>121.3148178</v>
      </c>
      <c r="V353" s="14">
        <f t="shared" si="1052"/>
        <v>53.100762</v>
      </c>
      <c r="W353" s="14">
        <f t="shared" si="1053"/>
        <v>333.4455542</v>
      </c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>
      <c r="A354" s="24" t="s">
        <v>23</v>
      </c>
      <c r="B354" s="16" t="s">
        <v>117</v>
      </c>
      <c r="C354" s="20">
        <v>2021.0</v>
      </c>
      <c r="D354" s="17">
        <f>39272.5+38304</f>
        <v>77576.5</v>
      </c>
      <c r="E354" s="18">
        <v>2576010.0</v>
      </c>
      <c r="F354" s="19">
        <v>4.17</v>
      </c>
      <c r="G354" s="10">
        <f t="shared" si="1"/>
        <v>107.419617</v>
      </c>
      <c r="H354" s="19">
        <v>2.95</v>
      </c>
      <c r="I354" s="8">
        <f t="shared" si="2"/>
        <v>75.992295</v>
      </c>
      <c r="J354" s="19">
        <v>5.65</v>
      </c>
      <c r="K354" s="11">
        <f t="shared" si="3"/>
        <v>145.544565</v>
      </c>
      <c r="L354" s="11">
        <f t="shared" si="13"/>
        <v>138.4692748</v>
      </c>
      <c r="M354" s="12">
        <f>(I354/D354)*100000</f>
        <v>97.95788029</v>
      </c>
      <c r="N354" s="11">
        <f>(K354/D354)*100000</f>
        <v>187.6142453</v>
      </c>
      <c r="O354" s="19">
        <v>7.49</v>
      </c>
      <c r="P354" s="8">
        <f t="shared" si="1058"/>
        <v>192.943149</v>
      </c>
      <c r="Q354" s="19">
        <v>3.15</v>
      </c>
      <c r="R354" s="8">
        <f t="shared" si="1059"/>
        <v>81.144315</v>
      </c>
      <c r="S354" s="19">
        <v>20.5</v>
      </c>
      <c r="T354" s="11">
        <f t="shared" si="1060"/>
        <v>528.08205</v>
      </c>
      <c r="U354" s="11">
        <f>(P354/D354)*100000</f>
        <v>248.7133977</v>
      </c>
      <c r="V354" s="11">
        <f>(R354/D354)*100000</f>
        <v>104.5990925</v>
      </c>
      <c r="W354" s="11">
        <f>(T354/D354)*100000</f>
        <v>680.7242528</v>
      </c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hidden="1">
      <c r="A355" s="24" t="s">
        <v>25</v>
      </c>
      <c r="B355" s="16" t="s">
        <v>117</v>
      </c>
      <c r="C355" s="23">
        <v>2030.0</v>
      </c>
      <c r="D355" s="17">
        <f>39969+40965</f>
        <v>80934</v>
      </c>
      <c r="E355" s="10">
        <v>3130133.0</v>
      </c>
      <c r="F355" s="19">
        <v>4.17</v>
      </c>
      <c r="G355" s="10">
        <f t="shared" si="1"/>
        <v>130.5265461</v>
      </c>
      <c r="H355" s="19">
        <v>2.95</v>
      </c>
      <c r="I355" s="8">
        <f t="shared" si="2"/>
        <v>92.3389235</v>
      </c>
      <c r="J355" s="19">
        <v>5.65</v>
      </c>
      <c r="K355" s="11">
        <f t="shared" si="3"/>
        <v>176.8525145</v>
      </c>
      <c r="L355" s="11">
        <f t="shared" si="13"/>
        <v>161.2752936</v>
      </c>
      <c r="M355" s="11">
        <f t="shared" ref="M355:M357" si="1061">(I355*D355)/100000</f>
        <v>74.73358435</v>
      </c>
      <c r="N355" s="11">
        <f t="shared" ref="N355:N357" si="1062">(K355*D355)/100000</f>
        <v>143.1338141</v>
      </c>
      <c r="O355" s="19">
        <v>7.49</v>
      </c>
      <c r="P355" s="19"/>
      <c r="Q355" s="19">
        <v>3.15</v>
      </c>
      <c r="R355" s="19"/>
      <c r="S355" s="19">
        <v>20.5</v>
      </c>
      <c r="T355" s="14"/>
      <c r="U355" s="14">
        <f t="shared" ref="U355:U357" si="1063">(O355*D355)/100000</f>
        <v>6.0619566</v>
      </c>
      <c r="V355" s="14">
        <f t="shared" ref="V355:V357" si="1064">(Q355*D355)/100000</f>
        <v>2.549421</v>
      </c>
      <c r="W355" s="14">
        <f t="shared" ref="W355:W357" si="1065">(S355*D355)/100000</f>
        <v>16.59147</v>
      </c>
      <c r="X355" s="13"/>
      <c r="Y355" s="13"/>
      <c r="Z355" s="13" t="str">
        <f t="shared" ref="Z355:Z356" si="1066">ROUND(F355, 0) &amp; " (" &amp; ROUND(H355, 0) &amp; "-" &amp; ROUND(J355, 0) &amp; ")"</f>
        <v>4 (3-6)</v>
      </c>
      <c r="AA355" s="13" t="str">
        <f t="shared" ref="AA355:AA356" si="1067">ROUND(L355, 0) &amp; " (" &amp; ROUND(M355, 0) &amp; "-" &amp; ROUND(N355, 0) &amp; ")"</f>
        <v>161 (75-143)</v>
      </c>
      <c r="AB355" s="13" t="str">
        <f t="shared" ref="AB355:AB356" si="1068">ROUND(O355, 0) &amp; " (" &amp; ROUND(Q355, 0) &amp; "-" &amp; ROUND(S355, 0) &amp; ")"</f>
        <v>7 (3-21)</v>
      </c>
      <c r="AC355" s="13" t="str">
        <f t="shared" ref="AC355:AC356" si="1069">ROUND(U355, 0) &amp; " (" &amp; ROUND(V355, 0) &amp; "-" &amp; ROUND(W355, 0) &amp; ")"</f>
        <v>6 (3-17)</v>
      </c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hidden="1">
      <c r="A356" s="24" t="s">
        <v>27</v>
      </c>
      <c r="B356" s="16" t="s">
        <v>117</v>
      </c>
      <c r="C356" s="23">
        <v>2040.0</v>
      </c>
      <c r="D356" s="17">
        <f>41004+42018</f>
        <v>83022</v>
      </c>
      <c r="E356" s="10">
        <v>3732798.0</v>
      </c>
      <c r="F356" s="19">
        <v>4.17</v>
      </c>
      <c r="G356" s="10">
        <f t="shared" si="1"/>
        <v>155.6576766</v>
      </c>
      <c r="H356" s="19">
        <v>2.95</v>
      </c>
      <c r="I356" s="8">
        <f t="shared" si="2"/>
        <v>110.117541</v>
      </c>
      <c r="J356" s="19">
        <v>5.65</v>
      </c>
      <c r="K356" s="11">
        <f t="shared" si="3"/>
        <v>210.903087</v>
      </c>
      <c r="L356" s="11">
        <f t="shared" si="13"/>
        <v>187.4896733</v>
      </c>
      <c r="M356" s="11">
        <f t="shared" si="1061"/>
        <v>91.42178489</v>
      </c>
      <c r="N356" s="11">
        <f t="shared" si="1062"/>
        <v>175.0959609</v>
      </c>
      <c r="O356" s="19">
        <v>7.49</v>
      </c>
      <c r="P356" s="19"/>
      <c r="Q356" s="19">
        <v>3.15</v>
      </c>
      <c r="R356" s="19"/>
      <c r="S356" s="19">
        <v>20.5</v>
      </c>
      <c r="T356" s="14"/>
      <c r="U356" s="14">
        <f t="shared" si="1063"/>
        <v>6.2183478</v>
      </c>
      <c r="V356" s="14">
        <f t="shared" si="1064"/>
        <v>2.615193</v>
      </c>
      <c r="W356" s="14">
        <f t="shared" si="1065"/>
        <v>17.01951</v>
      </c>
      <c r="X356" s="13"/>
      <c r="Y356" s="13"/>
      <c r="Z356" s="13" t="str">
        <f t="shared" si="1066"/>
        <v>4 (3-6)</v>
      </c>
      <c r="AA356" s="13" t="str">
        <f t="shared" si="1067"/>
        <v>187 (91-175)</v>
      </c>
      <c r="AB356" s="13" t="str">
        <f t="shared" si="1068"/>
        <v>7 (3-21)</v>
      </c>
      <c r="AC356" s="13" t="str">
        <f t="shared" si="1069"/>
        <v>6 (3-17)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hidden="1">
      <c r="A357" s="24" t="s">
        <v>29</v>
      </c>
      <c r="B357" s="16" t="s">
        <v>117</v>
      </c>
      <c r="C357" s="23">
        <v>2050.0</v>
      </c>
      <c r="D357" s="17">
        <f>40878+41885</f>
        <v>82763</v>
      </c>
      <c r="E357" s="10">
        <v>4301895.0</v>
      </c>
      <c r="F357" s="19">
        <v>4.17</v>
      </c>
      <c r="G357" s="10">
        <f t="shared" si="1"/>
        <v>179.3890215</v>
      </c>
      <c r="H357" s="19">
        <v>2.95</v>
      </c>
      <c r="I357" s="8">
        <f t="shared" si="2"/>
        <v>126.9059025</v>
      </c>
      <c r="J357" s="19">
        <v>5.65</v>
      </c>
      <c r="K357" s="11">
        <f t="shared" si="3"/>
        <v>243.0570675</v>
      </c>
      <c r="L357" s="11">
        <f t="shared" si="13"/>
        <v>216.7502646</v>
      </c>
      <c r="M357" s="11">
        <f t="shared" si="1061"/>
        <v>105.0311321</v>
      </c>
      <c r="N357" s="11">
        <f t="shared" si="1062"/>
        <v>201.1613208</v>
      </c>
      <c r="O357" s="19">
        <v>7.49</v>
      </c>
      <c r="P357" s="8">
        <f t="shared" ref="P357:P358" si="1070">(O357/100000)*E357</f>
        <v>322.2119355</v>
      </c>
      <c r="Q357" s="19">
        <v>3.15</v>
      </c>
      <c r="R357" s="8">
        <f t="shared" ref="R357:R358" si="1071">(Q357/100000)*E357</f>
        <v>135.5096925</v>
      </c>
      <c r="S357" s="19">
        <v>20.5</v>
      </c>
      <c r="T357" s="11">
        <f t="shared" ref="T357:T358" si="1072">(S357/100000)*E357</f>
        <v>881.888475</v>
      </c>
      <c r="U357" s="14">
        <f t="shared" si="1063"/>
        <v>6.1989487</v>
      </c>
      <c r="V357" s="14">
        <f t="shared" si="1064"/>
        <v>2.6070345</v>
      </c>
      <c r="W357" s="14">
        <f t="shared" si="1065"/>
        <v>16.966415</v>
      </c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>
      <c r="A358" s="24" t="s">
        <v>23</v>
      </c>
      <c r="B358" s="16" t="s">
        <v>118</v>
      </c>
      <c r="C358" s="20">
        <v>2021.0</v>
      </c>
      <c r="D358" s="17">
        <f>432631+419370</f>
        <v>852001</v>
      </c>
      <c r="E358" s="18">
        <v>3.2518665E7</v>
      </c>
      <c r="F358" s="19">
        <v>3.53</v>
      </c>
      <c r="G358" s="10">
        <f t="shared" si="1"/>
        <v>1147.908875</v>
      </c>
      <c r="H358" s="19">
        <v>2.43</v>
      </c>
      <c r="I358" s="8">
        <f t="shared" si="2"/>
        <v>790.2035595</v>
      </c>
      <c r="J358" s="19">
        <v>4.92</v>
      </c>
      <c r="K358" s="11">
        <f t="shared" si="3"/>
        <v>1599.918318</v>
      </c>
      <c r="L358" s="11">
        <f t="shared" si="13"/>
        <v>134.7309304</v>
      </c>
      <c r="M358" s="12">
        <f>(I358/D358)*100000</f>
        <v>92.7467878</v>
      </c>
      <c r="N358" s="11">
        <f>(K358/D358)*100000</f>
        <v>187.7836197</v>
      </c>
      <c r="O358" s="19">
        <v>3.5</v>
      </c>
      <c r="P358" s="8">
        <f t="shared" si="1070"/>
        <v>1138.153275</v>
      </c>
      <c r="Q358" s="19">
        <v>2.14</v>
      </c>
      <c r="R358" s="8">
        <f t="shared" si="1071"/>
        <v>695.899431</v>
      </c>
      <c r="S358" s="19">
        <v>5.65</v>
      </c>
      <c r="T358" s="11">
        <f t="shared" si="1072"/>
        <v>1837.304573</v>
      </c>
      <c r="U358" s="11">
        <f>(P358/D358)*100000</f>
        <v>133.5859083</v>
      </c>
      <c r="V358" s="11">
        <f>(R358/D358)*100000</f>
        <v>81.67824111</v>
      </c>
      <c r="W358" s="11">
        <f>(T358/D358)*100000</f>
        <v>215.6458235</v>
      </c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 hidden="1">
      <c r="A359" s="24" t="s">
        <v>25</v>
      </c>
      <c r="B359" s="16" t="s">
        <v>118</v>
      </c>
      <c r="C359" s="23">
        <v>2030.0</v>
      </c>
      <c r="D359" s="17">
        <f>444645+458799</f>
        <v>903444</v>
      </c>
      <c r="E359" s="10">
        <v>3.8222089E7</v>
      </c>
      <c r="F359" s="19">
        <v>3.53</v>
      </c>
      <c r="G359" s="10">
        <f t="shared" si="1"/>
        <v>1349.239742</v>
      </c>
      <c r="H359" s="19">
        <v>2.43</v>
      </c>
      <c r="I359" s="8">
        <f t="shared" si="2"/>
        <v>928.7967627</v>
      </c>
      <c r="J359" s="19">
        <v>4.92</v>
      </c>
      <c r="K359" s="11">
        <f t="shared" si="3"/>
        <v>1880.526779</v>
      </c>
      <c r="L359" s="11">
        <f t="shared" si="13"/>
        <v>149.344037</v>
      </c>
      <c r="M359" s="11">
        <f t="shared" ref="M359:M361" si="1073">(I359*D359)/100000</f>
        <v>8391.158625</v>
      </c>
      <c r="N359" s="11">
        <f t="shared" ref="N359:N361" si="1074">(K359*D359)/100000</f>
        <v>16989.50635</v>
      </c>
      <c r="O359" s="19">
        <v>3.5</v>
      </c>
      <c r="P359" s="19"/>
      <c r="Q359" s="19">
        <v>2.14</v>
      </c>
      <c r="R359" s="19"/>
      <c r="S359" s="19">
        <v>5.65</v>
      </c>
      <c r="T359" s="14"/>
      <c r="U359" s="14">
        <f t="shared" ref="U359:U361" si="1075">(O359*D359)/100000</f>
        <v>31.62054</v>
      </c>
      <c r="V359" s="14">
        <f t="shared" ref="V359:V361" si="1076">(Q359*D359)/100000</f>
        <v>19.3337016</v>
      </c>
      <c r="W359" s="14">
        <f t="shared" ref="W359:W361" si="1077">(S359*D359)/100000</f>
        <v>51.044586</v>
      </c>
      <c r="X359" s="13"/>
      <c r="Y359" s="13"/>
      <c r="Z359" s="13" t="str">
        <f t="shared" ref="Z359:Z360" si="1078">ROUND(F359, 0) &amp; " (" &amp; ROUND(H359, 0) &amp; "-" &amp; ROUND(J359, 0) &amp; ")"</f>
        <v>4 (2-5)</v>
      </c>
      <c r="AA359" s="13" t="str">
        <f t="shared" ref="AA359:AA360" si="1079">ROUND(L359, 0) &amp; " (" &amp; ROUND(M359, 0) &amp; "-" &amp; ROUND(N359, 0) &amp; ")"</f>
        <v>149 (8391-16990)</v>
      </c>
      <c r="AB359" s="13" t="str">
        <f t="shared" ref="AB359:AB360" si="1080">ROUND(O359, 0) &amp; " (" &amp; ROUND(Q359, 0) &amp; "-" &amp; ROUND(S359, 0) &amp; ")"</f>
        <v>4 (2-6)</v>
      </c>
      <c r="AC359" s="13" t="str">
        <f t="shared" ref="AC359:AC360" si="1081">ROUND(U359, 0) &amp; " (" &amp; ROUND(V359, 0) &amp; "-" &amp; ROUND(W359, 0) &amp; ")"</f>
        <v>32 (19-51)</v>
      </c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hidden="1">
      <c r="A360" s="24" t="s">
        <v>27</v>
      </c>
      <c r="B360" s="16" t="s">
        <v>118</v>
      </c>
      <c r="C360" s="23">
        <v>2040.0</v>
      </c>
      <c r="D360" s="17">
        <f>475709+490443</f>
        <v>966152</v>
      </c>
      <c r="E360" s="10">
        <v>4.456835E7</v>
      </c>
      <c r="F360" s="19">
        <v>3.53</v>
      </c>
      <c r="G360" s="10">
        <f t="shared" si="1"/>
        <v>1573.262755</v>
      </c>
      <c r="H360" s="19">
        <v>2.43</v>
      </c>
      <c r="I360" s="8">
        <f t="shared" si="2"/>
        <v>1083.010905</v>
      </c>
      <c r="J360" s="19">
        <v>4.92</v>
      </c>
      <c r="K360" s="11">
        <f t="shared" si="3"/>
        <v>2192.76282</v>
      </c>
      <c r="L360" s="11">
        <f t="shared" si="13"/>
        <v>162.8380167</v>
      </c>
      <c r="M360" s="11">
        <f t="shared" si="1073"/>
        <v>10463.53152</v>
      </c>
      <c r="N360" s="11">
        <f t="shared" si="1074"/>
        <v>21185.42184</v>
      </c>
      <c r="O360" s="19">
        <v>3.5</v>
      </c>
      <c r="P360" s="19"/>
      <c r="Q360" s="19">
        <v>2.14</v>
      </c>
      <c r="R360" s="19"/>
      <c r="S360" s="19">
        <v>5.65</v>
      </c>
      <c r="T360" s="14"/>
      <c r="U360" s="14">
        <f t="shared" si="1075"/>
        <v>33.81532</v>
      </c>
      <c r="V360" s="14">
        <f t="shared" si="1076"/>
        <v>20.6756528</v>
      </c>
      <c r="W360" s="14">
        <f t="shared" si="1077"/>
        <v>54.587588</v>
      </c>
      <c r="X360" s="13"/>
      <c r="Y360" s="13"/>
      <c r="Z360" s="13" t="str">
        <f t="shared" si="1078"/>
        <v>4 (2-5)</v>
      </c>
      <c r="AA360" s="13" t="str">
        <f t="shared" si="1079"/>
        <v>163 (10464-21185)</v>
      </c>
      <c r="AB360" s="13" t="str">
        <f t="shared" si="1080"/>
        <v>4 (2-6)</v>
      </c>
      <c r="AC360" s="13" t="str">
        <f t="shared" si="1081"/>
        <v>34 (21-55)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hidden="1">
      <c r="A361" s="24" t="s">
        <v>29</v>
      </c>
      <c r="B361" s="16" t="s">
        <v>118</v>
      </c>
      <c r="C361" s="23">
        <v>2050.0</v>
      </c>
      <c r="D361" s="17">
        <f>482758+497595</f>
        <v>980353</v>
      </c>
      <c r="E361" s="10">
        <v>5.0553047E7</v>
      </c>
      <c r="F361" s="19">
        <v>3.53</v>
      </c>
      <c r="G361" s="10">
        <f t="shared" si="1"/>
        <v>1784.522559</v>
      </c>
      <c r="H361" s="19">
        <v>2.43</v>
      </c>
      <c r="I361" s="8">
        <f t="shared" si="2"/>
        <v>1228.439042</v>
      </c>
      <c r="J361" s="19">
        <v>4.92</v>
      </c>
      <c r="K361" s="11">
        <f t="shared" si="3"/>
        <v>2487.209912</v>
      </c>
      <c r="L361" s="11">
        <f t="shared" si="13"/>
        <v>182.0285712</v>
      </c>
      <c r="M361" s="11">
        <f t="shared" si="1073"/>
        <v>12043.039</v>
      </c>
      <c r="N361" s="11">
        <f t="shared" si="1074"/>
        <v>24383.43699</v>
      </c>
      <c r="O361" s="19">
        <v>3.5</v>
      </c>
      <c r="P361" s="8">
        <f t="shared" ref="P361:P362" si="1082">(O361/100000)*E361</f>
        <v>1769.356645</v>
      </c>
      <c r="Q361" s="19">
        <v>2.14</v>
      </c>
      <c r="R361" s="8">
        <f t="shared" ref="R361:R362" si="1083">(Q361/100000)*E361</f>
        <v>1081.835206</v>
      </c>
      <c r="S361" s="19">
        <v>5.65</v>
      </c>
      <c r="T361" s="11">
        <f t="shared" ref="T361:T362" si="1084">(S361/100000)*E361</f>
        <v>2856.247156</v>
      </c>
      <c r="U361" s="14">
        <f t="shared" si="1075"/>
        <v>34.312355</v>
      </c>
      <c r="V361" s="14">
        <f t="shared" si="1076"/>
        <v>20.9795542</v>
      </c>
      <c r="W361" s="14">
        <f t="shared" si="1077"/>
        <v>55.3899445</v>
      </c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>
      <c r="A362" s="24" t="s">
        <v>23</v>
      </c>
      <c r="B362" s="16" t="s">
        <v>119</v>
      </c>
      <c r="C362" s="20">
        <v>2021.0</v>
      </c>
      <c r="D362" s="17">
        <f>230307.5+222170</f>
        <v>452477.5</v>
      </c>
      <c r="E362" s="18">
        <v>1.3710513E7</v>
      </c>
      <c r="F362" s="19">
        <v>5.94</v>
      </c>
      <c r="G362" s="10">
        <f t="shared" si="1"/>
        <v>814.4044722</v>
      </c>
      <c r="H362" s="19">
        <v>4.03</v>
      </c>
      <c r="I362" s="8">
        <f t="shared" si="2"/>
        <v>552.5336739</v>
      </c>
      <c r="J362" s="19">
        <v>8.16</v>
      </c>
      <c r="K362" s="11">
        <f t="shared" si="3"/>
        <v>1118.777861</v>
      </c>
      <c r="L362" s="11">
        <f t="shared" si="13"/>
        <v>179.9878386</v>
      </c>
      <c r="M362" s="12">
        <f>(I362/D362)*100000</f>
        <v>122.1129612</v>
      </c>
      <c r="N362" s="11">
        <f>(K362/D362)*100000</f>
        <v>247.2560206</v>
      </c>
      <c r="O362" s="19">
        <v>9.13</v>
      </c>
      <c r="P362" s="8">
        <f t="shared" si="1082"/>
        <v>1251.769837</v>
      </c>
      <c r="Q362" s="19">
        <v>3.03</v>
      </c>
      <c r="R362" s="8">
        <f t="shared" si="1083"/>
        <v>415.4285439</v>
      </c>
      <c r="S362" s="19">
        <v>36.33</v>
      </c>
      <c r="T362" s="11">
        <f t="shared" si="1084"/>
        <v>4981.029373</v>
      </c>
      <c r="U362" s="11">
        <f>(P362/D362)*100000</f>
        <v>276.6479741</v>
      </c>
      <c r="V362" s="11">
        <f>(R362/D362)*100000</f>
        <v>91.81197825</v>
      </c>
      <c r="W362" s="11">
        <f>(T362/D362)*100000</f>
        <v>1100.83471</v>
      </c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hidden="1">
      <c r="A363" s="24" t="s">
        <v>25</v>
      </c>
      <c r="B363" s="16" t="s">
        <v>119</v>
      </c>
      <c r="C363" s="23">
        <v>2030.0</v>
      </c>
      <c r="D363" s="17">
        <f>236489+244882</f>
        <v>481371</v>
      </c>
      <c r="E363" s="10">
        <v>1.6807147E7</v>
      </c>
      <c r="F363" s="19">
        <v>5.94</v>
      </c>
      <c r="G363" s="10">
        <f t="shared" si="1"/>
        <v>998.3445318</v>
      </c>
      <c r="H363" s="19">
        <v>4.03</v>
      </c>
      <c r="I363" s="8">
        <f t="shared" si="2"/>
        <v>677.3280241</v>
      </c>
      <c r="J363" s="19">
        <v>8.16</v>
      </c>
      <c r="K363" s="11">
        <f t="shared" si="3"/>
        <v>1371.463195</v>
      </c>
      <c r="L363" s="11">
        <f t="shared" si="13"/>
        <v>207.3960691</v>
      </c>
      <c r="M363" s="11">
        <f t="shared" ref="M363:M365" si="1085">(I363*D363)/100000</f>
        <v>3260.460683</v>
      </c>
      <c r="N363" s="11">
        <f t="shared" ref="N363:N365" si="1086">(K363*D363)/100000</f>
        <v>6601.826097</v>
      </c>
      <c r="O363" s="19">
        <v>9.13</v>
      </c>
      <c r="P363" s="19"/>
      <c r="Q363" s="19">
        <v>3.03</v>
      </c>
      <c r="R363" s="19"/>
      <c r="S363" s="19">
        <v>36.33</v>
      </c>
      <c r="T363" s="14"/>
      <c r="U363" s="14">
        <f t="shared" ref="U363:U365" si="1087">(O363*D363)/100000</f>
        <v>43.9491723</v>
      </c>
      <c r="V363" s="14">
        <f t="shared" ref="V363:V365" si="1088">(Q363*D363)/100000</f>
        <v>14.5855413</v>
      </c>
      <c r="W363" s="14">
        <f t="shared" ref="W363:W365" si="1089">(S363*D363)/100000</f>
        <v>174.8820843</v>
      </c>
      <c r="X363" s="13"/>
      <c r="Y363" s="13"/>
      <c r="Z363" s="13" t="str">
        <f t="shared" ref="Z363:Z364" si="1090">ROUND(F363, 0) &amp; " (" &amp; ROUND(H363, 0) &amp; "-" &amp; ROUND(J363, 0) &amp; ")"</f>
        <v>6 (4-8)</v>
      </c>
      <c r="AA363" s="13" t="str">
        <f t="shared" ref="AA363:AA364" si="1091">ROUND(L363, 0) &amp; " (" &amp; ROUND(M363, 0) &amp; "-" &amp; ROUND(N363, 0) &amp; ")"</f>
        <v>207 (3260-6602)</v>
      </c>
      <c r="AB363" s="13" t="str">
        <f t="shared" ref="AB363:AB364" si="1092">ROUND(O363, 0) &amp; " (" &amp; ROUND(Q363, 0) &amp; "-" &amp; ROUND(S363, 0) &amp; ")"</f>
        <v>9 (3-36)</v>
      </c>
      <c r="AC363" s="13" t="str">
        <f t="shared" ref="AC363:AC364" si="1093">ROUND(U363, 0) &amp; " (" &amp; ROUND(V363, 0) &amp; "-" &amp; ROUND(W363, 0) &amp; ")"</f>
        <v>44 (15-175)</v>
      </c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hidden="1">
      <c r="A364" s="24" t="s">
        <v>27</v>
      </c>
      <c r="B364" s="16" t="s">
        <v>119</v>
      </c>
      <c r="C364" s="23">
        <v>2040.0</v>
      </c>
      <c r="D364" s="17">
        <f>245696+254078</f>
        <v>499774</v>
      </c>
      <c r="E364" s="10">
        <v>2.016075E7</v>
      </c>
      <c r="F364" s="19">
        <v>5.94</v>
      </c>
      <c r="G364" s="10">
        <f t="shared" si="1"/>
        <v>1197.54855</v>
      </c>
      <c r="H364" s="19">
        <v>4.03</v>
      </c>
      <c r="I364" s="8">
        <f t="shared" si="2"/>
        <v>812.478225</v>
      </c>
      <c r="J364" s="19">
        <v>8.16</v>
      </c>
      <c r="K364" s="11">
        <f t="shared" si="3"/>
        <v>1645.1172</v>
      </c>
      <c r="L364" s="11">
        <f t="shared" si="13"/>
        <v>239.6180173</v>
      </c>
      <c r="M364" s="11">
        <f t="shared" si="1085"/>
        <v>4060.554924</v>
      </c>
      <c r="N364" s="11">
        <f t="shared" si="1086"/>
        <v>8221.868035</v>
      </c>
      <c r="O364" s="19">
        <v>9.13</v>
      </c>
      <c r="P364" s="19"/>
      <c r="Q364" s="19">
        <v>3.03</v>
      </c>
      <c r="R364" s="19"/>
      <c r="S364" s="19">
        <v>36.33</v>
      </c>
      <c r="T364" s="14"/>
      <c r="U364" s="14">
        <f t="shared" si="1087"/>
        <v>45.6293662</v>
      </c>
      <c r="V364" s="14">
        <f t="shared" si="1088"/>
        <v>15.1431522</v>
      </c>
      <c r="W364" s="14">
        <f t="shared" si="1089"/>
        <v>181.5678942</v>
      </c>
      <c r="X364" s="13"/>
      <c r="Y364" s="13"/>
      <c r="Z364" s="13" t="str">
        <f t="shared" si="1090"/>
        <v>6 (4-8)</v>
      </c>
      <c r="AA364" s="13" t="str">
        <f t="shared" si="1091"/>
        <v>240 (4061-8222)</v>
      </c>
      <c r="AB364" s="13" t="str">
        <f t="shared" si="1092"/>
        <v>9 (3-36)</v>
      </c>
      <c r="AC364" s="13" t="str">
        <f t="shared" si="1093"/>
        <v>46 (15-182)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hidden="1">
      <c r="A365" s="24" t="s">
        <v>29</v>
      </c>
      <c r="B365" s="16" t="s">
        <v>119</v>
      </c>
      <c r="C365" s="23">
        <v>2050.0</v>
      </c>
      <c r="D365" s="17">
        <f>250693+259045</f>
        <v>509738</v>
      </c>
      <c r="E365" s="10">
        <v>2.3404584E7</v>
      </c>
      <c r="F365" s="19">
        <v>5.94</v>
      </c>
      <c r="G365" s="10">
        <f t="shared" si="1"/>
        <v>1390.23229</v>
      </c>
      <c r="H365" s="19">
        <v>4.03</v>
      </c>
      <c r="I365" s="8">
        <f t="shared" si="2"/>
        <v>943.2047352</v>
      </c>
      <c r="J365" s="19">
        <v>8.16</v>
      </c>
      <c r="K365" s="11">
        <f t="shared" si="3"/>
        <v>1909.814054</v>
      </c>
      <c r="L365" s="11">
        <f t="shared" si="13"/>
        <v>272.7346773</v>
      </c>
      <c r="M365" s="11">
        <f t="shared" si="1085"/>
        <v>4807.872953</v>
      </c>
      <c r="N365" s="11">
        <f t="shared" si="1086"/>
        <v>9735.047965</v>
      </c>
      <c r="O365" s="19">
        <v>9.13</v>
      </c>
      <c r="P365" s="8">
        <f t="shared" ref="P365:P366" si="1094">(O365/100000)*E365</f>
        <v>2136.838519</v>
      </c>
      <c r="Q365" s="19">
        <v>3.03</v>
      </c>
      <c r="R365" s="8">
        <f t="shared" ref="R365:R366" si="1095">(Q365/100000)*E365</f>
        <v>709.1588952</v>
      </c>
      <c r="S365" s="19">
        <v>36.33</v>
      </c>
      <c r="T365" s="11">
        <f t="shared" ref="T365:T366" si="1096">(S365/100000)*E365</f>
        <v>8502.885367</v>
      </c>
      <c r="U365" s="14">
        <f t="shared" si="1087"/>
        <v>46.5390794</v>
      </c>
      <c r="V365" s="14">
        <f t="shared" si="1088"/>
        <v>15.4450614</v>
      </c>
      <c r="W365" s="14">
        <f t="shared" si="1089"/>
        <v>185.1878154</v>
      </c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>
      <c r="A366" s="24" t="s">
        <v>23</v>
      </c>
      <c r="B366" s="16" t="s">
        <v>120</v>
      </c>
      <c r="C366" s="20">
        <v>2021.0</v>
      </c>
      <c r="D366" s="17">
        <f>30909.5+29964</f>
        <v>60873.5</v>
      </c>
      <c r="E366" s="18">
        <v>2058841.0</v>
      </c>
      <c r="F366" s="19">
        <v>4.47</v>
      </c>
      <c r="G366" s="10">
        <f t="shared" si="1"/>
        <v>92.0301927</v>
      </c>
      <c r="H366" s="19">
        <v>3.11</v>
      </c>
      <c r="I366" s="8">
        <f t="shared" si="2"/>
        <v>64.0299551</v>
      </c>
      <c r="J366" s="19">
        <v>6.11</v>
      </c>
      <c r="K366" s="11">
        <f t="shared" si="3"/>
        <v>125.7951851</v>
      </c>
      <c r="L366" s="11">
        <f t="shared" si="13"/>
        <v>151.1826866</v>
      </c>
      <c r="M366" s="12">
        <f>(I366/D366)*100000</f>
        <v>105.1852696</v>
      </c>
      <c r="N366" s="11">
        <f>(K366/D366)*100000</f>
        <v>206.6501599</v>
      </c>
      <c r="O366" s="19">
        <v>8.72</v>
      </c>
      <c r="P366" s="8">
        <f t="shared" si="1094"/>
        <v>179.5309352</v>
      </c>
      <c r="Q366" s="19">
        <v>2.99</v>
      </c>
      <c r="R366" s="8">
        <f t="shared" si="1095"/>
        <v>61.5593459</v>
      </c>
      <c r="S366" s="19">
        <v>29.08</v>
      </c>
      <c r="T366" s="11">
        <f t="shared" si="1096"/>
        <v>598.7109628</v>
      </c>
      <c r="U366" s="11">
        <f>(P366/D366)*100000</f>
        <v>294.9246145</v>
      </c>
      <c r="V366" s="11">
        <f>(R366/D366)*100000</f>
        <v>101.126674</v>
      </c>
      <c r="W366" s="11">
        <f>(T366/D366)*100000</f>
        <v>983.5330034</v>
      </c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hidden="1">
      <c r="A367" s="24" t="s">
        <v>25</v>
      </c>
      <c r="B367" s="16" t="s">
        <v>120</v>
      </c>
      <c r="C367" s="23">
        <v>2030.0</v>
      </c>
      <c r="D367" s="17">
        <f>32153+33131</f>
        <v>65284</v>
      </c>
      <c r="E367" s="10">
        <v>2488934.0</v>
      </c>
      <c r="F367" s="19">
        <v>4.47</v>
      </c>
      <c r="G367" s="10">
        <f t="shared" si="1"/>
        <v>111.2553498</v>
      </c>
      <c r="H367" s="19">
        <v>3.11</v>
      </c>
      <c r="I367" s="8">
        <f t="shared" si="2"/>
        <v>77.4058474</v>
      </c>
      <c r="J367" s="19">
        <v>6.11</v>
      </c>
      <c r="K367" s="11">
        <f t="shared" si="3"/>
        <v>152.0738674</v>
      </c>
      <c r="L367" s="11">
        <f t="shared" si="13"/>
        <v>170.4174833</v>
      </c>
      <c r="M367" s="11">
        <f t="shared" ref="M367:M369" si="1097">(I367*D367)/100000</f>
        <v>50.53363342</v>
      </c>
      <c r="N367" s="11">
        <f t="shared" ref="N367:N369" si="1098">(K367*D367)/100000</f>
        <v>99.27990359</v>
      </c>
      <c r="O367" s="19">
        <v>8.72</v>
      </c>
      <c r="P367" s="19"/>
      <c r="Q367" s="19">
        <v>2.99</v>
      </c>
      <c r="R367" s="19"/>
      <c r="S367" s="19">
        <v>29.08</v>
      </c>
      <c r="T367" s="14"/>
      <c r="U367" s="14">
        <f t="shared" ref="U367:U369" si="1099">(O367*D367)/100000</f>
        <v>5.6927648</v>
      </c>
      <c r="V367" s="14">
        <f t="shared" ref="V367:V369" si="1100">(Q367*D367)/100000</f>
        <v>1.9519916</v>
      </c>
      <c r="W367" s="14">
        <f t="shared" ref="W367:W369" si="1101">(S367*D367)/100000</f>
        <v>18.9845872</v>
      </c>
      <c r="X367" s="13"/>
      <c r="Y367" s="13"/>
      <c r="Z367" s="13" t="str">
        <f t="shared" ref="Z367:Z368" si="1102">ROUND(F367, 0) &amp; " (" &amp; ROUND(H367, 0) &amp; "-" &amp; ROUND(J367, 0) &amp; ")"</f>
        <v>4 (3-6)</v>
      </c>
      <c r="AA367" s="13" t="str">
        <f t="shared" ref="AA367:AA368" si="1103">ROUND(L367, 0) &amp; " (" &amp; ROUND(M367, 0) &amp; "-" &amp; ROUND(N367, 0) &amp; ")"</f>
        <v>170 (51-99)</v>
      </c>
      <c r="AB367" s="13" t="str">
        <f t="shared" ref="AB367:AB368" si="1104">ROUND(O367, 0) &amp; " (" &amp; ROUND(Q367, 0) &amp; "-" &amp; ROUND(S367, 0) &amp; ")"</f>
        <v>9 (3-29)</v>
      </c>
      <c r="AC367" s="13" t="str">
        <f t="shared" ref="AC367:AC368" si="1105">ROUND(U367, 0) &amp; " (" &amp; ROUND(V367, 0) &amp; "-" &amp; ROUND(W367, 0) &amp; ")"</f>
        <v>6 (2-19)</v>
      </c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hidden="1">
      <c r="A368" s="24" t="s">
        <v>27</v>
      </c>
      <c r="B368" s="16" t="s">
        <v>120</v>
      </c>
      <c r="C368" s="23">
        <v>2040.0</v>
      </c>
      <c r="D368" s="17">
        <f>33466+34467</f>
        <v>67933</v>
      </c>
      <c r="E368" s="10">
        <v>2969702.0</v>
      </c>
      <c r="F368" s="19">
        <v>4.47</v>
      </c>
      <c r="G368" s="10">
        <f t="shared" si="1"/>
        <v>132.7456794</v>
      </c>
      <c r="H368" s="19">
        <v>3.11</v>
      </c>
      <c r="I368" s="8">
        <f t="shared" si="2"/>
        <v>92.3577322</v>
      </c>
      <c r="J368" s="19">
        <v>6.11</v>
      </c>
      <c r="K368" s="11">
        <f t="shared" si="3"/>
        <v>181.4487922</v>
      </c>
      <c r="L368" s="11">
        <f t="shared" si="13"/>
        <v>195.4067676</v>
      </c>
      <c r="M368" s="11">
        <f t="shared" si="1097"/>
        <v>62.74137822</v>
      </c>
      <c r="N368" s="11">
        <f t="shared" si="1098"/>
        <v>123.263608</v>
      </c>
      <c r="O368" s="19">
        <v>8.72</v>
      </c>
      <c r="P368" s="19"/>
      <c r="Q368" s="19">
        <v>2.99</v>
      </c>
      <c r="R368" s="19"/>
      <c r="S368" s="19">
        <v>29.08</v>
      </c>
      <c r="T368" s="14"/>
      <c r="U368" s="14">
        <f t="shared" si="1099"/>
        <v>5.9237576</v>
      </c>
      <c r="V368" s="14">
        <f t="shared" si="1100"/>
        <v>2.0311967</v>
      </c>
      <c r="W368" s="14">
        <f t="shared" si="1101"/>
        <v>19.7549164</v>
      </c>
      <c r="X368" s="13"/>
      <c r="Y368" s="13"/>
      <c r="Z368" s="13" t="str">
        <f t="shared" si="1102"/>
        <v>4 (3-6)</v>
      </c>
      <c r="AA368" s="13" t="str">
        <f t="shared" si="1103"/>
        <v>195 (63-123)</v>
      </c>
      <c r="AB368" s="13" t="str">
        <f t="shared" si="1104"/>
        <v>9 (3-29)</v>
      </c>
      <c r="AC368" s="13" t="str">
        <f t="shared" si="1105"/>
        <v>6 (2-20)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hidden="1">
      <c r="A369" s="24" t="s">
        <v>29</v>
      </c>
      <c r="B369" s="16" t="s">
        <v>120</v>
      </c>
      <c r="C369" s="23">
        <v>2050.0</v>
      </c>
      <c r="D369" s="17">
        <f>34063+35060</f>
        <v>69123</v>
      </c>
      <c r="E369" s="10">
        <v>3438608.0</v>
      </c>
      <c r="F369" s="19">
        <v>4.47</v>
      </c>
      <c r="G369" s="10">
        <f t="shared" si="1"/>
        <v>153.7057776</v>
      </c>
      <c r="H369" s="19">
        <v>3.11</v>
      </c>
      <c r="I369" s="8">
        <f t="shared" si="2"/>
        <v>106.9407088</v>
      </c>
      <c r="J369" s="19">
        <v>6.11</v>
      </c>
      <c r="K369" s="11">
        <f t="shared" si="3"/>
        <v>210.0989488</v>
      </c>
      <c r="L369" s="11">
        <f t="shared" si="13"/>
        <v>222.3656057</v>
      </c>
      <c r="M369" s="11">
        <f t="shared" si="1097"/>
        <v>73.92062614</v>
      </c>
      <c r="N369" s="11">
        <f t="shared" si="1098"/>
        <v>145.2266964</v>
      </c>
      <c r="O369" s="19">
        <v>8.72</v>
      </c>
      <c r="P369" s="8">
        <f t="shared" ref="P369:P370" si="1106">(O369/100000)*E369</f>
        <v>299.8466176</v>
      </c>
      <c r="Q369" s="19">
        <v>2.99</v>
      </c>
      <c r="R369" s="8">
        <f t="shared" ref="R369:R370" si="1107">(Q369/100000)*E369</f>
        <v>102.8143792</v>
      </c>
      <c r="S369" s="19">
        <v>29.08</v>
      </c>
      <c r="T369" s="11">
        <f t="shared" ref="T369:T370" si="1108">(S369/100000)*E369</f>
        <v>999.9472064</v>
      </c>
      <c r="U369" s="14">
        <f t="shared" si="1099"/>
        <v>6.0275256</v>
      </c>
      <c r="V369" s="14">
        <f t="shared" si="1100"/>
        <v>2.0667777</v>
      </c>
      <c r="W369" s="14">
        <f t="shared" si="1101"/>
        <v>20.1009684</v>
      </c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>
      <c r="A370" s="24" t="s">
        <v>23</v>
      </c>
      <c r="B370" s="16" t="s">
        <v>121</v>
      </c>
      <c r="C370" s="20">
        <v>2021.0</v>
      </c>
      <c r="D370" s="17">
        <f>79938+77671</f>
        <v>157609</v>
      </c>
      <c r="E370" s="18">
        <v>5259323.0</v>
      </c>
      <c r="F370" s="19">
        <v>3.08</v>
      </c>
      <c r="G370" s="10">
        <f t="shared" si="1"/>
        <v>161.9871484</v>
      </c>
      <c r="H370" s="19">
        <v>2.18</v>
      </c>
      <c r="I370" s="8">
        <f t="shared" si="2"/>
        <v>114.6532414</v>
      </c>
      <c r="J370" s="19">
        <v>4.24</v>
      </c>
      <c r="K370" s="11">
        <f t="shared" si="3"/>
        <v>222.9952952</v>
      </c>
      <c r="L370" s="11">
        <f t="shared" si="13"/>
        <v>102.7778543</v>
      </c>
      <c r="M370" s="12">
        <f>(I370/D370)*100000</f>
        <v>72.74536441</v>
      </c>
      <c r="N370" s="11">
        <f>(K370/D370)*100000</f>
        <v>141.4863968</v>
      </c>
      <c r="O370" s="19">
        <v>8.11</v>
      </c>
      <c r="P370" s="8">
        <f t="shared" si="1106"/>
        <v>426.5310953</v>
      </c>
      <c r="Q370" s="19">
        <v>3.08</v>
      </c>
      <c r="R370" s="8">
        <f t="shared" si="1107"/>
        <v>161.9871484</v>
      </c>
      <c r="S370" s="19">
        <v>28.49</v>
      </c>
      <c r="T370" s="11">
        <f t="shared" si="1108"/>
        <v>1498.381123</v>
      </c>
      <c r="U370" s="11">
        <f>(P370/D370)*100000</f>
        <v>270.6261034</v>
      </c>
      <c r="V370" s="11">
        <f>(R370/D370)*100000</f>
        <v>102.7778543</v>
      </c>
      <c r="W370" s="11">
        <f>(T370/D370)*100000</f>
        <v>950.6951524</v>
      </c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hidden="1">
      <c r="A371" s="24" t="s">
        <v>25</v>
      </c>
      <c r="B371" s="16" t="s">
        <v>121</v>
      </c>
      <c r="C371" s="23">
        <v>2030.0</v>
      </c>
      <c r="D371" s="17">
        <f>85501+87919</f>
        <v>173420</v>
      </c>
      <c r="E371" s="10">
        <v>6366291.0</v>
      </c>
      <c r="F371" s="19">
        <v>3.08</v>
      </c>
      <c r="G371" s="10">
        <f t="shared" si="1"/>
        <v>196.0817628</v>
      </c>
      <c r="H371" s="19">
        <v>2.18</v>
      </c>
      <c r="I371" s="8">
        <f t="shared" si="2"/>
        <v>138.7851438</v>
      </c>
      <c r="J371" s="19">
        <v>4.24</v>
      </c>
      <c r="K371" s="11">
        <f t="shared" si="3"/>
        <v>269.9307384</v>
      </c>
      <c r="L371" s="11">
        <f t="shared" si="13"/>
        <v>113.0675601</v>
      </c>
      <c r="M371" s="11">
        <f t="shared" ref="M371:M373" si="1109">(I371*D371)/100000</f>
        <v>240.6811964</v>
      </c>
      <c r="N371" s="11">
        <f t="shared" ref="N371:N373" si="1110">(K371*D371)/100000</f>
        <v>468.1138865</v>
      </c>
      <c r="O371" s="19">
        <v>8.11</v>
      </c>
      <c r="P371" s="19"/>
      <c r="Q371" s="19">
        <v>3.08</v>
      </c>
      <c r="R371" s="19"/>
      <c r="S371" s="19">
        <v>28.49</v>
      </c>
      <c r="T371" s="14"/>
      <c r="U371" s="14">
        <f t="shared" ref="U371:U373" si="1111">(O371*D371)/100000</f>
        <v>14.064362</v>
      </c>
      <c r="V371" s="14">
        <f t="shared" ref="V371:V373" si="1112">(Q371*D371)/100000</f>
        <v>5.341336</v>
      </c>
      <c r="W371" s="14">
        <f t="shared" ref="W371:W373" si="1113">(S371*D371)/100000</f>
        <v>49.407358</v>
      </c>
      <c r="X371" s="13"/>
      <c r="Y371" s="13"/>
      <c r="Z371" s="13" t="str">
        <f t="shared" ref="Z371:Z372" si="1114">ROUND(F371, 0) &amp; " (" &amp; ROUND(H371, 0) &amp; "-" &amp; ROUND(J371, 0) &amp; ")"</f>
        <v>3 (2-4)</v>
      </c>
      <c r="AA371" s="13" t="str">
        <f t="shared" ref="AA371:AA372" si="1115">ROUND(L371, 0) &amp; " (" &amp; ROUND(M371, 0) &amp; "-" &amp; ROUND(N371, 0) &amp; ")"</f>
        <v>113 (241-468)</v>
      </c>
      <c r="AB371" s="13" t="str">
        <f t="shared" ref="AB371:AB372" si="1116">ROUND(O371, 0) &amp; " (" &amp; ROUND(Q371, 0) &amp; "-" &amp; ROUND(S371, 0) &amp; ")"</f>
        <v>8 (3-28)</v>
      </c>
      <c r="AC371" s="13" t="str">
        <f t="shared" ref="AC371:AC372" si="1117">ROUND(U371, 0) &amp; " (" &amp; ROUND(V371, 0) &amp; "-" &amp; ROUND(W371, 0) &amp; ")"</f>
        <v>14 (5-49)</v>
      </c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hidden="1">
      <c r="A372" s="24" t="s">
        <v>27</v>
      </c>
      <c r="B372" s="16" t="s">
        <v>121</v>
      </c>
      <c r="C372" s="23">
        <v>2040.0</v>
      </c>
      <c r="D372" s="17">
        <f>90893+93387</f>
        <v>184280</v>
      </c>
      <c r="E372" s="10">
        <v>7681688.0</v>
      </c>
      <c r="F372" s="19">
        <v>3.08</v>
      </c>
      <c r="G372" s="10">
        <f t="shared" si="1"/>
        <v>236.5959904</v>
      </c>
      <c r="H372" s="19">
        <v>2.18</v>
      </c>
      <c r="I372" s="8">
        <f t="shared" si="2"/>
        <v>167.4607984</v>
      </c>
      <c r="J372" s="19">
        <v>4.24</v>
      </c>
      <c r="K372" s="11">
        <f t="shared" si="3"/>
        <v>325.7035712</v>
      </c>
      <c r="L372" s="11">
        <f t="shared" si="13"/>
        <v>128.3894022</v>
      </c>
      <c r="M372" s="11">
        <f t="shared" si="1109"/>
        <v>308.5967593</v>
      </c>
      <c r="N372" s="11">
        <f t="shared" si="1110"/>
        <v>600.206541</v>
      </c>
      <c r="O372" s="19">
        <v>8.11</v>
      </c>
      <c r="P372" s="19"/>
      <c r="Q372" s="19">
        <v>3.08</v>
      </c>
      <c r="R372" s="19"/>
      <c r="S372" s="19">
        <v>28.49</v>
      </c>
      <c r="T372" s="14"/>
      <c r="U372" s="14">
        <f t="shared" si="1111"/>
        <v>14.945108</v>
      </c>
      <c r="V372" s="14">
        <f t="shared" si="1112"/>
        <v>5.675824</v>
      </c>
      <c r="W372" s="14">
        <f t="shared" si="1113"/>
        <v>52.501372</v>
      </c>
      <c r="X372" s="13"/>
      <c r="Y372" s="13"/>
      <c r="Z372" s="13" t="str">
        <f t="shared" si="1114"/>
        <v>3 (2-4)</v>
      </c>
      <c r="AA372" s="13" t="str">
        <f t="shared" si="1115"/>
        <v>128 (309-600)</v>
      </c>
      <c r="AB372" s="13" t="str">
        <f t="shared" si="1116"/>
        <v>8 (3-28)</v>
      </c>
      <c r="AC372" s="13" t="str">
        <f t="shared" si="1117"/>
        <v>15 (6-53)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hidden="1">
      <c r="A373" s="24" t="s">
        <v>29</v>
      </c>
      <c r="B373" s="16" t="s">
        <v>121</v>
      </c>
      <c r="C373" s="23">
        <v>2050.0</v>
      </c>
      <c r="D373" s="17">
        <f>92298+94781</f>
        <v>187079</v>
      </c>
      <c r="E373" s="10">
        <v>8910530.0</v>
      </c>
      <c r="F373" s="19">
        <v>3.08</v>
      </c>
      <c r="G373" s="10">
        <f t="shared" si="1"/>
        <v>274.444324</v>
      </c>
      <c r="H373" s="19">
        <v>2.18</v>
      </c>
      <c r="I373" s="8">
        <f t="shared" si="2"/>
        <v>194.249554</v>
      </c>
      <c r="J373" s="19">
        <v>4.24</v>
      </c>
      <c r="K373" s="11">
        <f t="shared" si="3"/>
        <v>377.806472</v>
      </c>
      <c r="L373" s="11">
        <f t="shared" si="13"/>
        <v>146.6996959</v>
      </c>
      <c r="M373" s="11">
        <f t="shared" si="1109"/>
        <v>363.4001231</v>
      </c>
      <c r="N373" s="11">
        <f t="shared" si="1110"/>
        <v>706.7965698</v>
      </c>
      <c r="O373" s="19">
        <v>8.11</v>
      </c>
      <c r="P373" s="8">
        <f t="shared" ref="P373:P374" si="1118">(O373/100000)*E373</f>
        <v>722.643983</v>
      </c>
      <c r="Q373" s="19">
        <v>3.08</v>
      </c>
      <c r="R373" s="8">
        <f t="shared" ref="R373:R374" si="1119">(Q373/100000)*E373</f>
        <v>274.444324</v>
      </c>
      <c r="S373" s="19">
        <v>28.49</v>
      </c>
      <c r="T373" s="11">
        <f t="shared" ref="T373:T374" si="1120">(S373/100000)*E373</f>
        <v>2538.609997</v>
      </c>
      <c r="U373" s="14">
        <f t="shared" si="1111"/>
        <v>15.1721069</v>
      </c>
      <c r="V373" s="14">
        <f t="shared" si="1112"/>
        <v>5.7620332</v>
      </c>
      <c r="W373" s="14">
        <f t="shared" si="1113"/>
        <v>53.2988071</v>
      </c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>
      <c r="A374" s="24" t="s">
        <v>23</v>
      </c>
      <c r="B374" s="16" t="s">
        <v>122</v>
      </c>
      <c r="C374" s="20">
        <v>2021.0</v>
      </c>
      <c r="D374" s="17">
        <f>433279+422351.5</f>
        <v>855630.5</v>
      </c>
      <c r="E374" s="18">
        <v>2.238863E7</v>
      </c>
      <c r="F374" s="19">
        <v>7.22</v>
      </c>
      <c r="G374" s="10">
        <f t="shared" si="1"/>
        <v>1616.459086</v>
      </c>
      <c r="H374" s="19">
        <v>4.98</v>
      </c>
      <c r="I374" s="8">
        <f t="shared" si="2"/>
        <v>1114.953774</v>
      </c>
      <c r="J374" s="19">
        <v>9.85</v>
      </c>
      <c r="K374" s="11">
        <f t="shared" si="3"/>
        <v>2205.280055</v>
      </c>
      <c r="L374" s="11">
        <f t="shared" si="13"/>
        <v>188.9202274</v>
      </c>
      <c r="M374" s="12">
        <f>(I374/D374)*100000</f>
        <v>130.3078577</v>
      </c>
      <c r="N374" s="11">
        <f>(K374/D374)*100000</f>
        <v>257.7374293</v>
      </c>
      <c r="O374" s="19">
        <v>18.83</v>
      </c>
      <c r="P374" s="8">
        <f t="shared" si="1118"/>
        <v>4215.779029</v>
      </c>
      <c r="Q374" s="19">
        <v>3.87</v>
      </c>
      <c r="R374" s="8">
        <f t="shared" si="1119"/>
        <v>866.439981</v>
      </c>
      <c r="S374" s="19">
        <v>107.66</v>
      </c>
      <c r="T374" s="11">
        <f t="shared" si="1120"/>
        <v>24103.59906</v>
      </c>
      <c r="U374" s="11">
        <f>(P374/D374)*100000</f>
        <v>492.7102329</v>
      </c>
      <c r="V374" s="11">
        <f>(R374/D374)*100000</f>
        <v>101.2633352</v>
      </c>
      <c r="W374" s="11">
        <f>(T374/D374)*100000</f>
        <v>2817.057019</v>
      </c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hidden="1">
      <c r="A375" s="24" t="s">
        <v>25</v>
      </c>
      <c r="B375" s="16" t="s">
        <v>122</v>
      </c>
      <c r="C375" s="23">
        <v>2030.0</v>
      </c>
      <c r="D375" s="17">
        <f>506612+518597</f>
        <v>1025209</v>
      </c>
      <c r="E375" s="10">
        <v>2.9002865E7</v>
      </c>
      <c r="F375" s="19">
        <v>7.22</v>
      </c>
      <c r="G375" s="10">
        <f t="shared" si="1"/>
        <v>2094.006853</v>
      </c>
      <c r="H375" s="19">
        <v>4.98</v>
      </c>
      <c r="I375" s="8">
        <f t="shared" si="2"/>
        <v>1444.342677</v>
      </c>
      <c r="J375" s="19">
        <v>9.85</v>
      </c>
      <c r="K375" s="11">
        <f t="shared" si="3"/>
        <v>2856.782203</v>
      </c>
      <c r="L375" s="11">
        <f t="shared" si="13"/>
        <v>204.2517041</v>
      </c>
      <c r="M375" s="11">
        <f t="shared" ref="M375:M377" si="1121">(I375*D375)/100000</f>
        <v>14807.53112</v>
      </c>
      <c r="N375" s="11">
        <f t="shared" ref="N375:N377" si="1122">(K375*D375)/100000</f>
        <v>29287.98825</v>
      </c>
      <c r="O375" s="19">
        <v>18.83</v>
      </c>
      <c r="P375" s="19"/>
      <c r="Q375" s="19">
        <v>3.87</v>
      </c>
      <c r="R375" s="19"/>
      <c r="S375" s="19">
        <v>107.66</v>
      </c>
      <c r="T375" s="14"/>
      <c r="U375" s="14">
        <f t="shared" ref="U375:U377" si="1123">(O375*D375)/100000</f>
        <v>193.0468547</v>
      </c>
      <c r="V375" s="14">
        <f t="shared" ref="V375:V377" si="1124">(Q375*D375)/100000</f>
        <v>39.6755883</v>
      </c>
      <c r="W375" s="14">
        <f t="shared" ref="W375:W377" si="1125">(S375*D375)/100000</f>
        <v>1103.740009</v>
      </c>
      <c r="X375" s="13"/>
      <c r="Y375" s="13"/>
      <c r="Z375" s="13" t="str">
        <f t="shared" ref="Z375:Z376" si="1126">ROUND(F375, 0) &amp; " (" &amp; ROUND(H375, 0) &amp; "-" &amp; ROUND(J375, 0) &amp; ")"</f>
        <v>7 (5-10)</v>
      </c>
      <c r="AA375" s="13" t="str">
        <f t="shared" ref="AA375:AA376" si="1127">ROUND(L375, 0) &amp; " (" &amp; ROUND(M375, 0) &amp; "-" &amp; ROUND(N375, 0) &amp; ")"</f>
        <v>204 (14808-29288)</v>
      </c>
      <c r="AB375" s="13" t="str">
        <f t="shared" ref="AB375:AB376" si="1128">ROUND(O375, 0) &amp; " (" &amp; ROUND(Q375, 0) &amp; "-" &amp; ROUND(S375, 0) &amp; ")"</f>
        <v>19 (4-108)</v>
      </c>
      <c r="AC375" s="13" t="str">
        <f t="shared" ref="AC375:AC376" si="1129">ROUND(U375, 0) &amp; " (" &amp; ROUND(V375, 0) &amp; "-" &amp; ROUND(W375, 0) &amp; ")"</f>
        <v>193 (40-1104)</v>
      </c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hidden="1">
      <c r="A376" s="24" t="s">
        <v>27</v>
      </c>
      <c r="B376" s="16" t="s">
        <v>122</v>
      </c>
      <c r="C376" s="23">
        <v>2040.0</v>
      </c>
      <c r="D376" s="17">
        <f>570538+583551</f>
        <v>1154089</v>
      </c>
      <c r="E376" s="10">
        <v>3.7413643E7</v>
      </c>
      <c r="F376" s="19">
        <v>7.22</v>
      </c>
      <c r="G376" s="10">
        <f t="shared" si="1"/>
        <v>2701.265025</v>
      </c>
      <c r="H376" s="19">
        <v>4.98</v>
      </c>
      <c r="I376" s="8">
        <f t="shared" si="2"/>
        <v>1863.199421</v>
      </c>
      <c r="J376" s="19">
        <v>9.85</v>
      </c>
      <c r="K376" s="11">
        <f t="shared" si="3"/>
        <v>3685.243836</v>
      </c>
      <c r="L376" s="11">
        <f t="shared" si="13"/>
        <v>234.0603736</v>
      </c>
      <c r="M376" s="11">
        <f t="shared" si="1121"/>
        <v>21502.97957</v>
      </c>
      <c r="N376" s="11">
        <f t="shared" si="1122"/>
        <v>42530.99373</v>
      </c>
      <c r="O376" s="19">
        <v>18.83</v>
      </c>
      <c r="P376" s="19"/>
      <c r="Q376" s="19">
        <v>3.87</v>
      </c>
      <c r="R376" s="19"/>
      <c r="S376" s="19">
        <v>107.66</v>
      </c>
      <c r="T376" s="14"/>
      <c r="U376" s="14">
        <f t="shared" si="1123"/>
        <v>217.3149587</v>
      </c>
      <c r="V376" s="14">
        <f t="shared" si="1124"/>
        <v>44.6632443</v>
      </c>
      <c r="W376" s="14">
        <f t="shared" si="1125"/>
        <v>1242.492217</v>
      </c>
      <c r="X376" s="13"/>
      <c r="Y376" s="13"/>
      <c r="Z376" s="13" t="str">
        <f t="shared" si="1126"/>
        <v>7 (5-10)</v>
      </c>
      <c r="AA376" s="13" t="str">
        <f t="shared" si="1127"/>
        <v>234 (21503-42531)</v>
      </c>
      <c r="AB376" s="13" t="str">
        <f t="shared" si="1128"/>
        <v>19 (4-108)</v>
      </c>
      <c r="AC376" s="13" t="str">
        <f t="shared" si="1129"/>
        <v>217 (45-1242)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hidden="1">
      <c r="A377" s="24" t="s">
        <v>29</v>
      </c>
      <c r="B377" s="16" t="s">
        <v>122</v>
      </c>
      <c r="C377" s="23">
        <v>2050.0</v>
      </c>
      <c r="D377" s="17">
        <f>606298+619806</f>
        <v>1226104</v>
      </c>
      <c r="E377" s="10">
        <v>4.6154079E7</v>
      </c>
      <c r="F377" s="19">
        <v>7.22</v>
      </c>
      <c r="G377" s="10">
        <f t="shared" si="1"/>
        <v>3332.324504</v>
      </c>
      <c r="H377" s="19">
        <v>4.98</v>
      </c>
      <c r="I377" s="8">
        <f t="shared" si="2"/>
        <v>2298.473134</v>
      </c>
      <c r="J377" s="19">
        <v>9.85</v>
      </c>
      <c r="K377" s="11">
        <f t="shared" si="3"/>
        <v>4546.176782</v>
      </c>
      <c r="L377" s="11">
        <f t="shared" si="13"/>
        <v>271.7815539</v>
      </c>
      <c r="M377" s="11">
        <f t="shared" si="1121"/>
        <v>28181.67104</v>
      </c>
      <c r="N377" s="11">
        <f t="shared" si="1122"/>
        <v>55740.85537</v>
      </c>
      <c r="O377" s="19">
        <v>18.83</v>
      </c>
      <c r="P377" s="8">
        <f t="shared" ref="P377:P378" si="1130">(O377/100000)*E377</f>
        <v>8690.813076</v>
      </c>
      <c r="Q377" s="19">
        <v>3.87</v>
      </c>
      <c r="R377" s="8">
        <f t="shared" ref="R377:R378" si="1131">(Q377/100000)*E377</f>
        <v>1786.162857</v>
      </c>
      <c r="S377" s="19">
        <v>107.66</v>
      </c>
      <c r="T377" s="11">
        <f t="shared" ref="T377:T378" si="1132">(S377/100000)*E377</f>
        <v>49689.48145</v>
      </c>
      <c r="U377" s="14">
        <f t="shared" si="1123"/>
        <v>230.8753832</v>
      </c>
      <c r="V377" s="14">
        <f t="shared" si="1124"/>
        <v>47.4502248</v>
      </c>
      <c r="W377" s="14">
        <f t="shared" si="1125"/>
        <v>1320.023566</v>
      </c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>
      <c r="A378" s="24" t="s">
        <v>23</v>
      </c>
      <c r="B378" s="16" t="s">
        <v>123</v>
      </c>
      <c r="C378" s="20">
        <v>2021.0</v>
      </c>
      <c r="D378" s="17">
        <f>81647+79556</f>
        <v>161203</v>
      </c>
      <c r="E378" s="18">
        <v>4734874.0</v>
      </c>
      <c r="F378" s="19">
        <v>3.81</v>
      </c>
      <c r="G378" s="10">
        <f t="shared" si="1"/>
        <v>180.3986994</v>
      </c>
      <c r="H378" s="19">
        <v>2.57</v>
      </c>
      <c r="I378" s="8">
        <f t="shared" si="2"/>
        <v>121.6862618</v>
      </c>
      <c r="J378" s="19">
        <v>5.27</v>
      </c>
      <c r="K378" s="11">
        <f t="shared" si="3"/>
        <v>249.5278598</v>
      </c>
      <c r="L378" s="11">
        <f t="shared" si="13"/>
        <v>111.9077805</v>
      </c>
      <c r="M378" s="12">
        <f>(I378/D378)*100000</f>
        <v>75.48635063</v>
      </c>
      <c r="N378" s="11">
        <f>(K378/D378)*100000</f>
        <v>154.791077</v>
      </c>
      <c r="O378" s="19">
        <v>5.13</v>
      </c>
      <c r="P378" s="8">
        <f t="shared" si="1130"/>
        <v>242.8990362</v>
      </c>
      <c r="Q378" s="19">
        <v>2.62</v>
      </c>
      <c r="R378" s="8">
        <f t="shared" si="1131"/>
        <v>124.0536988</v>
      </c>
      <c r="S378" s="19">
        <v>12.19</v>
      </c>
      <c r="T378" s="11">
        <f t="shared" si="1132"/>
        <v>577.1811406</v>
      </c>
      <c r="U378" s="11">
        <f>(P378/D378)*100000</f>
        <v>150.67898</v>
      </c>
      <c r="V378" s="11">
        <f>(R378/D378)*100000</f>
        <v>76.95495667</v>
      </c>
      <c r="W378" s="11">
        <f>(T378/D378)*100000</f>
        <v>358.0461534</v>
      </c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 hidden="1">
      <c r="A379" s="24" t="s">
        <v>25</v>
      </c>
      <c r="B379" s="16" t="s">
        <v>123</v>
      </c>
      <c r="C379" s="23">
        <v>2030.0</v>
      </c>
      <c r="D379" s="17">
        <f>92146+94564</f>
        <v>186710</v>
      </c>
      <c r="E379" s="10">
        <v>6062528.0</v>
      </c>
      <c r="F379" s="19">
        <v>3.81</v>
      </c>
      <c r="G379" s="10">
        <f t="shared" si="1"/>
        <v>230.9823168</v>
      </c>
      <c r="H379" s="19">
        <v>2.57</v>
      </c>
      <c r="I379" s="8">
        <f t="shared" si="2"/>
        <v>155.8069696</v>
      </c>
      <c r="J379" s="19">
        <v>5.27</v>
      </c>
      <c r="K379" s="11">
        <f t="shared" si="3"/>
        <v>319.4952256</v>
      </c>
      <c r="L379" s="11">
        <f t="shared" si="13"/>
        <v>123.711808</v>
      </c>
      <c r="M379" s="11">
        <f t="shared" ref="M379:M381" si="1133">(I379*D379)/100000</f>
        <v>290.9071929</v>
      </c>
      <c r="N379" s="11">
        <f t="shared" ref="N379:N381" si="1134">(K379*D379)/100000</f>
        <v>596.5295357</v>
      </c>
      <c r="O379" s="19">
        <v>5.13</v>
      </c>
      <c r="P379" s="19"/>
      <c r="Q379" s="19">
        <v>2.62</v>
      </c>
      <c r="R379" s="19"/>
      <c r="S379" s="19">
        <v>12.19</v>
      </c>
      <c r="T379" s="14"/>
      <c r="U379" s="14">
        <f t="shared" ref="U379:U381" si="1135">(O379*D379)/100000</f>
        <v>9.578223</v>
      </c>
      <c r="V379" s="14">
        <f t="shared" ref="V379:V381" si="1136">(Q379*D379)/100000</f>
        <v>4.891802</v>
      </c>
      <c r="W379" s="14">
        <f t="shared" ref="W379:W381" si="1137">(S379*D379)/100000</f>
        <v>22.759949</v>
      </c>
      <c r="X379" s="13"/>
      <c r="Y379" s="13"/>
      <c r="Z379" s="13" t="str">
        <f t="shared" ref="Z379:Z380" si="1138">ROUND(F379, 0) &amp; " (" &amp; ROUND(H379, 0) &amp; "-" &amp; ROUND(J379, 0) &amp; ")"</f>
        <v>4 (3-5)</v>
      </c>
      <c r="AA379" s="13" t="str">
        <f t="shared" ref="AA379:AA380" si="1139">ROUND(L379, 0) &amp; " (" &amp; ROUND(M379, 0) &amp; "-" &amp; ROUND(N379, 0) &amp; ")"</f>
        <v>124 (291-597)</v>
      </c>
      <c r="AB379" s="13" t="str">
        <f t="shared" ref="AB379:AB380" si="1140">ROUND(O379, 0) &amp; " (" &amp; ROUND(Q379, 0) &amp; "-" &amp; ROUND(S379, 0) &amp; ")"</f>
        <v>5 (3-12)</v>
      </c>
      <c r="AC379" s="13" t="str">
        <f t="shared" ref="AC379:AC380" si="1141">ROUND(U379, 0) &amp; " (" &amp; ROUND(V379, 0) &amp; "-" &amp; ROUND(W379, 0) &amp; ")"</f>
        <v>10 (5-23)</v>
      </c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hidden="1">
      <c r="A380" s="24" t="s">
        <v>27</v>
      </c>
      <c r="B380" s="16" t="s">
        <v>123</v>
      </c>
      <c r="C380" s="23">
        <v>2040.0</v>
      </c>
      <c r="D380" s="17">
        <f>103147+105812</f>
        <v>208959</v>
      </c>
      <c r="E380" s="10">
        <v>7681908.0</v>
      </c>
      <c r="F380" s="19">
        <v>3.81</v>
      </c>
      <c r="G380" s="10">
        <f t="shared" si="1"/>
        <v>292.6806948</v>
      </c>
      <c r="H380" s="19">
        <v>2.57</v>
      </c>
      <c r="I380" s="8">
        <f t="shared" si="2"/>
        <v>197.4250356</v>
      </c>
      <c r="J380" s="19">
        <v>5.27</v>
      </c>
      <c r="K380" s="11">
        <f t="shared" si="3"/>
        <v>404.8365516</v>
      </c>
      <c r="L380" s="11">
        <f t="shared" si="13"/>
        <v>140.066087</v>
      </c>
      <c r="M380" s="11">
        <f t="shared" si="1133"/>
        <v>412.5373801</v>
      </c>
      <c r="N380" s="11">
        <f t="shared" si="1134"/>
        <v>845.9424099</v>
      </c>
      <c r="O380" s="19">
        <v>5.13</v>
      </c>
      <c r="P380" s="19"/>
      <c r="Q380" s="19">
        <v>2.62</v>
      </c>
      <c r="R380" s="19"/>
      <c r="S380" s="19">
        <v>12.19</v>
      </c>
      <c r="T380" s="14"/>
      <c r="U380" s="14">
        <f t="shared" si="1135"/>
        <v>10.7195967</v>
      </c>
      <c r="V380" s="14">
        <f t="shared" si="1136"/>
        <v>5.4747258</v>
      </c>
      <c r="W380" s="14">
        <f t="shared" si="1137"/>
        <v>25.4721021</v>
      </c>
      <c r="X380" s="13"/>
      <c r="Y380" s="13"/>
      <c r="Z380" s="13" t="str">
        <f t="shared" si="1138"/>
        <v>4 (3-5)</v>
      </c>
      <c r="AA380" s="13" t="str">
        <f t="shared" si="1139"/>
        <v>140 (413-846)</v>
      </c>
      <c r="AB380" s="13" t="str">
        <f t="shared" si="1140"/>
        <v>5 (3-12)</v>
      </c>
      <c r="AC380" s="13" t="str">
        <f t="shared" si="1141"/>
        <v>11 (5-25)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hidden="1">
      <c r="A381" s="24" t="s">
        <v>29</v>
      </c>
      <c r="B381" s="16" t="s">
        <v>123</v>
      </c>
      <c r="C381" s="23">
        <v>2050.0</v>
      </c>
      <c r="D381" s="17">
        <f>111999+115007</f>
        <v>227006</v>
      </c>
      <c r="E381" s="10">
        <v>9415598.0</v>
      </c>
      <c r="F381" s="19">
        <v>3.81</v>
      </c>
      <c r="G381" s="10">
        <f t="shared" si="1"/>
        <v>358.7342838</v>
      </c>
      <c r="H381" s="19">
        <v>2.57</v>
      </c>
      <c r="I381" s="8">
        <f t="shared" si="2"/>
        <v>241.9808686</v>
      </c>
      <c r="J381" s="19">
        <v>5.27</v>
      </c>
      <c r="K381" s="11">
        <f t="shared" si="3"/>
        <v>496.2020146</v>
      </c>
      <c r="L381" s="11">
        <f t="shared" si="13"/>
        <v>158.0285472</v>
      </c>
      <c r="M381" s="11">
        <f t="shared" si="1133"/>
        <v>549.3110906</v>
      </c>
      <c r="N381" s="11">
        <f t="shared" si="1134"/>
        <v>1126.408345</v>
      </c>
      <c r="O381" s="19">
        <v>5.13</v>
      </c>
      <c r="P381" s="8">
        <f t="shared" ref="P381:P382" si="1142">(O381/100000)*E381</f>
        <v>483.0201774</v>
      </c>
      <c r="Q381" s="19">
        <v>2.62</v>
      </c>
      <c r="R381" s="8">
        <f t="shared" ref="R381:R382" si="1143">(Q381/100000)*E381</f>
        <v>246.6886676</v>
      </c>
      <c r="S381" s="19">
        <v>12.19</v>
      </c>
      <c r="T381" s="11">
        <f t="shared" ref="T381:T382" si="1144">(S381/100000)*E381</f>
        <v>1147.761396</v>
      </c>
      <c r="U381" s="14">
        <f t="shared" si="1135"/>
        <v>11.6454078</v>
      </c>
      <c r="V381" s="14">
        <f t="shared" si="1136"/>
        <v>5.9475572</v>
      </c>
      <c r="W381" s="14">
        <f t="shared" si="1137"/>
        <v>27.6720314</v>
      </c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>
      <c r="A382" s="24" t="s">
        <v>23</v>
      </c>
      <c r="B382" s="16" t="s">
        <v>124</v>
      </c>
      <c r="C382" s="20">
        <v>2021.0</v>
      </c>
      <c r="D382" s="17">
        <f>491917+475642</f>
        <v>967559</v>
      </c>
      <c r="E382" s="18">
        <v>2.450214E7</v>
      </c>
      <c r="F382" s="19">
        <v>7.1</v>
      </c>
      <c r="G382" s="10">
        <f t="shared" si="1"/>
        <v>1739.65194</v>
      </c>
      <c r="H382" s="19">
        <v>4.87</v>
      </c>
      <c r="I382" s="8">
        <f t="shared" si="2"/>
        <v>1193.254218</v>
      </c>
      <c r="J382" s="19">
        <v>9.61</v>
      </c>
      <c r="K382" s="11">
        <f t="shared" si="3"/>
        <v>2354.655654</v>
      </c>
      <c r="L382" s="11">
        <f t="shared" si="13"/>
        <v>179.7980216</v>
      </c>
      <c r="M382" s="12">
        <f>(I382/D382)*100000</f>
        <v>123.3262486</v>
      </c>
      <c r="N382" s="11">
        <f>(K382/D382)*100000</f>
        <v>243.3604208</v>
      </c>
      <c r="O382" s="19">
        <v>14.81</v>
      </c>
      <c r="P382" s="8">
        <f t="shared" si="1142"/>
        <v>3628.766934</v>
      </c>
      <c r="Q382" s="19">
        <v>2.88</v>
      </c>
      <c r="R382" s="8">
        <f t="shared" si="1143"/>
        <v>705.661632</v>
      </c>
      <c r="S382" s="19">
        <v>85.62</v>
      </c>
      <c r="T382" s="11">
        <f t="shared" si="1144"/>
        <v>20978.73227</v>
      </c>
      <c r="U382" s="11">
        <f>(P382/D382)*100000</f>
        <v>375.0434789</v>
      </c>
      <c r="V382" s="11">
        <f>(R382/D382)*100000</f>
        <v>72.93215525</v>
      </c>
      <c r="W382" s="11">
        <f>(T382/D382)*100000</f>
        <v>2168.212199</v>
      </c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hidden="1">
      <c r="A383" s="24" t="s">
        <v>25</v>
      </c>
      <c r="B383" s="16" t="s">
        <v>124</v>
      </c>
      <c r="C383" s="23">
        <v>2030.0</v>
      </c>
      <c r="D383" s="17">
        <f>569678+588811</f>
        <v>1158489</v>
      </c>
      <c r="E383" s="10">
        <v>3.2518075E7</v>
      </c>
      <c r="F383" s="19">
        <v>7.1</v>
      </c>
      <c r="G383" s="10">
        <f t="shared" si="1"/>
        <v>2308.783325</v>
      </c>
      <c r="H383" s="19">
        <v>4.87</v>
      </c>
      <c r="I383" s="8">
        <f t="shared" si="2"/>
        <v>1583.630253</v>
      </c>
      <c r="J383" s="19">
        <v>9.61</v>
      </c>
      <c r="K383" s="11">
        <f t="shared" si="3"/>
        <v>3124.987008</v>
      </c>
      <c r="L383" s="11">
        <f t="shared" si="13"/>
        <v>199.2926411</v>
      </c>
      <c r="M383" s="11">
        <f t="shared" ref="M383:M385" si="1145">(I383*D383)/100000</f>
        <v>18346.18228</v>
      </c>
      <c r="N383" s="11">
        <f t="shared" ref="N383:N385" si="1146">(K383*D383)/100000</f>
        <v>36202.63073</v>
      </c>
      <c r="O383" s="19">
        <v>14.81</v>
      </c>
      <c r="P383" s="19"/>
      <c r="Q383" s="19">
        <v>2.88</v>
      </c>
      <c r="R383" s="19"/>
      <c r="S383" s="19">
        <v>85.62</v>
      </c>
      <c r="T383" s="14"/>
      <c r="U383" s="14">
        <f t="shared" ref="U383:U385" si="1147">(O383*D383)/100000</f>
        <v>171.5722209</v>
      </c>
      <c r="V383" s="14">
        <f t="shared" ref="V383:V385" si="1148">(Q383*D383)/100000</f>
        <v>33.3644832</v>
      </c>
      <c r="W383" s="14">
        <f t="shared" ref="W383:W385" si="1149">(S383*D383)/100000</f>
        <v>991.8982818</v>
      </c>
      <c r="X383" s="13"/>
      <c r="Y383" s="13"/>
      <c r="Z383" s="13" t="str">
        <f t="shared" ref="Z383:Z384" si="1150">ROUND(F383, 0) &amp; " (" &amp; ROUND(H383, 0) &amp; "-" &amp; ROUND(J383, 0) &amp; ")"</f>
        <v>7 (5-10)</v>
      </c>
      <c r="AA383" s="13" t="str">
        <f t="shared" ref="AA383:AA384" si="1151">ROUND(L383, 0) &amp; " (" &amp; ROUND(M383, 0) &amp; "-" &amp; ROUND(N383, 0) &amp; ")"</f>
        <v>199 (18346-36203)</v>
      </c>
      <c r="AB383" s="13" t="str">
        <f t="shared" ref="AB383:AB384" si="1152">ROUND(O383, 0) &amp; " (" &amp; ROUND(Q383, 0) &amp; "-" &amp; ROUND(S383, 0) &amp; ")"</f>
        <v>15 (3-86)</v>
      </c>
      <c r="AC383" s="13" t="str">
        <f t="shared" ref="AC383:AC384" si="1153">ROUND(U383, 0) &amp; " (" &amp; ROUND(V383, 0) &amp; "-" &amp; ROUND(W383, 0) &amp; ")"</f>
        <v>172 (33-992)</v>
      </c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hidden="1">
      <c r="A384" s="24" t="s">
        <v>27</v>
      </c>
      <c r="B384" s="16" t="s">
        <v>124</v>
      </c>
      <c r="C384" s="23">
        <v>2040.0</v>
      </c>
      <c r="D384" s="17">
        <f>617467+637804</f>
        <v>1255271</v>
      </c>
      <c r="E384" s="10">
        <v>4.231674E7</v>
      </c>
      <c r="F384" s="19">
        <v>7.1</v>
      </c>
      <c r="G384" s="10">
        <f t="shared" si="1"/>
        <v>3004.48854</v>
      </c>
      <c r="H384" s="19">
        <v>4.87</v>
      </c>
      <c r="I384" s="8">
        <f t="shared" si="2"/>
        <v>2060.825238</v>
      </c>
      <c r="J384" s="19">
        <v>9.61</v>
      </c>
      <c r="K384" s="11">
        <f t="shared" si="3"/>
        <v>4066.638714</v>
      </c>
      <c r="L384" s="11">
        <f t="shared" si="13"/>
        <v>239.349793</v>
      </c>
      <c r="M384" s="11">
        <f t="shared" si="1145"/>
        <v>25868.94157</v>
      </c>
      <c r="N384" s="11">
        <f t="shared" si="1146"/>
        <v>51047.33645</v>
      </c>
      <c r="O384" s="19">
        <v>14.81</v>
      </c>
      <c r="P384" s="19"/>
      <c r="Q384" s="19">
        <v>2.88</v>
      </c>
      <c r="R384" s="19"/>
      <c r="S384" s="19">
        <v>85.62</v>
      </c>
      <c r="T384" s="14"/>
      <c r="U384" s="14">
        <f t="shared" si="1147"/>
        <v>185.9056351</v>
      </c>
      <c r="V384" s="14">
        <f t="shared" si="1148"/>
        <v>36.1518048</v>
      </c>
      <c r="W384" s="14">
        <f t="shared" si="1149"/>
        <v>1074.76303</v>
      </c>
      <c r="X384" s="13"/>
      <c r="Y384" s="13"/>
      <c r="Z384" s="13" t="str">
        <f t="shared" si="1150"/>
        <v>7 (5-10)</v>
      </c>
      <c r="AA384" s="13" t="str">
        <f t="shared" si="1151"/>
        <v>239 (25869-51047)</v>
      </c>
      <c r="AB384" s="13" t="str">
        <f t="shared" si="1152"/>
        <v>15 (3-86)</v>
      </c>
      <c r="AC384" s="13" t="str">
        <f t="shared" si="1153"/>
        <v>186 (36-1075)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hidden="1">
      <c r="A385" s="24" t="s">
        <v>29</v>
      </c>
      <c r="B385" s="16" t="s">
        <v>124</v>
      </c>
      <c r="C385" s="23">
        <v>2050.0</v>
      </c>
      <c r="D385" s="17">
        <f>658197+679344</f>
        <v>1337541</v>
      </c>
      <c r="E385" s="10">
        <v>5.2513876E7</v>
      </c>
      <c r="F385" s="19">
        <v>7.1</v>
      </c>
      <c r="G385" s="10">
        <f t="shared" si="1"/>
        <v>3728.485196</v>
      </c>
      <c r="H385" s="19">
        <v>4.87</v>
      </c>
      <c r="I385" s="8">
        <f t="shared" si="2"/>
        <v>2557.425761</v>
      </c>
      <c r="J385" s="19">
        <v>9.61</v>
      </c>
      <c r="K385" s="11">
        <f t="shared" si="3"/>
        <v>5046.583484</v>
      </c>
      <c r="L385" s="11">
        <f t="shared" si="13"/>
        <v>278.7567032</v>
      </c>
      <c r="M385" s="11">
        <f t="shared" si="1145"/>
        <v>34206.6181</v>
      </c>
      <c r="N385" s="11">
        <f t="shared" si="1146"/>
        <v>67500.12319</v>
      </c>
      <c r="O385" s="19">
        <v>14.81</v>
      </c>
      <c r="P385" s="8">
        <f t="shared" ref="P385:P386" si="1154">(O385/100000)*E385</f>
        <v>7777.305036</v>
      </c>
      <c r="Q385" s="19">
        <v>2.88</v>
      </c>
      <c r="R385" s="8">
        <f t="shared" ref="R385:R386" si="1155">(Q385/100000)*E385</f>
        <v>1512.399629</v>
      </c>
      <c r="S385" s="19">
        <v>85.62</v>
      </c>
      <c r="T385" s="11">
        <f t="shared" ref="T385:T386" si="1156">(S385/100000)*E385</f>
        <v>44962.38063</v>
      </c>
      <c r="U385" s="14">
        <f t="shared" si="1147"/>
        <v>198.0898221</v>
      </c>
      <c r="V385" s="14">
        <f t="shared" si="1148"/>
        <v>38.5211808</v>
      </c>
      <c r="W385" s="14">
        <f t="shared" si="1149"/>
        <v>1145.202604</v>
      </c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>
      <c r="A386" s="24" t="s">
        <v>23</v>
      </c>
      <c r="B386" s="16" t="s">
        <v>125</v>
      </c>
      <c r="C386" s="20">
        <v>2021.0</v>
      </c>
      <c r="D386" s="17">
        <f>3491086.5+3386811</f>
        <v>6877897.5</v>
      </c>
      <c r="E386" s="18">
        <v>2.18529286E8</v>
      </c>
      <c r="F386" s="19">
        <v>4.64</v>
      </c>
      <c r="G386" s="10">
        <f t="shared" si="1"/>
        <v>10139.75887</v>
      </c>
      <c r="H386" s="19">
        <v>3.27</v>
      </c>
      <c r="I386" s="8">
        <f t="shared" si="2"/>
        <v>7145.907652</v>
      </c>
      <c r="J386" s="19">
        <v>6.28</v>
      </c>
      <c r="K386" s="11">
        <f t="shared" si="3"/>
        <v>13723.63916</v>
      </c>
      <c r="L386" s="11">
        <f t="shared" si="13"/>
        <v>147.4252687</v>
      </c>
      <c r="M386" s="12">
        <f>(I386/D386)*100000</f>
        <v>103.8966872</v>
      </c>
      <c r="N386" s="11">
        <f>(K386/D386)*100000</f>
        <v>199.5324757</v>
      </c>
      <c r="O386" s="19">
        <v>9.07</v>
      </c>
      <c r="P386" s="8">
        <f t="shared" si="1154"/>
        <v>19820.60624</v>
      </c>
      <c r="Q386" s="19">
        <v>3.66</v>
      </c>
      <c r="R386" s="8">
        <f t="shared" si="1155"/>
        <v>7998.171868</v>
      </c>
      <c r="S386" s="19">
        <v>31.1</v>
      </c>
      <c r="T386" s="11">
        <f t="shared" si="1156"/>
        <v>67962.60795</v>
      </c>
      <c r="U386" s="11">
        <f>(P386/D386)*100000</f>
        <v>288.1782731</v>
      </c>
      <c r="V386" s="11">
        <f>(R386/D386)*100000</f>
        <v>116.2880352</v>
      </c>
      <c r="W386" s="11">
        <f>(T386/D386)*100000</f>
        <v>988.1305725</v>
      </c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hidden="1">
      <c r="A387" s="24" t="s">
        <v>25</v>
      </c>
      <c r="B387" s="16" t="s">
        <v>125</v>
      </c>
      <c r="C387" s="23">
        <v>2030.0</v>
      </c>
      <c r="D387" s="17">
        <f>3709857+3822261</f>
        <v>7532118</v>
      </c>
      <c r="E387" s="10">
        <v>2.6238097E8</v>
      </c>
      <c r="F387" s="19">
        <v>4.64</v>
      </c>
      <c r="G387" s="10">
        <f t="shared" si="1"/>
        <v>12174.47701</v>
      </c>
      <c r="H387" s="19">
        <v>3.27</v>
      </c>
      <c r="I387" s="8">
        <f t="shared" si="2"/>
        <v>8579.857719</v>
      </c>
      <c r="J387" s="19">
        <v>6.28</v>
      </c>
      <c r="K387" s="11">
        <f t="shared" si="3"/>
        <v>16477.52492</v>
      </c>
      <c r="L387" s="11">
        <f t="shared" si="13"/>
        <v>161.6341779</v>
      </c>
      <c r="M387" s="11">
        <f t="shared" ref="M387:M389" si="1157">(I387*D387)/100000</f>
        <v>646245.0076</v>
      </c>
      <c r="N387" s="11">
        <f t="shared" ref="N387:N389" si="1158">(K387*D387)/100000</f>
        <v>1241106.62</v>
      </c>
      <c r="O387" s="19">
        <v>9.07</v>
      </c>
      <c r="P387" s="19"/>
      <c r="Q387" s="19">
        <v>3.66</v>
      </c>
      <c r="R387" s="19"/>
      <c r="S387" s="19">
        <v>31.1</v>
      </c>
      <c r="T387" s="14"/>
      <c r="U387" s="14">
        <f t="shared" ref="U387:U389" si="1159">(O387*D387)/100000</f>
        <v>683.1631026</v>
      </c>
      <c r="V387" s="14">
        <f t="shared" ref="V387:V389" si="1160">(Q387*D387)/100000</f>
        <v>275.6755188</v>
      </c>
      <c r="W387" s="14">
        <f t="shared" ref="W387:W389" si="1161">(S387*D387)/100000</f>
        <v>2342.488698</v>
      </c>
      <c r="X387" s="13"/>
      <c r="Y387" s="13"/>
      <c r="Z387" s="13" t="str">
        <f t="shared" ref="Z387:Z388" si="1162">ROUND(F387, 0) &amp; " (" &amp; ROUND(H387, 0) &amp; "-" &amp; ROUND(J387, 0) &amp; ")"</f>
        <v>5 (3-6)</v>
      </c>
      <c r="AA387" s="13" t="str">
        <f t="shared" ref="AA387:AA388" si="1163">ROUND(L387, 0) &amp; " (" &amp; ROUND(M387, 0) &amp; "-" &amp; ROUND(N387, 0) &amp; ")"</f>
        <v>162 (646245-1241107)</v>
      </c>
      <c r="AB387" s="13" t="str">
        <f t="shared" ref="AB387:AB388" si="1164">ROUND(O387, 0) &amp; " (" &amp; ROUND(Q387, 0) &amp; "-" &amp; ROUND(S387, 0) &amp; ")"</f>
        <v>9 (4-31)</v>
      </c>
      <c r="AC387" s="13" t="str">
        <f t="shared" ref="AC387:AC388" si="1165">ROUND(U387, 0) &amp; " (" &amp; ROUND(V387, 0) &amp; "-" &amp; ROUND(W387, 0) &amp; ")"</f>
        <v>683 (276-2342)</v>
      </c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hidden="1">
      <c r="A388" s="24" t="s">
        <v>27</v>
      </c>
      <c r="B388" s="16" t="s">
        <v>125</v>
      </c>
      <c r="C388" s="23">
        <v>2040.0</v>
      </c>
      <c r="D388" s="17">
        <f>3866779+3982944</f>
        <v>7849723</v>
      </c>
      <c r="E388" s="10">
        <v>3.12710416E8</v>
      </c>
      <c r="F388" s="19">
        <v>4.64</v>
      </c>
      <c r="G388" s="10">
        <f t="shared" si="1"/>
        <v>14509.7633</v>
      </c>
      <c r="H388" s="19">
        <v>3.27</v>
      </c>
      <c r="I388" s="8">
        <f t="shared" si="2"/>
        <v>10225.6306</v>
      </c>
      <c r="J388" s="19">
        <v>6.28</v>
      </c>
      <c r="K388" s="11">
        <f t="shared" si="3"/>
        <v>19638.21412</v>
      </c>
      <c r="L388" s="11">
        <f t="shared" si="13"/>
        <v>184.8442716</v>
      </c>
      <c r="M388" s="11">
        <f t="shared" si="1157"/>
        <v>802683.6774</v>
      </c>
      <c r="N388" s="11">
        <f t="shared" si="1158"/>
        <v>1541545.411</v>
      </c>
      <c r="O388" s="19">
        <v>9.07</v>
      </c>
      <c r="P388" s="19"/>
      <c r="Q388" s="19">
        <v>3.66</v>
      </c>
      <c r="R388" s="19"/>
      <c r="S388" s="19">
        <v>31.1</v>
      </c>
      <c r="T388" s="14"/>
      <c r="U388" s="14">
        <f t="shared" si="1159"/>
        <v>711.9698761</v>
      </c>
      <c r="V388" s="14">
        <f t="shared" si="1160"/>
        <v>287.2998618</v>
      </c>
      <c r="W388" s="14">
        <f t="shared" si="1161"/>
        <v>2441.263853</v>
      </c>
      <c r="X388" s="13"/>
      <c r="Y388" s="13"/>
      <c r="Z388" s="13" t="str">
        <f t="shared" si="1162"/>
        <v>5 (3-6)</v>
      </c>
      <c r="AA388" s="13" t="str">
        <f t="shared" si="1163"/>
        <v>185 (802684-1541545)</v>
      </c>
      <c r="AB388" s="13" t="str">
        <f t="shared" si="1164"/>
        <v>9 (4-31)</v>
      </c>
      <c r="AC388" s="13" t="str">
        <f t="shared" si="1165"/>
        <v>712 (287-2441)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hidden="1">
      <c r="A389" s="24" t="s">
        <v>29</v>
      </c>
      <c r="B389" s="16" t="s">
        <v>125</v>
      </c>
      <c r="C389" s="23">
        <v>2050.0</v>
      </c>
      <c r="D389" s="17">
        <f>3811528+3924973</f>
        <v>7736501</v>
      </c>
      <c r="E389" s="10">
        <v>3.59185556E8</v>
      </c>
      <c r="F389" s="19">
        <v>4.64</v>
      </c>
      <c r="G389" s="10">
        <f t="shared" si="1"/>
        <v>16666.2098</v>
      </c>
      <c r="H389" s="19">
        <v>3.27</v>
      </c>
      <c r="I389" s="8">
        <f t="shared" si="2"/>
        <v>11745.36768</v>
      </c>
      <c r="J389" s="19">
        <v>6.28</v>
      </c>
      <c r="K389" s="11">
        <f t="shared" si="3"/>
        <v>22556.85292</v>
      </c>
      <c r="L389" s="11">
        <f t="shared" si="13"/>
        <v>215.4230937</v>
      </c>
      <c r="M389" s="11">
        <f t="shared" si="1157"/>
        <v>908680.4881</v>
      </c>
      <c r="N389" s="11">
        <f t="shared" si="1158"/>
        <v>1745111.151</v>
      </c>
      <c r="O389" s="19">
        <v>9.07</v>
      </c>
      <c r="P389" s="8">
        <f t="shared" ref="P389:P390" si="1166">(O389/100000)*E389</f>
        <v>32578.12993</v>
      </c>
      <c r="Q389" s="19">
        <v>3.66</v>
      </c>
      <c r="R389" s="8">
        <f t="shared" ref="R389:R390" si="1167">(Q389/100000)*E389</f>
        <v>13146.19135</v>
      </c>
      <c r="S389" s="19">
        <v>31.1</v>
      </c>
      <c r="T389" s="11">
        <f t="shared" ref="T389:T390" si="1168">(S389/100000)*E389</f>
        <v>111706.7079</v>
      </c>
      <c r="U389" s="14">
        <f t="shared" si="1159"/>
        <v>701.7006407</v>
      </c>
      <c r="V389" s="14">
        <f t="shared" si="1160"/>
        <v>283.1559366</v>
      </c>
      <c r="W389" s="14">
        <f t="shared" si="1161"/>
        <v>2406.051811</v>
      </c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>
      <c r="A390" s="24" t="s">
        <v>23</v>
      </c>
      <c r="B390" s="16" t="s">
        <v>126</v>
      </c>
      <c r="C390" s="20">
        <v>2021.0</v>
      </c>
      <c r="D390" s="17">
        <f>3132.5+3054</f>
        <v>6186.5</v>
      </c>
      <c r="E390" s="18">
        <v>221961.0</v>
      </c>
      <c r="F390" s="19">
        <v>2.7</v>
      </c>
      <c r="G390" s="10">
        <f t="shared" si="1"/>
        <v>5.992947</v>
      </c>
      <c r="H390" s="19">
        <v>1.88</v>
      </c>
      <c r="I390" s="8">
        <f t="shared" si="2"/>
        <v>4.1728668</v>
      </c>
      <c r="J390" s="19">
        <v>3.61</v>
      </c>
      <c r="K390" s="11">
        <f t="shared" si="3"/>
        <v>8.0127921</v>
      </c>
      <c r="L390" s="11">
        <f t="shared" si="13"/>
        <v>96.87136507</v>
      </c>
      <c r="M390" s="12">
        <f>(I390/D390)*100000</f>
        <v>67.45117271</v>
      </c>
      <c r="N390" s="11">
        <f>(K390/D390)*100000</f>
        <v>129.5206029</v>
      </c>
      <c r="O390" s="19">
        <v>3.41</v>
      </c>
      <c r="P390" s="8">
        <f t="shared" si="1166"/>
        <v>7.5688701</v>
      </c>
      <c r="Q390" s="19">
        <v>1.94</v>
      </c>
      <c r="R390" s="8">
        <f t="shared" si="1167"/>
        <v>4.3060434</v>
      </c>
      <c r="S390" s="19">
        <v>5.8</v>
      </c>
      <c r="T390" s="11">
        <f t="shared" si="1168"/>
        <v>12.873738</v>
      </c>
      <c r="U390" s="11">
        <f>(P390/D390)*100000</f>
        <v>122.3449463</v>
      </c>
      <c r="V390" s="11">
        <f>(R390/D390)*100000</f>
        <v>69.60386972</v>
      </c>
      <c r="W390" s="11">
        <f>(T390/D390)*100000</f>
        <v>208.0940435</v>
      </c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hidden="1">
      <c r="A391" s="24" t="s">
        <v>25</v>
      </c>
      <c r="B391" s="16" t="s">
        <v>126</v>
      </c>
      <c r="C391" s="23">
        <v>2030.0</v>
      </c>
      <c r="D391" s="17">
        <f>3454+3542</f>
        <v>6996</v>
      </c>
      <c r="E391" s="10">
        <v>264565.0</v>
      </c>
      <c r="F391" s="19">
        <v>2.7</v>
      </c>
      <c r="G391" s="10">
        <f t="shared" si="1"/>
        <v>7.143255</v>
      </c>
      <c r="H391" s="19">
        <v>1.88</v>
      </c>
      <c r="I391" s="8">
        <f t="shared" si="2"/>
        <v>4.973822</v>
      </c>
      <c r="J391" s="19">
        <v>3.61</v>
      </c>
      <c r="K391" s="11">
        <f t="shared" si="3"/>
        <v>9.5507965</v>
      </c>
      <c r="L391" s="11">
        <f t="shared" si="13"/>
        <v>102.1048456</v>
      </c>
      <c r="M391" s="11">
        <f t="shared" ref="M391:M393" si="1169">(I391*D391)/100000</f>
        <v>0.3479685871</v>
      </c>
      <c r="N391" s="11">
        <f t="shared" ref="N391:N393" si="1170">(K391*D391)/100000</f>
        <v>0.6681737231</v>
      </c>
      <c r="O391" s="19">
        <v>3.41</v>
      </c>
      <c r="P391" s="19"/>
      <c r="Q391" s="19">
        <v>1.94</v>
      </c>
      <c r="R391" s="19"/>
      <c r="S391" s="19">
        <v>5.8</v>
      </c>
      <c r="T391" s="14"/>
      <c r="U391" s="14">
        <f t="shared" ref="U391:U393" si="1171">(O391*D391)/100000</f>
        <v>0.2385636</v>
      </c>
      <c r="V391" s="14">
        <f t="shared" ref="V391:V393" si="1172">(Q391*D391)/100000</f>
        <v>0.1357224</v>
      </c>
      <c r="W391" s="14">
        <f t="shared" ref="W391:W393" si="1173">(S391*D391)/100000</f>
        <v>0.405768</v>
      </c>
      <c r="X391" s="13"/>
      <c r="Y391" s="13"/>
      <c r="Z391" s="13" t="str">
        <f t="shared" ref="Z391:Z392" si="1174">ROUND(F391, 0) &amp; " (" &amp; ROUND(H391, 0) &amp; "-" &amp; ROUND(J391, 0) &amp; ")"</f>
        <v>3 (2-4)</v>
      </c>
      <c r="AA391" s="13" t="str">
        <f t="shared" ref="AA391:AA392" si="1175">ROUND(L391, 0) &amp; " (" &amp; ROUND(M391, 0) &amp; "-" &amp; ROUND(N391, 0) &amp; ")"</f>
        <v>102 (0-1)</v>
      </c>
      <c r="AB391" s="13" t="str">
        <f t="shared" ref="AB391:AB392" si="1176">ROUND(O391, 0) &amp; " (" &amp; ROUND(Q391, 0) &amp; "-" &amp; ROUND(S391, 0) &amp; ")"</f>
        <v>3 (2-6)</v>
      </c>
      <c r="AC391" s="13" t="str">
        <f t="shared" ref="AC391:AC392" si="1177">ROUND(U391, 0) &amp; " (" &amp; ROUND(V391, 0) &amp; "-" &amp; ROUND(W391, 0) &amp; ")"</f>
        <v>0 (0-0)</v>
      </c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hidden="1">
      <c r="A392" s="24" t="s">
        <v>27</v>
      </c>
      <c r="B392" s="16" t="s">
        <v>126</v>
      </c>
      <c r="C392" s="23">
        <v>2040.0</v>
      </c>
      <c r="D392" s="17">
        <f>3685+3779</f>
        <v>7464</v>
      </c>
      <c r="E392" s="10">
        <v>315842.0</v>
      </c>
      <c r="F392" s="19">
        <v>2.7</v>
      </c>
      <c r="G392" s="10">
        <f t="shared" si="1"/>
        <v>8.527734</v>
      </c>
      <c r="H392" s="19">
        <v>1.88</v>
      </c>
      <c r="I392" s="8">
        <f t="shared" si="2"/>
        <v>5.9378296</v>
      </c>
      <c r="J392" s="19">
        <v>3.61</v>
      </c>
      <c r="K392" s="11">
        <f t="shared" si="3"/>
        <v>11.4018962</v>
      </c>
      <c r="L392" s="11">
        <f t="shared" si="13"/>
        <v>114.2515273</v>
      </c>
      <c r="M392" s="11">
        <f t="shared" si="1169"/>
        <v>0.4431996013</v>
      </c>
      <c r="N392" s="11">
        <f t="shared" si="1170"/>
        <v>0.8510375324</v>
      </c>
      <c r="O392" s="19">
        <v>3.41</v>
      </c>
      <c r="P392" s="19"/>
      <c r="Q392" s="19">
        <v>1.94</v>
      </c>
      <c r="R392" s="19"/>
      <c r="S392" s="19">
        <v>5.8</v>
      </c>
      <c r="T392" s="14"/>
      <c r="U392" s="14">
        <f t="shared" si="1171"/>
        <v>0.2545224</v>
      </c>
      <c r="V392" s="14">
        <f t="shared" si="1172"/>
        <v>0.1448016</v>
      </c>
      <c r="W392" s="14">
        <f t="shared" si="1173"/>
        <v>0.432912</v>
      </c>
      <c r="X392" s="13"/>
      <c r="Y392" s="13"/>
      <c r="Z392" s="13" t="str">
        <f t="shared" si="1174"/>
        <v>3 (2-4)</v>
      </c>
      <c r="AA392" s="13" t="str">
        <f t="shared" si="1175"/>
        <v>114 (0-1)</v>
      </c>
      <c r="AB392" s="13" t="str">
        <f t="shared" si="1176"/>
        <v>3 (2-6)</v>
      </c>
      <c r="AC392" s="13" t="str">
        <f t="shared" si="1177"/>
        <v>0 (0-0)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hidden="1">
      <c r="A393" s="24" t="s">
        <v>29</v>
      </c>
      <c r="B393" s="16" t="s">
        <v>126</v>
      </c>
      <c r="C393" s="23">
        <v>2050.0</v>
      </c>
      <c r="D393" s="17">
        <f>3690+3785</f>
        <v>7475</v>
      </c>
      <c r="E393" s="10">
        <v>365115.0</v>
      </c>
      <c r="F393" s="19">
        <v>2.7</v>
      </c>
      <c r="G393" s="10">
        <f t="shared" si="1"/>
        <v>9.858105</v>
      </c>
      <c r="H393" s="19">
        <v>1.88</v>
      </c>
      <c r="I393" s="8">
        <f t="shared" si="2"/>
        <v>6.864162</v>
      </c>
      <c r="J393" s="19">
        <v>3.61</v>
      </c>
      <c r="K393" s="11">
        <f t="shared" si="3"/>
        <v>13.1806515</v>
      </c>
      <c r="L393" s="11">
        <f t="shared" si="13"/>
        <v>131.8810033</v>
      </c>
      <c r="M393" s="11">
        <f t="shared" si="1169"/>
        <v>0.5130961095</v>
      </c>
      <c r="N393" s="11">
        <f t="shared" si="1170"/>
        <v>0.9852536996</v>
      </c>
      <c r="O393" s="19">
        <v>3.41</v>
      </c>
      <c r="P393" s="8">
        <f t="shared" ref="P393:P394" si="1178">(O393/100000)*E393</f>
        <v>12.4504215</v>
      </c>
      <c r="Q393" s="19">
        <v>1.94</v>
      </c>
      <c r="R393" s="8">
        <f t="shared" ref="R393:R394" si="1179">(Q393/100000)*E393</f>
        <v>7.083231</v>
      </c>
      <c r="S393" s="19">
        <v>5.8</v>
      </c>
      <c r="T393" s="11">
        <f t="shared" ref="T393:T394" si="1180">(S393/100000)*E393</f>
        <v>21.17667</v>
      </c>
      <c r="U393" s="14">
        <f t="shared" si="1171"/>
        <v>0.2548975</v>
      </c>
      <c r="V393" s="14">
        <f t="shared" si="1172"/>
        <v>0.145015</v>
      </c>
      <c r="W393" s="14">
        <f t="shared" si="1173"/>
        <v>0.43355</v>
      </c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>
      <c r="A394" s="24" t="s">
        <v>23</v>
      </c>
      <c r="B394" s="16" t="s">
        <v>127</v>
      </c>
      <c r="C394" s="20">
        <v>2021.0</v>
      </c>
      <c r="D394" s="17">
        <f>257554+241344</f>
        <v>498898</v>
      </c>
      <c r="E394" s="18">
        <v>1.7220867E7</v>
      </c>
      <c r="F394" s="19">
        <v>4.78</v>
      </c>
      <c r="G394" s="10">
        <f t="shared" si="1"/>
        <v>823.1574426</v>
      </c>
      <c r="H394" s="19">
        <v>3.37</v>
      </c>
      <c r="I394" s="8">
        <f t="shared" si="2"/>
        <v>580.3432179</v>
      </c>
      <c r="J394" s="19">
        <v>6.53</v>
      </c>
      <c r="K394" s="11">
        <f t="shared" si="3"/>
        <v>1124.522615</v>
      </c>
      <c r="L394" s="11">
        <f t="shared" si="13"/>
        <v>164.9951378</v>
      </c>
      <c r="M394" s="12">
        <f>(I394/D394)*100000</f>
        <v>116.3250239</v>
      </c>
      <c r="N394" s="11">
        <f>(K394/D394)*100000</f>
        <v>225.4013075</v>
      </c>
      <c r="O394" s="19">
        <v>6.49</v>
      </c>
      <c r="P394" s="8">
        <f t="shared" si="1178"/>
        <v>1117.634268</v>
      </c>
      <c r="Q394" s="19">
        <v>2.85</v>
      </c>
      <c r="R394" s="8">
        <f t="shared" si="1179"/>
        <v>490.7947095</v>
      </c>
      <c r="S394" s="19">
        <v>20.29</v>
      </c>
      <c r="T394" s="11">
        <f t="shared" si="1180"/>
        <v>3494.113914</v>
      </c>
      <c r="U394" s="11">
        <f>(P394/D394)*100000</f>
        <v>224.0205951</v>
      </c>
      <c r="V394" s="11">
        <f>(R394/D394)*100000</f>
        <v>98.37576208</v>
      </c>
      <c r="W394" s="11">
        <f>(T394/D394)*100000</f>
        <v>700.3663904</v>
      </c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hidden="1">
      <c r="A395" s="24" t="s">
        <v>25</v>
      </c>
      <c r="B395" s="16" t="s">
        <v>127</v>
      </c>
      <c r="C395" s="23">
        <v>2030.0</v>
      </c>
      <c r="D395" s="17">
        <f>281131+288115</f>
        <v>569246</v>
      </c>
      <c r="E395" s="10">
        <v>2.1163192E7</v>
      </c>
      <c r="F395" s="19">
        <v>4.78</v>
      </c>
      <c r="G395" s="10">
        <f t="shared" si="1"/>
        <v>1011.600578</v>
      </c>
      <c r="H395" s="19">
        <v>3.37</v>
      </c>
      <c r="I395" s="8">
        <f t="shared" si="2"/>
        <v>713.1995704</v>
      </c>
      <c r="J395" s="19">
        <v>6.53</v>
      </c>
      <c r="K395" s="11">
        <f t="shared" si="3"/>
        <v>1381.956438</v>
      </c>
      <c r="L395" s="11">
        <f t="shared" si="13"/>
        <v>177.7088601</v>
      </c>
      <c r="M395" s="11">
        <f t="shared" ref="M395:M397" si="1181">(I395*D395)/100000</f>
        <v>4059.860027</v>
      </c>
      <c r="N395" s="11">
        <f t="shared" ref="N395:N397" si="1182">(K395*D395)/100000</f>
        <v>7866.731743</v>
      </c>
      <c r="O395" s="19">
        <v>6.49</v>
      </c>
      <c r="P395" s="19"/>
      <c r="Q395" s="19">
        <v>2.85</v>
      </c>
      <c r="R395" s="19"/>
      <c r="S395" s="19">
        <v>20.29</v>
      </c>
      <c r="T395" s="14"/>
      <c r="U395" s="14">
        <f t="shared" ref="U395:U397" si="1183">(O395*D395)/100000</f>
        <v>36.9440654</v>
      </c>
      <c r="V395" s="14">
        <f t="shared" ref="V395:V397" si="1184">(Q395*D395)/100000</f>
        <v>16.223511</v>
      </c>
      <c r="W395" s="14">
        <f t="shared" ref="W395:W397" si="1185">(S395*D395)/100000</f>
        <v>115.5000134</v>
      </c>
      <c r="X395" s="13"/>
      <c r="Y395" s="13"/>
      <c r="Z395" s="13" t="str">
        <f t="shared" ref="Z395:Z396" si="1186">ROUND(F395, 0) &amp; " (" &amp; ROUND(H395, 0) &amp; "-" &amp; ROUND(J395, 0) &amp; ")"</f>
        <v>5 (3-7)</v>
      </c>
      <c r="AA395" s="13" t="str">
        <f t="shared" ref="AA395:AA396" si="1187">ROUND(L395, 0) &amp; " (" &amp; ROUND(M395, 0) &amp; "-" &amp; ROUND(N395, 0) &amp; ")"</f>
        <v>178 (4060-7867)</v>
      </c>
      <c r="AB395" s="13" t="str">
        <f t="shared" ref="AB395:AB396" si="1188">ROUND(O395, 0) &amp; " (" &amp; ROUND(Q395, 0) &amp; "-" &amp; ROUND(S395, 0) &amp; ")"</f>
        <v>6 (3-20)</v>
      </c>
      <c r="AC395" s="13" t="str">
        <f t="shared" ref="AC395:AC396" si="1189">ROUND(U395, 0) &amp; " (" &amp; ROUND(V395, 0) &amp; "-" &amp; ROUND(W395, 0) &amp; ")"</f>
        <v>37 (16-116)</v>
      </c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hidden="1">
      <c r="A396" s="24" t="s">
        <v>27</v>
      </c>
      <c r="B396" s="16" t="s">
        <v>127</v>
      </c>
      <c r="C396" s="23">
        <v>2040.0</v>
      </c>
      <c r="D396" s="17">
        <f>298195+305535</f>
        <v>603730</v>
      </c>
      <c r="E396" s="10">
        <v>2.579751E7</v>
      </c>
      <c r="F396" s="19">
        <v>4.78</v>
      </c>
      <c r="G396" s="10">
        <f t="shared" si="1"/>
        <v>1233.120978</v>
      </c>
      <c r="H396" s="19">
        <v>3.37</v>
      </c>
      <c r="I396" s="8">
        <f t="shared" si="2"/>
        <v>869.376087</v>
      </c>
      <c r="J396" s="19">
        <v>6.53</v>
      </c>
      <c r="K396" s="11">
        <f t="shared" si="3"/>
        <v>1684.577403</v>
      </c>
      <c r="L396" s="11">
        <f t="shared" si="13"/>
        <v>204.2504063</v>
      </c>
      <c r="M396" s="11">
        <f t="shared" si="1181"/>
        <v>5248.68425</v>
      </c>
      <c r="N396" s="11">
        <f t="shared" si="1182"/>
        <v>10170.29916</v>
      </c>
      <c r="O396" s="19">
        <v>6.49</v>
      </c>
      <c r="P396" s="19"/>
      <c r="Q396" s="19">
        <v>2.85</v>
      </c>
      <c r="R396" s="19"/>
      <c r="S396" s="19">
        <v>20.29</v>
      </c>
      <c r="T396" s="14"/>
      <c r="U396" s="14">
        <f t="shared" si="1183"/>
        <v>39.182077</v>
      </c>
      <c r="V396" s="14">
        <f t="shared" si="1184"/>
        <v>17.206305</v>
      </c>
      <c r="W396" s="14">
        <f t="shared" si="1185"/>
        <v>122.496817</v>
      </c>
      <c r="X396" s="13"/>
      <c r="Y396" s="13"/>
      <c r="Z396" s="13" t="str">
        <f t="shared" si="1186"/>
        <v>5 (3-7)</v>
      </c>
      <c r="AA396" s="13" t="str">
        <f t="shared" si="1187"/>
        <v>204 (5249-10170)</v>
      </c>
      <c r="AB396" s="13" t="str">
        <f t="shared" si="1188"/>
        <v>6 (3-20)</v>
      </c>
      <c r="AC396" s="13" t="str">
        <f t="shared" si="1189"/>
        <v>39 (17-122)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hidden="1">
      <c r="A397" s="24" t="s">
        <v>29</v>
      </c>
      <c r="B397" s="16" t="s">
        <v>127</v>
      </c>
      <c r="C397" s="23">
        <v>2050.0</v>
      </c>
      <c r="D397" s="17">
        <f>311565+319416</f>
        <v>630981</v>
      </c>
      <c r="E397" s="10">
        <v>3.0364954E7</v>
      </c>
      <c r="F397" s="19">
        <v>4.78</v>
      </c>
      <c r="G397" s="10">
        <f t="shared" si="1"/>
        <v>1451.444801</v>
      </c>
      <c r="H397" s="19">
        <v>3.37</v>
      </c>
      <c r="I397" s="8">
        <f t="shared" si="2"/>
        <v>1023.29895</v>
      </c>
      <c r="J397" s="19">
        <v>6.53</v>
      </c>
      <c r="K397" s="11">
        <f t="shared" si="3"/>
        <v>1982.831496</v>
      </c>
      <c r="L397" s="11">
        <f t="shared" si="13"/>
        <v>230.0298743</v>
      </c>
      <c r="M397" s="11">
        <f t="shared" si="1181"/>
        <v>6456.821946</v>
      </c>
      <c r="N397" s="11">
        <f t="shared" si="1182"/>
        <v>12511.29</v>
      </c>
      <c r="O397" s="19">
        <v>6.49</v>
      </c>
      <c r="P397" s="8">
        <f t="shared" ref="P397:P398" si="1190">(O397/100000)*E397</f>
        <v>1970.685515</v>
      </c>
      <c r="Q397" s="19">
        <v>2.85</v>
      </c>
      <c r="R397" s="8">
        <f t="shared" ref="R397:R398" si="1191">(Q397/100000)*E397</f>
        <v>865.401189</v>
      </c>
      <c r="S397" s="19">
        <v>20.29</v>
      </c>
      <c r="T397" s="11">
        <f t="shared" ref="T397:T398" si="1192">(S397/100000)*E397</f>
        <v>6161.049167</v>
      </c>
      <c r="U397" s="14">
        <f t="shared" si="1183"/>
        <v>40.9506669</v>
      </c>
      <c r="V397" s="14">
        <f t="shared" si="1184"/>
        <v>17.9829585</v>
      </c>
      <c r="W397" s="14">
        <f t="shared" si="1185"/>
        <v>128.0260449</v>
      </c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>
      <c r="A398" s="24" t="s">
        <v>23</v>
      </c>
      <c r="B398" s="16" t="s">
        <v>128</v>
      </c>
      <c r="C398" s="20">
        <v>2021.0</v>
      </c>
      <c r="D398" s="17">
        <f>122215+119473</f>
        <v>241688</v>
      </c>
      <c r="E398" s="18">
        <v>8094602.0</v>
      </c>
      <c r="F398" s="19">
        <v>5.09</v>
      </c>
      <c r="G398" s="10">
        <f t="shared" si="1"/>
        <v>412.0152418</v>
      </c>
      <c r="H398" s="19">
        <v>3.44</v>
      </c>
      <c r="I398" s="8">
        <f t="shared" si="2"/>
        <v>278.4543088</v>
      </c>
      <c r="J398" s="19">
        <v>6.89</v>
      </c>
      <c r="K398" s="11">
        <f t="shared" si="3"/>
        <v>557.7180778</v>
      </c>
      <c r="L398" s="11">
        <f t="shared" si="13"/>
        <v>170.4740168</v>
      </c>
      <c r="M398" s="12">
        <f>(I398/D398)*100000</f>
        <v>115.2123021</v>
      </c>
      <c r="N398" s="11">
        <f>(K398/D398)*100000</f>
        <v>230.7595238</v>
      </c>
      <c r="O398" s="19">
        <v>14.96</v>
      </c>
      <c r="P398" s="8">
        <f t="shared" si="1190"/>
        <v>1210.952459</v>
      </c>
      <c r="Q398" s="19">
        <v>5.33</v>
      </c>
      <c r="R398" s="8">
        <f t="shared" si="1191"/>
        <v>431.4422866</v>
      </c>
      <c r="S398" s="19">
        <v>55.15</v>
      </c>
      <c r="T398" s="11">
        <f t="shared" si="1192"/>
        <v>4464.173003</v>
      </c>
      <c r="U398" s="11">
        <f>(P398/D398)*100000</f>
        <v>501.0395465</v>
      </c>
      <c r="V398" s="11">
        <f>(R398/D398)*100000</f>
        <v>178.5120844</v>
      </c>
      <c r="W398" s="11">
        <f>(T398/D398)*100000</f>
        <v>1847.080949</v>
      </c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hidden="1">
      <c r="A399" s="24" t="s">
        <v>25</v>
      </c>
      <c r="B399" s="16" t="s">
        <v>128</v>
      </c>
      <c r="C399" s="23">
        <v>2030.0</v>
      </c>
      <c r="D399" s="17">
        <f>123519+126369</f>
        <v>249888</v>
      </c>
      <c r="E399" s="10">
        <v>9694858.0</v>
      </c>
      <c r="F399" s="19">
        <v>5.09</v>
      </c>
      <c r="G399" s="10">
        <f t="shared" si="1"/>
        <v>493.4682722</v>
      </c>
      <c r="H399" s="19">
        <v>3.44</v>
      </c>
      <c r="I399" s="8">
        <f t="shared" si="2"/>
        <v>333.5031152</v>
      </c>
      <c r="J399" s="19">
        <v>6.89</v>
      </c>
      <c r="K399" s="11">
        <f t="shared" si="3"/>
        <v>667.9757162</v>
      </c>
      <c r="L399" s="11">
        <f t="shared" si="13"/>
        <v>197.475778</v>
      </c>
      <c r="M399" s="11">
        <f t="shared" ref="M399:M401" si="1193">(I399*D399)/100000</f>
        <v>833.3842645</v>
      </c>
      <c r="N399" s="11">
        <f t="shared" ref="N399:N401" si="1194">(K399*D399)/100000</f>
        <v>1669.191158</v>
      </c>
      <c r="O399" s="19">
        <v>14.96</v>
      </c>
      <c r="P399" s="19"/>
      <c r="Q399" s="19">
        <v>5.33</v>
      </c>
      <c r="R399" s="19"/>
      <c r="S399" s="19">
        <v>55.15</v>
      </c>
      <c r="T399" s="14"/>
      <c r="U399" s="14">
        <f t="shared" ref="U399:U401" si="1195">(O399*D399)/100000</f>
        <v>37.3832448</v>
      </c>
      <c r="V399" s="14">
        <f t="shared" ref="V399:V401" si="1196">(Q399*D399)/100000</f>
        <v>13.3190304</v>
      </c>
      <c r="W399" s="14">
        <f t="shared" ref="W399:W401" si="1197">(S399*D399)/100000</f>
        <v>137.813232</v>
      </c>
      <c r="X399" s="13"/>
      <c r="Y399" s="13"/>
      <c r="Z399" s="13" t="str">
        <f t="shared" ref="Z399:Z400" si="1198">ROUND(F399, 0) &amp; " (" &amp; ROUND(H399, 0) &amp; "-" &amp; ROUND(J399, 0) &amp; ")"</f>
        <v>5 (3-7)</v>
      </c>
      <c r="AA399" s="13" t="str">
        <f t="shared" ref="AA399:AA400" si="1199">ROUND(L399, 0) &amp; " (" &amp; ROUND(M399, 0) &amp; "-" &amp; ROUND(N399, 0) &amp; ")"</f>
        <v>197 (833-1669)</v>
      </c>
      <c r="AB399" s="13" t="str">
        <f t="shared" ref="AB399:AB400" si="1200">ROUND(O399, 0) &amp; " (" &amp; ROUND(Q399, 0) &amp; "-" &amp; ROUND(S399, 0) &amp; ")"</f>
        <v>15 (5-55)</v>
      </c>
      <c r="AC399" s="13" t="str">
        <f t="shared" ref="AC399:AC400" si="1201">ROUND(U399, 0) &amp; " (" &amp; ROUND(V399, 0) &amp; "-" &amp; ROUND(W399, 0) &amp; ")"</f>
        <v>37 (13-138)</v>
      </c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hidden="1">
      <c r="A400" s="24" t="s">
        <v>27</v>
      </c>
      <c r="B400" s="16" t="s">
        <v>128</v>
      </c>
      <c r="C400" s="23">
        <v>2040.0</v>
      </c>
      <c r="D400" s="17">
        <f>125505+128392</f>
        <v>253897</v>
      </c>
      <c r="E400" s="10">
        <v>1.13984E7</v>
      </c>
      <c r="F400" s="19">
        <v>5.09</v>
      </c>
      <c r="G400" s="10">
        <f t="shared" si="1"/>
        <v>580.17856</v>
      </c>
      <c r="H400" s="19">
        <v>3.44</v>
      </c>
      <c r="I400" s="8">
        <f t="shared" si="2"/>
        <v>392.10496</v>
      </c>
      <c r="J400" s="19">
        <v>6.89</v>
      </c>
      <c r="K400" s="11">
        <f t="shared" si="3"/>
        <v>785.34976</v>
      </c>
      <c r="L400" s="11">
        <f t="shared" si="13"/>
        <v>228.5094192</v>
      </c>
      <c r="M400" s="11">
        <f t="shared" si="1193"/>
        <v>995.5427303</v>
      </c>
      <c r="N400" s="11">
        <f t="shared" si="1194"/>
        <v>1993.97948</v>
      </c>
      <c r="O400" s="19">
        <v>14.96</v>
      </c>
      <c r="P400" s="19"/>
      <c r="Q400" s="19">
        <v>5.33</v>
      </c>
      <c r="R400" s="19"/>
      <c r="S400" s="19">
        <v>55.15</v>
      </c>
      <c r="T400" s="14"/>
      <c r="U400" s="14">
        <f t="shared" si="1195"/>
        <v>37.9829912</v>
      </c>
      <c r="V400" s="14">
        <f t="shared" si="1196"/>
        <v>13.5327101</v>
      </c>
      <c r="W400" s="14">
        <f t="shared" si="1197"/>
        <v>140.0241955</v>
      </c>
      <c r="X400" s="13"/>
      <c r="Y400" s="13"/>
      <c r="Z400" s="13" t="str">
        <f t="shared" si="1198"/>
        <v>5 (3-7)</v>
      </c>
      <c r="AA400" s="13" t="str">
        <f t="shared" si="1199"/>
        <v>229 (996-1994)</v>
      </c>
      <c r="AB400" s="13" t="str">
        <f t="shared" si="1200"/>
        <v>15 (5-55)</v>
      </c>
      <c r="AC400" s="13" t="str">
        <f t="shared" si="1201"/>
        <v>38 (14-140)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hidden="1">
      <c r="A401" s="24" t="s">
        <v>29</v>
      </c>
      <c r="B401" s="16" t="s">
        <v>128</v>
      </c>
      <c r="C401" s="23">
        <v>2050.0</v>
      </c>
      <c r="D401" s="17">
        <f>124182+126954</f>
        <v>251136</v>
      </c>
      <c r="E401" s="10">
        <v>1.2948325E7</v>
      </c>
      <c r="F401" s="19">
        <v>5.09</v>
      </c>
      <c r="G401" s="10">
        <f t="shared" si="1"/>
        <v>659.0697425</v>
      </c>
      <c r="H401" s="19">
        <v>3.44</v>
      </c>
      <c r="I401" s="8">
        <f t="shared" si="2"/>
        <v>445.42238</v>
      </c>
      <c r="J401" s="19">
        <v>6.89</v>
      </c>
      <c r="K401" s="11">
        <f t="shared" si="3"/>
        <v>892.1395925</v>
      </c>
      <c r="L401" s="11">
        <f t="shared" si="13"/>
        <v>262.4353906</v>
      </c>
      <c r="M401" s="11">
        <f t="shared" si="1193"/>
        <v>1118.615948</v>
      </c>
      <c r="N401" s="11">
        <f t="shared" si="1194"/>
        <v>2240.483687</v>
      </c>
      <c r="O401" s="19">
        <v>14.96</v>
      </c>
      <c r="P401" s="8">
        <f t="shared" ref="P401:P402" si="1202">(O401/100000)*E401</f>
        <v>1937.06942</v>
      </c>
      <c r="Q401" s="19">
        <v>5.33</v>
      </c>
      <c r="R401" s="8">
        <f t="shared" ref="R401:R402" si="1203">(Q401/100000)*E401</f>
        <v>690.1457225</v>
      </c>
      <c r="S401" s="19">
        <v>55.15</v>
      </c>
      <c r="T401" s="11">
        <f t="shared" ref="T401:T402" si="1204">(S401/100000)*E401</f>
        <v>7141.001238</v>
      </c>
      <c r="U401" s="14">
        <f t="shared" si="1195"/>
        <v>37.5699456</v>
      </c>
      <c r="V401" s="14">
        <f t="shared" si="1196"/>
        <v>13.3855488</v>
      </c>
      <c r="W401" s="14">
        <f t="shared" si="1197"/>
        <v>138.501504</v>
      </c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>
      <c r="A402" s="24" t="s">
        <v>23</v>
      </c>
      <c r="B402" s="16" t="s">
        <v>129</v>
      </c>
      <c r="C402" s="20">
        <v>2021.0</v>
      </c>
      <c r="D402" s="17">
        <f>137608+134828.5</f>
        <v>272436.5</v>
      </c>
      <c r="E402" s="18">
        <v>8878379.0</v>
      </c>
      <c r="F402" s="19">
        <v>3.16</v>
      </c>
      <c r="G402" s="10">
        <f t="shared" si="1"/>
        <v>280.5567764</v>
      </c>
      <c r="H402" s="19">
        <v>2.23</v>
      </c>
      <c r="I402" s="8">
        <f t="shared" si="2"/>
        <v>197.9878517</v>
      </c>
      <c r="J402" s="19">
        <v>4.35</v>
      </c>
      <c r="K402" s="11">
        <f t="shared" si="3"/>
        <v>386.2094865</v>
      </c>
      <c r="L402" s="11">
        <f t="shared" si="13"/>
        <v>102.9806125</v>
      </c>
      <c r="M402" s="12">
        <f>(I402/D402)*100000</f>
        <v>72.67302718</v>
      </c>
      <c r="N402" s="11">
        <f>(K402/D402)*100000</f>
        <v>141.7612862</v>
      </c>
      <c r="O402" s="19">
        <v>6.94</v>
      </c>
      <c r="P402" s="8">
        <f t="shared" si="1202"/>
        <v>616.1595026</v>
      </c>
      <c r="Q402" s="19">
        <v>3.0</v>
      </c>
      <c r="R402" s="8">
        <f t="shared" si="1203"/>
        <v>266.35137</v>
      </c>
      <c r="S402" s="19">
        <v>19.13</v>
      </c>
      <c r="T402" s="11">
        <f t="shared" si="1204"/>
        <v>1698.433903</v>
      </c>
      <c r="U402" s="11">
        <f>(P402/D402)*100000</f>
        <v>226.1662819</v>
      </c>
      <c r="V402" s="11">
        <f>(R402/D402)*100000</f>
        <v>97.76640428</v>
      </c>
      <c r="W402" s="11">
        <f>(T402/D402)*100000</f>
        <v>623.4237713</v>
      </c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hidden="1">
      <c r="A403" s="24" t="s">
        <v>25</v>
      </c>
      <c r="B403" s="16" t="s">
        <v>129</v>
      </c>
      <c r="C403" s="23">
        <v>2030.0</v>
      </c>
      <c r="D403" s="17">
        <f>149754+152855</f>
        <v>302609</v>
      </c>
      <c r="E403" s="10">
        <v>1.0792997E7</v>
      </c>
      <c r="F403" s="19">
        <v>3.16</v>
      </c>
      <c r="G403" s="10">
        <f t="shared" si="1"/>
        <v>341.0587052</v>
      </c>
      <c r="H403" s="19">
        <v>2.23</v>
      </c>
      <c r="I403" s="8">
        <f t="shared" si="2"/>
        <v>240.6838331</v>
      </c>
      <c r="J403" s="19">
        <v>4.35</v>
      </c>
      <c r="K403" s="11">
        <f t="shared" si="3"/>
        <v>469.4953695</v>
      </c>
      <c r="L403" s="11">
        <f t="shared" si="13"/>
        <v>112.706068</v>
      </c>
      <c r="M403" s="11">
        <f t="shared" ref="M403:M405" si="1205">(I403*D403)/100000</f>
        <v>728.3309405</v>
      </c>
      <c r="N403" s="11">
        <f t="shared" ref="N403:N405" si="1206">(K403*D403)/100000</f>
        <v>1420.735243</v>
      </c>
      <c r="O403" s="19">
        <v>6.94</v>
      </c>
      <c r="P403" s="19"/>
      <c r="Q403" s="19">
        <v>3.0</v>
      </c>
      <c r="R403" s="19"/>
      <c r="S403" s="19">
        <v>19.13</v>
      </c>
      <c r="T403" s="14"/>
      <c r="U403" s="14">
        <f t="shared" ref="U403:U405" si="1207">(O403*D403)/100000</f>
        <v>21.0010646</v>
      </c>
      <c r="V403" s="14">
        <f t="shared" ref="V403:V405" si="1208">(Q403*D403)/100000</f>
        <v>9.07827</v>
      </c>
      <c r="W403" s="14">
        <f t="shared" ref="W403:W405" si="1209">(S403*D403)/100000</f>
        <v>57.8891017</v>
      </c>
      <c r="X403" s="13"/>
      <c r="Y403" s="13"/>
      <c r="Z403" s="13" t="str">
        <f t="shared" ref="Z403:Z404" si="1210">ROUND(F403, 0) &amp; " (" &amp; ROUND(H403, 0) &amp; "-" &amp; ROUND(J403, 0) &amp; ")"</f>
        <v>3 (2-4)</v>
      </c>
      <c r="AA403" s="13" t="str">
        <f t="shared" ref="AA403:AA404" si="1211">ROUND(L403, 0) &amp; " (" &amp; ROUND(M403, 0) &amp; "-" &amp; ROUND(N403, 0) &amp; ")"</f>
        <v>113 (728-1421)</v>
      </c>
      <c r="AB403" s="13" t="str">
        <f t="shared" ref="AB403:AB404" si="1212">ROUND(O403, 0) &amp; " (" &amp; ROUND(Q403, 0) &amp; "-" &amp; ROUND(S403, 0) &amp; ")"</f>
        <v>7 (3-19)</v>
      </c>
      <c r="AC403" s="13" t="str">
        <f t="shared" ref="AC403:AC404" si="1213">ROUND(U403, 0) &amp; " (" &amp; ROUND(V403, 0) &amp; "-" &amp; ROUND(W403, 0) &amp; ")"</f>
        <v>21 (9-58)</v>
      </c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hidden="1">
      <c r="A404" s="24" t="s">
        <v>27</v>
      </c>
      <c r="B404" s="16" t="s">
        <v>129</v>
      </c>
      <c r="C404" s="23">
        <v>2040.0</v>
      </c>
      <c r="D404" s="17">
        <f>168740+172212</f>
        <v>340952</v>
      </c>
      <c r="E404" s="10">
        <v>1.3121352E7</v>
      </c>
      <c r="F404" s="19">
        <v>3.16</v>
      </c>
      <c r="G404" s="10">
        <f t="shared" si="1"/>
        <v>414.6347232</v>
      </c>
      <c r="H404" s="19">
        <v>2.23</v>
      </c>
      <c r="I404" s="8">
        <f t="shared" si="2"/>
        <v>292.6061496</v>
      </c>
      <c r="J404" s="19">
        <v>4.35</v>
      </c>
      <c r="K404" s="11">
        <f t="shared" si="3"/>
        <v>570.778812</v>
      </c>
      <c r="L404" s="11">
        <f t="shared" si="13"/>
        <v>121.6108787</v>
      </c>
      <c r="M404" s="11">
        <f t="shared" si="1205"/>
        <v>997.6465192</v>
      </c>
      <c r="N404" s="11">
        <f t="shared" si="1206"/>
        <v>1946.081775</v>
      </c>
      <c r="O404" s="19">
        <v>6.94</v>
      </c>
      <c r="P404" s="19"/>
      <c r="Q404" s="19">
        <v>3.0</v>
      </c>
      <c r="R404" s="19"/>
      <c r="S404" s="19">
        <v>19.13</v>
      </c>
      <c r="T404" s="14"/>
      <c r="U404" s="14">
        <f t="shared" si="1207"/>
        <v>23.6620688</v>
      </c>
      <c r="V404" s="14">
        <f t="shared" si="1208"/>
        <v>10.22856</v>
      </c>
      <c r="W404" s="14">
        <f t="shared" si="1209"/>
        <v>65.2241176</v>
      </c>
      <c r="X404" s="13"/>
      <c r="Y404" s="13"/>
      <c r="Z404" s="13" t="str">
        <f t="shared" si="1210"/>
        <v>3 (2-4)</v>
      </c>
      <c r="AA404" s="13" t="str">
        <f t="shared" si="1211"/>
        <v>122 (998-1946)</v>
      </c>
      <c r="AB404" s="13" t="str">
        <f t="shared" si="1212"/>
        <v>7 (3-19)</v>
      </c>
      <c r="AC404" s="13" t="str">
        <f t="shared" si="1213"/>
        <v>24 (10-65)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hidden="1">
      <c r="A405" s="24" t="s">
        <v>29</v>
      </c>
      <c r="B405" s="16" t="s">
        <v>129</v>
      </c>
      <c r="C405" s="23">
        <v>2050.0</v>
      </c>
      <c r="D405" s="17">
        <f>181027+184700</f>
        <v>365727</v>
      </c>
      <c r="E405" s="10">
        <v>1.5584778E7</v>
      </c>
      <c r="F405" s="19">
        <v>3.16</v>
      </c>
      <c r="G405" s="10">
        <f t="shared" si="1"/>
        <v>492.4789848</v>
      </c>
      <c r="H405" s="19">
        <v>2.23</v>
      </c>
      <c r="I405" s="8">
        <f t="shared" si="2"/>
        <v>347.5405494</v>
      </c>
      <c r="J405" s="19">
        <v>4.35</v>
      </c>
      <c r="K405" s="11">
        <f t="shared" si="3"/>
        <v>677.937843</v>
      </c>
      <c r="L405" s="11">
        <f t="shared" si="13"/>
        <v>134.657541</v>
      </c>
      <c r="M405" s="11">
        <f t="shared" si="1205"/>
        <v>1271.049625</v>
      </c>
      <c r="N405" s="11">
        <f t="shared" si="1206"/>
        <v>2479.401735</v>
      </c>
      <c r="O405" s="19">
        <v>6.94</v>
      </c>
      <c r="P405" s="8">
        <f t="shared" ref="P405:P406" si="1214">(O405/100000)*E405</f>
        <v>1081.583593</v>
      </c>
      <c r="Q405" s="19">
        <v>3.0</v>
      </c>
      <c r="R405" s="8">
        <f t="shared" ref="R405:R406" si="1215">(Q405/100000)*E405</f>
        <v>467.54334</v>
      </c>
      <c r="S405" s="19">
        <v>19.13</v>
      </c>
      <c r="T405" s="11">
        <f t="shared" ref="T405:T406" si="1216">(S405/100000)*E405</f>
        <v>2981.368031</v>
      </c>
      <c r="U405" s="14">
        <f t="shared" si="1207"/>
        <v>25.3814538</v>
      </c>
      <c r="V405" s="14">
        <f t="shared" si="1208"/>
        <v>10.97181</v>
      </c>
      <c r="W405" s="14">
        <f t="shared" si="1209"/>
        <v>69.9635751</v>
      </c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>
      <c r="A406" s="24" t="s">
        <v>23</v>
      </c>
      <c r="B406" s="16" t="s">
        <v>130</v>
      </c>
      <c r="C406" s="20">
        <v>2021.0</v>
      </c>
      <c r="D406" s="17">
        <f>17509+16487.5</f>
        <v>33996.5</v>
      </c>
      <c r="E406" s="18">
        <v>2962300.0</v>
      </c>
      <c r="F406" s="19">
        <v>2.8</v>
      </c>
      <c r="G406" s="10">
        <f t="shared" si="1"/>
        <v>82.9444</v>
      </c>
      <c r="H406" s="19">
        <v>1.87</v>
      </c>
      <c r="I406" s="8">
        <f t="shared" si="2"/>
        <v>55.39501</v>
      </c>
      <c r="J406" s="19">
        <v>3.89</v>
      </c>
      <c r="K406" s="11">
        <f t="shared" si="3"/>
        <v>115.23347</v>
      </c>
      <c r="L406" s="11">
        <f t="shared" si="13"/>
        <v>243.9792332</v>
      </c>
      <c r="M406" s="12">
        <f>(I406/D406)*100000</f>
        <v>162.9432736</v>
      </c>
      <c r="N406" s="11">
        <f>(K406/D406)*100000</f>
        <v>338.9568632</v>
      </c>
      <c r="O406" s="19">
        <v>6.43</v>
      </c>
      <c r="P406" s="8">
        <f t="shared" si="1214"/>
        <v>190.47589</v>
      </c>
      <c r="Q406" s="19">
        <v>4.43</v>
      </c>
      <c r="R406" s="8">
        <f t="shared" si="1215"/>
        <v>131.22989</v>
      </c>
      <c r="S406" s="19">
        <v>9.23</v>
      </c>
      <c r="T406" s="11">
        <f t="shared" si="1216"/>
        <v>273.42029</v>
      </c>
      <c r="U406" s="11">
        <f>(P406/D406)*100000</f>
        <v>560.2808819</v>
      </c>
      <c r="V406" s="11">
        <f>(R406/D406)*100000</f>
        <v>386.010001</v>
      </c>
      <c r="W406" s="11">
        <f>(T406/D406)*100000</f>
        <v>804.260115</v>
      </c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hidden="1">
      <c r="A407" s="24" t="s">
        <v>25</v>
      </c>
      <c r="B407" s="16" t="s">
        <v>130</v>
      </c>
      <c r="C407" s="23">
        <v>2030.0</v>
      </c>
      <c r="D407" s="17">
        <f>14319+15263</f>
        <v>29582</v>
      </c>
      <c r="E407" s="10">
        <v>2919197.0</v>
      </c>
      <c r="F407" s="19">
        <v>2.8</v>
      </c>
      <c r="G407" s="10">
        <f t="shared" si="1"/>
        <v>81.737516</v>
      </c>
      <c r="H407" s="19">
        <v>1.87</v>
      </c>
      <c r="I407" s="8">
        <f t="shared" si="2"/>
        <v>54.5889839</v>
      </c>
      <c r="J407" s="19">
        <v>3.89</v>
      </c>
      <c r="K407" s="11">
        <f t="shared" si="3"/>
        <v>113.5567633</v>
      </c>
      <c r="L407" s="11">
        <f t="shared" si="13"/>
        <v>276.3082821</v>
      </c>
      <c r="M407" s="11">
        <f t="shared" ref="M407:M409" si="1217">(I407*D407)/100000</f>
        <v>16.14851322</v>
      </c>
      <c r="N407" s="11">
        <f t="shared" ref="N407:N409" si="1218">(K407*D407)/100000</f>
        <v>33.59236172</v>
      </c>
      <c r="O407" s="19">
        <v>6.43</v>
      </c>
      <c r="P407" s="19"/>
      <c r="Q407" s="19">
        <v>4.43</v>
      </c>
      <c r="R407" s="19"/>
      <c r="S407" s="19">
        <v>9.23</v>
      </c>
      <c r="T407" s="14"/>
      <c r="U407" s="14">
        <f t="shared" ref="U407:U409" si="1219">(O407*D407)/100000</f>
        <v>1.9021226</v>
      </c>
      <c r="V407" s="14">
        <f t="shared" ref="V407:V409" si="1220">(Q407*D407)/100000</f>
        <v>1.3104826</v>
      </c>
      <c r="W407" s="14">
        <f t="shared" ref="W407:W409" si="1221">(S407*D407)/100000</f>
        <v>2.7304186</v>
      </c>
      <c r="X407" s="13"/>
      <c r="Y407" s="13"/>
      <c r="Z407" s="13" t="str">
        <f t="shared" ref="Z407:Z408" si="1222">ROUND(F407, 0) &amp; " (" &amp; ROUND(H407, 0) &amp; "-" &amp; ROUND(J407, 0) &amp; ")"</f>
        <v>3 (2-4)</v>
      </c>
      <c r="AA407" s="13" t="str">
        <f t="shared" ref="AA407:AA408" si="1223">ROUND(L407, 0) &amp; " (" &amp; ROUND(M407, 0) &amp; "-" &amp; ROUND(N407, 0) &amp; ")"</f>
        <v>276 (16-34)</v>
      </c>
      <c r="AB407" s="13" t="str">
        <f t="shared" ref="AB407:AB408" si="1224">ROUND(O407, 0) &amp; " (" &amp; ROUND(Q407, 0) &amp; "-" &amp; ROUND(S407, 0) &amp; ")"</f>
        <v>6 (4-9)</v>
      </c>
      <c r="AC407" s="13" t="str">
        <f t="shared" ref="AC407:AC408" si="1225">ROUND(U407, 0) &amp; " (" &amp; ROUND(V407, 0) &amp; "-" &amp; ROUND(W407, 0) &amp; ")"</f>
        <v>2 (1-3)</v>
      </c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hidden="1">
      <c r="A408" s="24" t="s">
        <v>27</v>
      </c>
      <c r="B408" s="16" t="s">
        <v>130</v>
      </c>
      <c r="C408" s="23">
        <v>2040.0</v>
      </c>
      <c r="D408" s="17">
        <f>12473+13252</f>
        <v>25725</v>
      </c>
      <c r="E408" s="10">
        <v>2732210.0</v>
      </c>
      <c r="F408" s="19">
        <v>2.8</v>
      </c>
      <c r="G408" s="10">
        <f t="shared" si="1"/>
        <v>76.50188</v>
      </c>
      <c r="H408" s="19">
        <v>1.87</v>
      </c>
      <c r="I408" s="8">
        <f t="shared" si="2"/>
        <v>51.092327</v>
      </c>
      <c r="J408" s="19">
        <v>3.89</v>
      </c>
      <c r="K408" s="11">
        <f t="shared" si="3"/>
        <v>106.282969</v>
      </c>
      <c r="L408" s="11">
        <f t="shared" si="13"/>
        <v>297.3834014</v>
      </c>
      <c r="M408" s="11">
        <f t="shared" si="1217"/>
        <v>13.14350112</v>
      </c>
      <c r="N408" s="11">
        <f t="shared" si="1218"/>
        <v>27.34129378</v>
      </c>
      <c r="O408" s="19">
        <v>6.43</v>
      </c>
      <c r="P408" s="19"/>
      <c r="Q408" s="19">
        <v>4.43</v>
      </c>
      <c r="R408" s="19"/>
      <c r="S408" s="19">
        <v>9.23</v>
      </c>
      <c r="T408" s="14"/>
      <c r="U408" s="14">
        <f t="shared" si="1219"/>
        <v>1.6541175</v>
      </c>
      <c r="V408" s="14">
        <f t="shared" si="1220"/>
        <v>1.1396175</v>
      </c>
      <c r="W408" s="14">
        <f t="shared" si="1221"/>
        <v>2.3744175</v>
      </c>
      <c r="X408" s="13"/>
      <c r="Y408" s="13"/>
      <c r="Z408" s="13" t="str">
        <f t="shared" si="1222"/>
        <v>3 (2-4)</v>
      </c>
      <c r="AA408" s="13" t="str">
        <f t="shared" si="1223"/>
        <v>297 (13-27)</v>
      </c>
      <c r="AB408" s="13" t="str">
        <f t="shared" si="1224"/>
        <v>6 (4-9)</v>
      </c>
      <c r="AC408" s="13" t="str">
        <f t="shared" si="1225"/>
        <v>2 (1-2)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hidden="1">
      <c r="A409" s="24" t="s">
        <v>29</v>
      </c>
      <c r="B409" s="16" t="s">
        <v>130</v>
      </c>
      <c r="C409" s="23">
        <v>2050.0</v>
      </c>
      <c r="D409" s="17">
        <f>11626+12353</f>
        <v>23979</v>
      </c>
      <c r="E409" s="10">
        <v>2562549.0</v>
      </c>
      <c r="F409" s="19">
        <v>2.8</v>
      </c>
      <c r="G409" s="10">
        <f t="shared" si="1"/>
        <v>71.751372</v>
      </c>
      <c r="H409" s="19">
        <v>1.87</v>
      </c>
      <c r="I409" s="8">
        <f t="shared" si="2"/>
        <v>47.9196663</v>
      </c>
      <c r="J409" s="19">
        <v>3.89</v>
      </c>
      <c r="K409" s="11">
        <f t="shared" si="3"/>
        <v>99.6831561</v>
      </c>
      <c r="L409" s="11">
        <f t="shared" si="13"/>
        <v>299.2258726</v>
      </c>
      <c r="M409" s="11">
        <f t="shared" si="1217"/>
        <v>11.49065678</v>
      </c>
      <c r="N409" s="11">
        <f t="shared" si="1218"/>
        <v>23.903024</v>
      </c>
      <c r="O409" s="19">
        <v>6.43</v>
      </c>
      <c r="P409" s="8">
        <f t="shared" ref="P409:P410" si="1226">(O409/100000)*E409</f>
        <v>164.7719007</v>
      </c>
      <c r="Q409" s="19">
        <v>4.43</v>
      </c>
      <c r="R409" s="8">
        <f t="shared" ref="R409:R410" si="1227">(Q409/100000)*E409</f>
        <v>113.5209207</v>
      </c>
      <c r="S409" s="19">
        <v>9.23</v>
      </c>
      <c r="T409" s="11">
        <f t="shared" ref="T409:T410" si="1228">(S409/100000)*E409</f>
        <v>236.5232727</v>
      </c>
      <c r="U409" s="14">
        <f t="shared" si="1219"/>
        <v>1.5418497</v>
      </c>
      <c r="V409" s="14">
        <f t="shared" si="1220"/>
        <v>1.0622697</v>
      </c>
      <c r="W409" s="14">
        <f t="shared" si="1221"/>
        <v>2.2132617</v>
      </c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>
      <c r="A410" s="24" t="s">
        <v>23</v>
      </c>
      <c r="B410" s="16" t="s">
        <v>131</v>
      </c>
      <c r="C410" s="20">
        <v>2021.0</v>
      </c>
      <c r="D410" s="17">
        <f>72634+64598.5</f>
        <v>137232.5</v>
      </c>
      <c r="E410" s="18">
        <v>1.013775E7</v>
      </c>
      <c r="F410" s="19">
        <v>3.43</v>
      </c>
      <c r="G410" s="10">
        <f t="shared" si="1"/>
        <v>347.724825</v>
      </c>
      <c r="H410" s="19">
        <v>2.33</v>
      </c>
      <c r="I410" s="8">
        <f t="shared" si="2"/>
        <v>236.209575</v>
      </c>
      <c r="J410" s="19">
        <v>4.57</v>
      </c>
      <c r="K410" s="11">
        <f t="shared" si="3"/>
        <v>463.295175</v>
      </c>
      <c r="L410" s="11">
        <f t="shared" si="13"/>
        <v>253.3837283</v>
      </c>
      <c r="M410" s="12">
        <f>(I410/D410)*100000</f>
        <v>172.1236405</v>
      </c>
      <c r="N410" s="11">
        <f>(K410/D410)*100000</f>
        <v>337.5987284</v>
      </c>
      <c r="O410" s="19">
        <v>5.09</v>
      </c>
      <c r="P410" s="8">
        <f t="shared" si="1226"/>
        <v>516.011475</v>
      </c>
      <c r="Q410" s="19">
        <v>3.22</v>
      </c>
      <c r="R410" s="8">
        <f t="shared" si="1227"/>
        <v>326.43555</v>
      </c>
      <c r="S410" s="19">
        <v>7.56</v>
      </c>
      <c r="T410" s="11">
        <f t="shared" si="1228"/>
        <v>766.4139</v>
      </c>
      <c r="U410" s="11">
        <f>(P410/D410)*100000</f>
        <v>376.0125881</v>
      </c>
      <c r="V410" s="11">
        <f>(R410/D410)*100000</f>
        <v>237.8704389</v>
      </c>
      <c r="W410" s="11">
        <f>(T410/D410)*100000</f>
        <v>558.4784217</v>
      </c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hidden="1">
      <c r="A411" s="24" t="s">
        <v>25</v>
      </c>
      <c r="B411" s="16" t="s">
        <v>131</v>
      </c>
      <c r="C411" s="23">
        <v>2030.0</v>
      </c>
      <c r="D411" s="17">
        <f>58171+63343</f>
        <v>121514</v>
      </c>
      <c r="E411" s="10">
        <v>1.0532779E7</v>
      </c>
      <c r="F411" s="19">
        <v>3.43</v>
      </c>
      <c r="G411" s="10">
        <f t="shared" si="1"/>
        <v>361.2743197</v>
      </c>
      <c r="H411" s="19">
        <v>2.33</v>
      </c>
      <c r="I411" s="8">
        <f t="shared" si="2"/>
        <v>245.4137507</v>
      </c>
      <c r="J411" s="19">
        <v>4.57</v>
      </c>
      <c r="K411" s="11">
        <f t="shared" si="3"/>
        <v>481.3480003</v>
      </c>
      <c r="L411" s="11">
        <f t="shared" si="13"/>
        <v>297.3108611</v>
      </c>
      <c r="M411" s="11">
        <f t="shared" ref="M411:M413" si="1229">(I411*D411)/100000</f>
        <v>298.212065</v>
      </c>
      <c r="N411" s="11">
        <f t="shared" ref="N411:N413" si="1230">(K411*D411)/100000</f>
        <v>584.9052091</v>
      </c>
      <c r="O411" s="19">
        <v>5.09</v>
      </c>
      <c r="P411" s="19"/>
      <c r="Q411" s="19">
        <v>3.22</v>
      </c>
      <c r="R411" s="19"/>
      <c r="S411" s="19">
        <v>7.56</v>
      </c>
      <c r="T411" s="14"/>
      <c r="U411" s="14">
        <f t="shared" ref="U411:U413" si="1231">(O411*D411)/100000</f>
        <v>6.1850626</v>
      </c>
      <c r="V411" s="14">
        <f t="shared" ref="V411:V413" si="1232">(Q411*D411)/100000</f>
        <v>3.9127508</v>
      </c>
      <c r="W411" s="14">
        <f t="shared" ref="W411:W413" si="1233">(S411*D411)/100000</f>
        <v>9.1864584</v>
      </c>
      <c r="X411" s="13"/>
      <c r="Y411" s="13"/>
      <c r="Z411" s="13" t="str">
        <f t="shared" ref="Z411:Z412" si="1234">ROUND(F411, 0) &amp; " (" &amp; ROUND(H411, 0) &amp; "-" &amp; ROUND(J411, 0) &amp; ")"</f>
        <v>3 (2-5)</v>
      </c>
      <c r="AA411" s="13" t="str">
        <f t="shared" ref="AA411:AA412" si="1235">ROUND(L411, 0) &amp; " (" &amp; ROUND(M411, 0) &amp; "-" &amp; ROUND(N411, 0) &amp; ")"</f>
        <v>297 (298-585)</v>
      </c>
      <c r="AB411" s="13" t="str">
        <f t="shared" ref="AB411:AB412" si="1236">ROUND(O411, 0) &amp; " (" &amp; ROUND(Q411, 0) &amp; "-" &amp; ROUND(S411, 0) &amp; ")"</f>
        <v>5 (3-8)</v>
      </c>
      <c r="AC411" s="13" t="str">
        <f t="shared" ref="AC411:AC412" si="1237">ROUND(U411, 0) &amp; " (" &amp; ROUND(V411, 0) &amp; "-" &amp; ROUND(W411, 0) &amp; ")"</f>
        <v>6 (4-9)</v>
      </c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 hidden="1">
      <c r="A412" s="24" t="s">
        <v>27</v>
      </c>
      <c r="B412" s="16" t="s">
        <v>131</v>
      </c>
      <c r="C412" s="23">
        <v>2040.0</v>
      </c>
      <c r="D412" s="17">
        <f>61153+65190</f>
        <v>126343</v>
      </c>
      <c r="E412" s="10">
        <v>1.0918957E7</v>
      </c>
      <c r="F412" s="19">
        <v>3.43</v>
      </c>
      <c r="G412" s="10">
        <f t="shared" si="1"/>
        <v>374.5202251</v>
      </c>
      <c r="H412" s="19">
        <v>2.33</v>
      </c>
      <c r="I412" s="8">
        <f t="shared" si="2"/>
        <v>254.4116981</v>
      </c>
      <c r="J412" s="19">
        <v>4.57</v>
      </c>
      <c r="K412" s="11">
        <f t="shared" si="3"/>
        <v>498.9963349</v>
      </c>
      <c r="L412" s="11">
        <f t="shared" si="13"/>
        <v>296.431322</v>
      </c>
      <c r="M412" s="11">
        <f t="shared" si="1229"/>
        <v>321.4313717</v>
      </c>
      <c r="N412" s="11">
        <f t="shared" si="1230"/>
        <v>630.4469394</v>
      </c>
      <c r="O412" s="19">
        <v>5.09</v>
      </c>
      <c r="P412" s="19"/>
      <c r="Q412" s="19">
        <v>3.22</v>
      </c>
      <c r="R412" s="19"/>
      <c r="S412" s="19">
        <v>7.56</v>
      </c>
      <c r="T412" s="14"/>
      <c r="U412" s="14">
        <f t="shared" si="1231"/>
        <v>6.4308587</v>
      </c>
      <c r="V412" s="14">
        <f t="shared" si="1232"/>
        <v>4.0682446</v>
      </c>
      <c r="W412" s="14">
        <f t="shared" si="1233"/>
        <v>9.5515308</v>
      </c>
      <c r="X412" s="13"/>
      <c r="Y412" s="13"/>
      <c r="Z412" s="13" t="str">
        <f t="shared" si="1234"/>
        <v>3 (2-5)</v>
      </c>
      <c r="AA412" s="13" t="str">
        <f t="shared" si="1235"/>
        <v>296 (321-630)</v>
      </c>
      <c r="AB412" s="13" t="str">
        <f t="shared" si="1236"/>
        <v>5 (3-8)</v>
      </c>
      <c r="AC412" s="13" t="str">
        <f t="shared" si="1237"/>
        <v>6 (4-10)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 hidden="1">
      <c r="A413" s="24" t="s">
        <v>29</v>
      </c>
      <c r="B413" s="16" t="s">
        <v>131</v>
      </c>
      <c r="C413" s="23">
        <v>2050.0</v>
      </c>
      <c r="D413" s="17">
        <f>56179+59713</f>
        <v>115892</v>
      </c>
      <c r="E413" s="10">
        <v>1.1046616E7</v>
      </c>
      <c r="F413" s="19">
        <v>3.43</v>
      </c>
      <c r="G413" s="10">
        <f t="shared" si="1"/>
        <v>378.8989288</v>
      </c>
      <c r="H413" s="19">
        <v>2.33</v>
      </c>
      <c r="I413" s="8">
        <f t="shared" si="2"/>
        <v>257.3861528</v>
      </c>
      <c r="J413" s="19">
        <v>4.57</v>
      </c>
      <c r="K413" s="11">
        <f t="shared" si="3"/>
        <v>504.8303512</v>
      </c>
      <c r="L413" s="11">
        <f t="shared" si="13"/>
        <v>326.9414013</v>
      </c>
      <c r="M413" s="11">
        <f t="shared" si="1229"/>
        <v>298.2899602</v>
      </c>
      <c r="N413" s="11">
        <f t="shared" si="1230"/>
        <v>585.0579906</v>
      </c>
      <c r="O413" s="19">
        <v>5.09</v>
      </c>
      <c r="P413" s="8">
        <f t="shared" ref="P413:P414" si="1238">(O413/100000)*E413</f>
        <v>562.2727544</v>
      </c>
      <c r="Q413" s="19">
        <v>3.22</v>
      </c>
      <c r="R413" s="8">
        <f t="shared" ref="R413:R414" si="1239">(Q413/100000)*E413</f>
        <v>355.7010352</v>
      </c>
      <c r="S413" s="19">
        <v>7.56</v>
      </c>
      <c r="T413" s="11">
        <f t="shared" ref="T413:T414" si="1240">(S413/100000)*E413</f>
        <v>835.1241696</v>
      </c>
      <c r="U413" s="14">
        <f t="shared" si="1231"/>
        <v>5.8989028</v>
      </c>
      <c r="V413" s="14">
        <f t="shared" si="1232"/>
        <v>3.7317224</v>
      </c>
      <c r="W413" s="14">
        <f t="shared" si="1233"/>
        <v>8.7614352</v>
      </c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>
      <c r="A414" s="24" t="s">
        <v>23</v>
      </c>
      <c r="B414" s="16" t="s">
        <v>132</v>
      </c>
      <c r="C414" s="20">
        <v>2021.0</v>
      </c>
      <c r="D414" s="17">
        <f>25171+23597</f>
        <v>48768</v>
      </c>
      <c r="E414" s="18">
        <v>3708610.0</v>
      </c>
      <c r="F414" s="19">
        <v>2.57</v>
      </c>
      <c r="G414" s="10">
        <f t="shared" si="1"/>
        <v>95.311277</v>
      </c>
      <c r="H414" s="19">
        <v>1.85</v>
      </c>
      <c r="I414" s="8">
        <f t="shared" si="2"/>
        <v>68.609285</v>
      </c>
      <c r="J414" s="19">
        <v>3.45</v>
      </c>
      <c r="K414" s="11">
        <f t="shared" si="3"/>
        <v>127.947045</v>
      </c>
      <c r="L414" s="11">
        <f t="shared" si="13"/>
        <v>195.43815</v>
      </c>
      <c r="M414" s="12">
        <f>(I414/D414)*100000</f>
        <v>140.6850496</v>
      </c>
      <c r="N414" s="11">
        <f>(K414/D414)*100000</f>
        <v>262.3586061</v>
      </c>
      <c r="O414" s="19">
        <v>4.0</v>
      </c>
      <c r="P414" s="8">
        <f t="shared" si="1238"/>
        <v>148.3444</v>
      </c>
      <c r="Q414" s="19">
        <v>2.53</v>
      </c>
      <c r="R414" s="8">
        <f t="shared" si="1239"/>
        <v>93.827833</v>
      </c>
      <c r="S414" s="19">
        <v>5.96</v>
      </c>
      <c r="T414" s="11">
        <f t="shared" si="1240"/>
        <v>221.033156</v>
      </c>
      <c r="U414" s="11">
        <f>(P414/D414)*100000</f>
        <v>304.1838911</v>
      </c>
      <c r="V414" s="11">
        <f>(R414/D414)*100000</f>
        <v>192.3963111</v>
      </c>
      <c r="W414" s="11">
        <f>(T414/D414)*100000</f>
        <v>453.2339977</v>
      </c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hidden="1">
      <c r="A415" s="24" t="s">
        <v>25</v>
      </c>
      <c r="B415" s="16" t="s">
        <v>132</v>
      </c>
      <c r="C415" s="23">
        <v>2030.0</v>
      </c>
      <c r="D415" s="17">
        <f>19214+20429</f>
        <v>39643</v>
      </c>
      <c r="E415" s="10">
        <v>3660214.0</v>
      </c>
      <c r="F415" s="19">
        <v>2.57</v>
      </c>
      <c r="G415" s="10">
        <f t="shared" si="1"/>
        <v>94.0674998</v>
      </c>
      <c r="H415" s="19">
        <v>1.85</v>
      </c>
      <c r="I415" s="8">
        <f t="shared" si="2"/>
        <v>67.713959</v>
      </c>
      <c r="J415" s="19">
        <v>3.45</v>
      </c>
      <c r="K415" s="11">
        <f t="shared" si="3"/>
        <v>126.277383</v>
      </c>
      <c r="L415" s="11">
        <f t="shared" si="13"/>
        <v>237.2865318</v>
      </c>
      <c r="M415" s="11">
        <f t="shared" ref="M415:M417" si="1241">(I415*D415)/100000</f>
        <v>26.84384477</v>
      </c>
      <c r="N415" s="11">
        <f t="shared" ref="N415:N417" si="1242">(K415*D415)/100000</f>
        <v>50.06014294</v>
      </c>
      <c r="O415" s="19">
        <v>4.0</v>
      </c>
      <c r="P415" s="19"/>
      <c r="Q415" s="19">
        <v>2.53</v>
      </c>
      <c r="R415" s="19"/>
      <c r="S415" s="19">
        <v>5.96</v>
      </c>
      <c r="T415" s="14"/>
      <c r="U415" s="14">
        <f t="shared" ref="U415:U417" si="1243">(O415*D415)/100000</f>
        <v>1.58572</v>
      </c>
      <c r="V415" s="14">
        <f t="shared" ref="V415:V417" si="1244">(Q415*D415)/100000</f>
        <v>1.0029679</v>
      </c>
      <c r="W415" s="14">
        <f t="shared" ref="W415:W417" si="1245">(S415*D415)/100000</f>
        <v>2.3627228</v>
      </c>
      <c r="X415" s="13"/>
      <c r="Y415" s="13"/>
      <c r="Z415" s="13" t="str">
        <f t="shared" ref="Z415:Z416" si="1246">ROUND(F415, 0) &amp; " (" &amp; ROUND(H415, 0) &amp; "-" &amp; ROUND(J415, 0) &amp; ")"</f>
        <v>3 (2-3)</v>
      </c>
      <c r="AA415" s="13" t="str">
        <f t="shared" ref="AA415:AA416" si="1247">ROUND(L415, 0) &amp; " (" &amp; ROUND(M415, 0) &amp; "-" &amp; ROUND(N415, 0) &amp; ")"</f>
        <v>237 (27-50)</v>
      </c>
      <c r="AB415" s="13" t="str">
        <f t="shared" ref="AB415:AB416" si="1248">ROUND(O415, 0) &amp; " (" &amp; ROUND(Q415, 0) &amp; "-" &amp; ROUND(S415, 0) &amp; ")"</f>
        <v>4 (3-6)</v>
      </c>
      <c r="AC415" s="13" t="str">
        <f t="shared" ref="AC415:AC416" si="1249">ROUND(U415, 0) &amp; " (" &amp; ROUND(V415, 0) &amp; "-" &amp; ROUND(W415, 0) &amp; ")"</f>
        <v>2 (1-2)</v>
      </c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hidden="1">
      <c r="A416" s="24" t="s">
        <v>27</v>
      </c>
      <c r="B416" s="16" t="s">
        <v>132</v>
      </c>
      <c r="C416" s="23">
        <v>2040.0</v>
      </c>
      <c r="D416" s="17">
        <f>20077+21347</f>
        <v>41424</v>
      </c>
      <c r="E416" s="10">
        <v>3597086.0</v>
      </c>
      <c r="F416" s="19">
        <v>2.57</v>
      </c>
      <c r="G416" s="10">
        <f t="shared" si="1"/>
        <v>92.4451102</v>
      </c>
      <c r="H416" s="19">
        <v>1.85</v>
      </c>
      <c r="I416" s="8">
        <f t="shared" si="2"/>
        <v>66.546091</v>
      </c>
      <c r="J416" s="19">
        <v>3.45</v>
      </c>
      <c r="K416" s="11">
        <f t="shared" si="3"/>
        <v>124.099467</v>
      </c>
      <c r="L416" s="11">
        <f t="shared" si="13"/>
        <v>223.1679949</v>
      </c>
      <c r="M416" s="11">
        <f t="shared" si="1241"/>
        <v>27.56605274</v>
      </c>
      <c r="N416" s="11">
        <f t="shared" si="1242"/>
        <v>51.40696321</v>
      </c>
      <c r="O416" s="19">
        <v>4.0</v>
      </c>
      <c r="P416" s="19"/>
      <c r="Q416" s="19">
        <v>2.53</v>
      </c>
      <c r="R416" s="19"/>
      <c r="S416" s="19">
        <v>5.96</v>
      </c>
      <c r="T416" s="14"/>
      <c r="U416" s="14">
        <f t="shared" si="1243"/>
        <v>1.65696</v>
      </c>
      <c r="V416" s="14">
        <f t="shared" si="1244"/>
        <v>1.0480272</v>
      </c>
      <c r="W416" s="14">
        <f t="shared" si="1245"/>
        <v>2.4688704</v>
      </c>
      <c r="X416" s="13"/>
      <c r="Y416" s="13"/>
      <c r="Z416" s="13" t="str">
        <f t="shared" si="1246"/>
        <v>3 (2-3)</v>
      </c>
      <c r="AA416" s="13" t="str">
        <f t="shared" si="1247"/>
        <v>223 (28-51)</v>
      </c>
      <c r="AB416" s="13" t="str">
        <f t="shared" si="1248"/>
        <v>4 (3-6)</v>
      </c>
      <c r="AC416" s="13" t="str">
        <f t="shared" si="1249"/>
        <v>2 (1-2)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hidden="1">
      <c r="A417" s="24" t="s">
        <v>29</v>
      </c>
      <c r="B417" s="16" t="s">
        <v>132</v>
      </c>
      <c r="C417" s="23">
        <v>2050.0</v>
      </c>
      <c r="D417" s="17">
        <f>19505+20752</f>
        <v>40257</v>
      </c>
      <c r="E417" s="10">
        <v>3525160.0</v>
      </c>
      <c r="F417" s="19">
        <v>2.57</v>
      </c>
      <c r="G417" s="10">
        <f t="shared" si="1"/>
        <v>90.596612</v>
      </c>
      <c r="H417" s="19">
        <v>1.85</v>
      </c>
      <c r="I417" s="8">
        <f t="shared" si="2"/>
        <v>65.21546</v>
      </c>
      <c r="J417" s="19">
        <v>3.45</v>
      </c>
      <c r="K417" s="11">
        <f t="shared" si="3"/>
        <v>121.61802</v>
      </c>
      <c r="L417" s="11">
        <f t="shared" si="13"/>
        <v>225.0456119</v>
      </c>
      <c r="M417" s="11">
        <f t="shared" si="1241"/>
        <v>26.25378773</v>
      </c>
      <c r="N417" s="11">
        <f t="shared" si="1242"/>
        <v>48.95976631</v>
      </c>
      <c r="O417" s="19">
        <v>4.0</v>
      </c>
      <c r="P417" s="8">
        <f t="shared" ref="P417:P418" si="1250">(O417/100000)*E417</f>
        <v>141.0064</v>
      </c>
      <c r="Q417" s="19">
        <v>2.53</v>
      </c>
      <c r="R417" s="8">
        <f t="shared" ref="R417:R418" si="1251">(Q417/100000)*E417</f>
        <v>89.186548</v>
      </c>
      <c r="S417" s="19">
        <v>5.96</v>
      </c>
      <c r="T417" s="11">
        <f t="shared" ref="T417:T418" si="1252">(S417/100000)*E417</f>
        <v>210.099536</v>
      </c>
      <c r="U417" s="14">
        <f t="shared" si="1243"/>
        <v>1.61028</v>
      </c>
      <c r="V417" s="14">
        <f t="shared" si="1244"/>
        <v>1.0185021</v>
      </c>
      <c r="W417" s="14">
        <f t="shared" si="1245"/>
        <v>2.3993172</v>
      </c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>
      <c r="A418" s="24" t="s">
        <v>23</v>
      </c>
      <c r="B418" s="16" t="s">
        <v>133</v>
      </c>
      <c r="C418" s="20">
        <v>2021.0</v>
      </c>
      <c r="D418" s="17">
        <f>226894.5+215241</f>
        <v>442135.5</v>
      </c>
      <c r="E418" s="18">
        <v>1.9743603E7</v>
      </c>
      <c r="F418" s="19">
        <v>6.57</v>
      </c>
      <c r="G418" s="10">
        <f t="shared" si="1"/>
        <v>1297.154717</v>
      </c>
      <c r="H418" s="19">
        <v>4.48</v>
      </c>
      <c r="I418" s="8">
        <f t="shared" si="2"/>
        <v>884.5134144</v>
      </c>
      <c r="J418" s="19">
        <v>8.94</v>
      </c>
      <c r="K418" s="11">
        <f t="shared" si="3"/>
        <v>1765.078108</v>
      </c>
      <c r="L418" s="11">
        <f t="shared" si="13"/>
        <v>293.3839778</v>
      </c>
      <c r="M418" s="12">
        <f>(I418/D418)*100000</f>
        <v>200.0548281</v>
      </c>
      <c r="N418" s="11">
        <f>(K418/D418)*100000</f>
        <v>399.2165542</v>
      </c>
      <c r="O418" s="19">
        <v>5.81</v>
      </c>
      <c r="P418" s="8">
        <f t="shared" si="1250"/>
        <v>1147.103334</v>
      </c>
      <c r="Q418" s="19">
        <v>3.77</v>
      </c>
      <c r="R418" s="8">
        <f t="shared" si="1251"/>
        <v>744.3338331</v>
      </c>
      <c r="S418" s="19">
        <v>8.5</v>
      </c>
      <c r="T418" s="11">
        <f t="shared" si="1252"/>
        <v>1678.206255</v>
      </c>
      <c r="U418" s="11">
        <f>(P418/D418)*100000</f>
        <v>259.4461052</v>
      </c>
      <c r="V418" s="11">
        <f>(R418/D418)*100000</f>
        <v>168.3497102</v>
      </c>
      <c r="W418" s="11">
        <f>(T418/D418)*100000</f>
        <v>379.5683122</v>
      </c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hidden="1">
      <c r="A419" s="24" t="s">
        <v>25</v>
      </c>
      <c r="B419" s="16" t="s">
        <v>133</v>
      </c>
      <c r="C419" s="23">
        <v>2030.0</v>
      </c>
      <c r="D419" s="17">
        <f>186378+197842</f>
        <v>384220</v>
      </c>
      <c r="E419" s="10">
        <v>2.2003193E7</v>
      </c>
      <c r="F419" s="19">
        <v>6.57</v>
      </c>
      <c r="G419" s="10">
        <f t="shared" si="1"/>
        <v>1445.60978</v>
      </c>
      <c r="H419" s="19">
        <v>4.48</v>
      </c>
      <c r="I419" s="8">
        <f t="shared" si="2"/>
        <v>985.7430464</v>
      </c>
      <c r="J419" s="19">
        <v>8.94</v>
      </c>
      <c r="K419" s="11">
        <f t="shared" si="3"/>
        <v>1967.085454</v>
      </c>
      <c r="L419" s="11">
        <f t="shared" si="13"/>
        <v>376.245323</v>
      </c>
      <c r="M419" s="11">
        <f t="shared" ref="M419:M421" si="1253">(I419*D419)/100000</f>
        <v>3787.421933</v>
      </c>
      <c r="N419" s="11">
        <f t="shared" ref="N419:N421" si="1254">(K419*D419)/100000</f>
        <v>7557.935732</v>
      </c>
      <c r="O419" s="19">
        <v>5.81</v>
      </c>
      <c r="P419" s="19"/>
      <c r="Q419" s="19">
        <v>3.77</v>
      </c>
      <c r="R419" s="19"/>
      <c r="S419" s="19">
        <v>8.5</v>
      </c>
      <c r="T419" s="14"/>
      <c r="U419" s="14">
        <f t="shared" ref="U419:U421" si="1255">(O419*D419)/100000</f>
        <v>22.323182</v>
      </c>
      <c r="V419" s="14">
        <f t="shared" ref="V419:V421" si="1256">(Q419*D419)/100000</f>
        <v>14.485094</v>
      </c>
      <c r="W419" s="14">
        <f t="shared" ref="W419:W421" si="1257">(S419*D419)/100000</f>
        <v>32.6587</v>
      </c>
      <c r="X419" s="13"/>
      <c r="Y419" s="13"/>
      <c r="Z419" s="13" t="str">
        <f t="shared" ref="Z419:Z420" si="1258">ROUND(F419, 0) &amp; " (" &amp; ROUND(H419, 0) &amp; "-" &amp; ROUND(J419, 0) &amp; ")"</f>
        <v>7 (4-9)</v>
      </c>
      <c r="AA419" s="13" t="str">
        <f t="shared" ref="AA419:AA420" si="1259">ROUND(L419, 0) &amp; " (" &amp; ROUND(M419, 0) &amp; "-" &amp; ROUND(N419, 0) &amp; ")"</f>
        <v>376 (3787-7558)</v>
      </c>
      <c r="AB419" s="13" t="str">
        <f t="shared" ref="AB419:AB420" si="1260">ROUND(O419, 0) &amp; " (" &amp; ROUND(Q419, 0) &amp; "-" &amp; ROUND(S419, 0) &amp; ")"</f>
        <v>6 (4-9)</v>
      </c>
      <c r="AC419" s="13" t="str">
        <f t="shared" ref="AC419:AC420" si="1261">ROUND(U419, 0) &amp; " (" &amp; ROUND(V419, 0) &amp; "-" &amp; ROUND(W419, 0) &amp; ")"</f>
        <v>22 (14-33)</v>
      </c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hidden="1">
      <c r="A420" s="24" t="s">
        <v>27</v>
      </c>
      <c r="B420" s="16" t="s">
        <v>133</v>
      </c>
      <c r="C420" s="23">
        <v>2040.0</v>
      </c>
      <c r="D420" s="17">
        <f>208862+221625</f>
        <v>430487</v>
      </c>
      <c r="E420" s="10">
        <v>2.4246823E7</v>
      </c>
      <c r="F420" s="19">
        <v>6.57</v>
      </c>
      <c r="G420" s="10">
        <f t="shared" si="1"/>
        <v>1593.016271</v>
      </c>
      <c r="H420" s="19">
        <v>4.48</v>
      </c>
      <c r="I420" s="8">
        <f t="shared" si="2"/>
        <v>1086.25767</v>
      </c>
      <c r="J420" s="19">
        <v>8.94</v>
      </c>
      <c r="K420" s="11">
        <f t="shared" si="3"/>
        <v>2167.665976</v>
      </c>
      <c r="L420" s="11">
        <f t="shared" si="13"/>
        <v>370.0497973</v>
      </c>
      <c r="M420" s="11">
        <f t="shared" si="1253"/>
        <v>4676.198058</v>
      </c>
      <c r="N420" s="11">
        <f t="shared" si="1254"/>
        <v>9331.520231</v>
      </c>
      <c r="O420" s="19">
        <v>5.81</v>
      </c>
      <c r="P420" s="19"/>
      <c r="Q420" s="19">
        <v>3.77</v>
      </c>
      <c r="R420" s="19"/>
      <c r="S420" s="19">
        <v>8.5</v>
      </c>
      <c r="T420" s="14"/>
      <c r="U420" s="14">
        <f t="shared" si="1255"/>
        <v>25.0112947</v>
      </c>
      <c r="V420" s="14">
        <f t="shared" si="1256"/>
        <v>16.2293599</v>
      </c>
      <c r="W420" s="14">
        <f t="shared" si="1257"/>
        <v>36.591395</v>
      </c>
      <c r="X420" s="13"/>
      <c r="Y420" s="13"/>
      <c r="Z420" s="13" t="str">
        <f t="shared" si="1258"/>
        <v>7 (4-9)</v>
      </c>
      <c r="AA420" s="13" t="str">
        <f t="shared" si="1259"/>
        <v>370 (4676-9332)</v>
      </c>
      <c r="AB420" s="13" t="str">
        <f t="shared" si="1260"/>
        <v>6 (4-9)</v>
      </c>
      <c r="AC420" s="13" t="str">
        <f t="shared" si="1261"/>
        <v>25 (16-37)</v>
      </c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hidden="1">
      <c r="A421" s="24" t="s">
        <v>29</v>
      </c>
      <c r="B421" s="16" t="s">
        <v>133</v>
      </c>
      <c r="C421" s="23">
        <v>2050.0</v>
      </c>
      <c r="D421" s="17">
        <f>218206+231590</f>
        <v>449796</v>
      </c>
      <c r="E421" s="10">
        <v>2.6544265E7</v>
      </c>
      <c r="F421" s="19">
        <v>6.57</v>
      </c>
      <c r="G421" s="10">
        <f t="shared" si="1"/>
        <v>1743.958211</v>
      </c>
      <c r="H421" s="19">
        <v>4.48</v>
      </c>
      <c r="I421" s="8">
        <f t="shared" si="2"/>
        <v>1189.183072</v>
      </c>
      <c r="J421" s="19">
        <v>8.94</v>
      </c>
      <c r="K421" s="11">
        <f t="shared" si="3"/>
        <v>2373.057291</v>
      </c>
      <c r="L421" s="11">
        <f t="shared" si="13"/>
        <v>387.7220363</v>
      </c>
      <c r="M421" s="11">
        <f t="shared" si="1253"/>
        <v>5348.897891</v>
      </c>
      <c r="N421" s="11">
        <f t="shared" si="1254"/>
        <v>10673.91677</v>
      </c>
      <c r="O421" s="19">
        <v>5.81</v>
      </c>
      <c r="P421" s="8">
        <f t="shared" ref="P421:P422" si="1262">(O421/100000)*E421</f>
        <v>1542.221797</v>
      </c>
      <c r="Q421" s="19">
        <v>3.77</v>
      </c>
      <c r="R421" s="8">
        <f t="shared" ref="R421:R422" si="1263">(Q421/100000)*E421</f>
        <v>1000.718791</v>
      </c>
      <c r="S421" s="19">
        <v>8.5</v>
      </c>
      <c r="T421" s="11">
        <f t="shared" ref="T421:T422" si="1264">(S421/100000)*E421</f>
        <v>2256.262525</v>
      </c>
      <c r="U421" s="14">
        <f t="shared" si="1255"/>
        <v>26.1331476</v>
      </c>
      <c r="V421" s="14">
        <f t="shared" si="1256"/>
        <v>16.9573092</v>
      </c>
      <c r="W421" s="14">
        <f t="shared" si="1257"/>
        <v>38.23266</v>
      </c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>
      <c r="A422" s="24" t="s">
        <v>23</v>
      </c>
      <c r="B422" s="16" t="s">
        <v>134</v>
      </c>
      <c r="C422" s="20">
        <v>2021.0</v>
      </c>
      <c r="D422" s="17">
        <f>81003+76399</f>
        <v>157402</v>
      </c>
      <c r="E422" s="18">
        <v>6851224.0</v>
      </c>
      <c r="F422" s="19">
        <v>4.82</v>
      </c>
      <c r="G422" s="10">
        <f t="shared" si="1"/>
        <v>330.2289968</v>
      </c>
      <c r="H422" s="19">
        <v>3.3</v>
      </c>
      <c r="I422" s="8">
        <f t="shared" si="2"/>
        <v>226.090392</v>
      </c>
      <c r="J422" s="19">
        <v>6.86</v>
      </c>
      <c r="K422" s="11">
        <f t="shared" si="3"/>
        <v>469.9939664</v>
      </c>
      <c r="L422" s="11">
        <f t="shared" si="13"/>
        <v>209.7997464</v>
      </c>
      <c r="M422" s="12">
        <f>(I422/D422)*100000</f>
        <v>143.6388305</v>
      </c>
      <c r="N422" s="11">
        <f>(K422/D422)*100000</f>
        <v>298.5946598</v>
      </c>
      <c r="O422" s="19">
        <v>5.83</v>
      </c>
      <c r="P422" s="8">
        <f t="shared" si="1262"/>
        <v>399.4263592</v>
      </c>
      <c r="Q422" s="19">
        <v>3.74</v>
      </c>
      <c r="R422" s="8">
        <f t="shared" si="1263"/>
        <v>256.2357776</v>
      </c>
      <c r="S422" s="19">
        <v>8.9</v>
      </c>
      <c r="T422" s="11">
        <f t="shared" si="1264"/>
        <v>609.758936</v>
      </c>
      <c r="U422" s="11">
        <f>(P422/D422)*100000</f>
        <v>253.7619339</v>
      </c>
      <c r="V422" s="11">
        <f>(R422/D422)*100000</f>
        <v>162.7906746</v>
      </c>
      <c r="W422" s="11">
        <f>(T422/D422)*100000</f>
        <v>387.3895732</v>
      </c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hidden="1">
      <c r="A423" s="24" t="s">
        <v>25</v>
      </c>
      <c r="B423" s="16" t="s">
        <v>134</v>
      </c>
      <c r="C423" s="23">
        <v>2030.0</v>
      </c>
      <c r="D423" s="17">
        <f>186378+197842</f>
        <v>384220</v>
      </c>
      <c r="E423" s="10">
        <v>7844494.0</v>
      </c>
      <c r="F423" s="19">
        <v>4.82</v>
      </c>
      <c r="G423" s="10">
        <f t="shared" si="1"/>
        <v>378.1046108</v>
      </c>
      <c r="H423" s="19">
        <v>3.3</v>
      </c>
      <c r="I423" s="8">
        <f t="shared" si="2"/>
        <v>258.868302</v>
      </c>
      <c r="J423" s="19">
        <v>6.86</v>
      </c>
      <c r="K423" s="11">
        <f t="shared" si="3"/>
        <v>538.1322884</v>
      </c>
      <c r="L423" s="11">
        <f t="shared" si="13"/>
        <v>98.4083626</v>
      </c>
      <c r="M423" s="11">
        <f t="shared" ref="M423:M425" si="1265">(I423*D423)/100000</f>
        <v>994.6237899</v>
      </c>
      <c r="N423" s="11">
        <f t="shared" ref="N423:N425" si="1266">(K423*D423)/100000</f>
        <v>2067.611878</v>
      </c>
      <c r="O423" s="19">
        <v>5.83</v>
      </c>
      <c r="P423" s="19"/>
      <c r="Q423" s="19">
        <v>3.74</v>
      </c>
      <c r="R423" s="19"/>
      <c r="S423" s="19">
        <v>8.9</v>
      </c>
      <c r="T423" s="14"/>
      <c r="U423" s="14">
        <f t="shared" ref="U423:U425" si="1267">(O423*D423)/100000</f>
        <v>22.400026</v>
      </c>
      <c r="V423" s="14">
        <f t="shared" ref="V423:V425" si="1268">(Q423*D423)/100000</f>
        <v>14.369828</v>
      </c>
      <c r="W423" s="14">
        <f t="shared" ref="W423:W425" si="1269">(S423*D423)/100000</f>
        <v>34.19558</v>
      </c>
      <c r="X423" s="13"/>
      <c r="Y423" s="13"/>
      <c r="Z423" s="13" t="str">
        <f t="shared" ref="Z423:Z424" si="1270">ROUND(F423, 0) &amp; " (" &amp; ROUND(H423, 0) &amp; "-" &amp; ROUND(J423, 0) &amp; ")"</f>
        <v>5 (3-7)</v>
      </c>
      <c r="AA423" s="13" t="str">
        <f t="shared" ref="AA423:AA424" si="1271">ROUND(L423, 0) &amp; " (" &amp; ROUND(M423, 0) &amp; "-" &amp; ROUND(N423, 0) &amp; ")"</f>
        <v>98 (995-2068)</v>
      </c>
      <c r="AB423" s="13" t="str">
        <f t="shared" ref="AB423:AB424" si="1272">ROUND(O423, 0) &amp; " (" &amp; ROUND(Q423, 0) &amp; "-" &amp; ROUND(S423, 0) &amp; ")"</f>
        <v>6 (4-9)</v>
      </c>
      <c r="AC423" s="13" t="str">
        <f t="shared" ref="AC423:AC424" si="1273">ROUND(U423, 0) &amp; " (" &amp; ROUND(V423, 0) &amp; "-" &amp; ROUND(W423, 0) &amp; ")"</f>
        <v>22 (14-34)</v>
      </c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hidden="1">
      <c r="A424" s="24" t="s">
        <v>27</v>
      </c>
      <c r="B424" s="16" t="s">
        <v>134</v>
      </c>
      <c r="C424" s="23">
        <v>2040.0</v>
      </c>
      <c r="D424" s="17">
        <f>208862+221625</f>
        <v>430487</v>
      </c>
      <c r="E424" s="10">
        <v>8789489.0</v>
      </c>
      <c r="F424" s="19">
        <v>4.82</v>
      </c>
      <c r="G424" s="10">
        <f t="shared" si="1"/>
        <v>423.6533698</v>
      </c>
      <c r="H424" s="19">
        <v>3.3</v>
      </c>
      <c r="I424" s="8">
        <f t="shared" si="2"/>
        <v>290.053137</v>
      </c>
      <c r="J424" s="19">
        <v>6.86</v>
      </c>
      <c r="K424" s="11">
        <f t="shared" si="3"/>
        <v>602.9589454</v>
      </c>
      <c r="L424" s="11">
        <f t="shared" si="13"/>
        <v>98.41258152</v>
      </c>
      <c r="M424" s="11">
        <f t="shared" si="1265"/>
        <v>1248.641048</v>
      </c>
      <c r="N424" s="11">
        <f t="shared" si="1266"/>
        <v>2595.659875</v>
      </c>
      <c r="O424" s="19">
        <v>5.83</v>
      </c>
      <c r="P424" s="19"/>
      <c r="Q424" s="19">
        <v>3.74</v>
      </c>
      <c r="R424" s="19"/>
      <c r="S424" s="19">
        <v>8.9</v>
      </c>
      <c r="T424" s="14"/>
      <c r="U424" s="14">
        <f t="shared" si="1267"/>
        <v>25.0973921</v>
      </c>
      <c r="V424" s="14">
        <f t="shared" si="1268"/>
        <v>16.1002138</v>
      </c>
      <c r="W424" s="14">
        <f t="shared" si="1269"/>
        <v>38.313343</v>
      </c>
      <c r="X424" s="13"/>
      <c r="Y424" s="13"/>
      <c r="Z424" s="13" t="str">
        <f t="shared" si="1270"/>
        <v>5 (3-7)</v>
      </c>
      <c r="AA424" s="13" t="str">
        <f t="shared" si="1271"/>
        <v>98 (1249-2596)</v>
      </c>
      <c r="AB424" s="13" t="str">
        <f t="shared" si="1272"/>
        <v>6 (4-9)</v>
      </c>
      <c r="AC424" s="13" t="str">
        <f t="shared" si="1273"/>
        <v>25 (16-38)</v>
      </c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hidden="1">
      <c r="A425" s="24" t="s">
        <v>29</v>
      </c>
      <c r="B425" s="16" t="s">
        <v>134</v>
      </c>
      <c r="C425" s="23">
        <v>2050.0</v>
      </c>
      <c r="D425" s="17">
        <f>218206+231590</f>
        <v>449796</v>
      </c>
      <c r="E425" s="10">
        <v>9667859.0</v>
      </c>
      <c r="F425" s="19">
        <v>4.82</v>
      </c>
      <c r="G425" s="10">
        <f t="shared" si="1"/>
        <v>465.9908038</v>
      </c>
      <c r="H425" s="19">
        <v>3.3</v>
      </c>
      <c r="I425" s="8">
        <f t="shared" si="2"/>
        <v>319.039347</v>
      </c>
      <c r="J425" s="19">
        <v>6.86</v>
      </c>
      <c r="K425" s="11">
        <f t="shared" si="3"/>
        <v>663.2151274</v>
      </c>
      <c r="L425" s="11">
        <f t="shared" si="13"/>
        <v>103.6004775</v>
      </c>
      <c r="M425" s="11">
        <f t="shared" si="1265"/>
        <v>1435.026221</v>
      </c>
      <c r="N425" s="11">
        <f t="shared" si="1266"/>
        <v>2983.115114</v>
      </c>
      <c r="O425" s="19">
        <v>5.83</v>
      </c>
      <c r="P425" s="8">
        <f t="shared" ref="P425:P426" si="1274">(O425/100000)*E425</f>
        <v>563.6361797</v>
      </c>
      <c r="Q425" s="19">
        <v>3.74</v>
      </c>
      <c r="R425" s="8">
        <f t="shared" ref="R425:R426" si="1275">(Q425/100000)*E425</f>
        <v>361.5779266</v>
      </c>
      <c r="S425" s="19">
        <v>8.9</v>
      </c>
      <c r="T425" s="11">
        <f t="shared" ref="T425:T426" si="1276">(S425/100000)*E425</f>
        <v>860.439451</v>
      </c>
      <c r="U425" s="14">
        <f t="shared" si="1267"/>
        <v>26.2231068</v>
      </c>
      <c r="V425" s="14">
        <f t="shared" si="1268"/>
        <v>16.8223704</v>
      </c>
      <c r="W425" s="14">
        <f t="shared" si="1269"/>
        <v>40.031844</v>
      </c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>
      <c r="A426" s="24" t="s">
        <v>23</v>
      </c>
      <c r="B426" s="16" t="s">
        <v>135</v>
      </c>
      <c r="C426" s="20">
        <v>2021.0</v>
      </c>
      <c r="D426" s="17">
        <f>36321.5+34780.5</f>
        <v>71102</v>
      </c>
      <c r="E426" s="18">
        <v>3383741.0</v>
      </c>
      <c r="F426" s="19">
        <v>6.82</v>
      </c>
      <c r="G426" s="10">
        <f t="shared" si="1"/>
        <v>230.7711362</v>
      </c>
      <c r="H426" s="19">
        <v>4.4</v>
      </c>
      <c r="I426" s="8">
        <f t="shared" si="2"/>
        <v>148.884604</v>
      </c>
      <c r="J426" s="19">
        <v>10.17</v>
      </c>
      <c r="K426" s="11">
        <f t="shared" si="3"/>
        <v>344.1264597</v>
      </c>
      <c r="L426" s="11">
        <f t="shared" si="13"/>
        <v>324.563495</v>
      </c>
      <c r="M426" s="12">
        <f>(I426/D426)*100000</f>
        <v>209.3958032</v>
      </c>
      <c r="N426" s="11">
        <f>(K426/D426)*100000</f>
        <v>483.9898452</v>
      </c>
      <c r="O426" s="19">
        <v>7.92</v>
      </c>
      <c r="P426" s="8">
        <f t="shared" si="1274"/>
        <v>267.9922872</v>
      </c>
      <c r="Q426" s="19">
        <v>4.92</v>
      </c>
      <c r="R426" s="8">
        <f t="shared" si="1275"/>
        <v>166.4800572</v>
      </c>
      <c r="S426" s="19">
        <v>13.36</v>
      </c>
      <c r="T426" s="11">
        <f t="shared" si="1276"/>
        <v>452.0677976</v>
      </c>
      <c r="U426" s="11">
        <f>(P426/D426)*100000</f>
        <v>376.9124458</v>
      </c>
      <c r="V426" s="11">
        <f>(R426/D426)*100000</f>
        <v>234.14258</v>
      </c>
      <c r="W426" s="11">
        <f>(T426/D426)*100000</f>
        <v>635.8018025</v>
      </c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hidden="1">
      <c r="A427" s="24" t="s">
        <v>25</v>
      </c>
      <c r="B427" s="16" t="s">
        <v>135</v>
      </c>
      <c r="C427" s="23">
        <v>2030.0</v>
      </c>
      <c r="D427" s="17">
        <f>28586+29691</f>
        <v>58277</v>
      </c>
      <c r="E427" s="10">
        <v>3758038.0</v>
      </c>
      <c r="F427" s="19">
        <v>6.82</v>
      </c>
      <c r="G427" s="10">
        <f t="shared" si="1"/>
        <v>256.2981916</v>
      </c>
      <c r="H427" s="19">
        <v>4.4</v>
      </c>
      <c r="I427" s="8">
        <f t="shared" si="2"/>
        <v>165.353672</v>
      </c>
      <c r="J427" s="19">
        <v>10.17</v>
      </c>
      <c r="K427" s="11">
        <f t="shared" si="3"/>
        <v>382.1924646</v>
      </c>
      <c r="L427" s="11">
        <f t="shared" si="13"/>
        <v>439.7930429</v>
      </c>
      <c r="M427" s="11">
        <f t="shared" ref="M427:M429" si="1277">(I427*D427)/100000</f>
        <v>96.36315943</v>
      </c>
      <c r="N427" s="11">
        <f t="shared" ref="N427:N429" si="1278">(K427*D427)/100000</f>
        <v>222.7303026</v>
      </c>
      <c r="O427" s="19">
        <v>7.92</v>
      </c>
      <c r="P427" s="19"/>
      <c r="Q427" s="19">
        <v>4.92</v>
      </c>
      <c r="R427" s="19"/>
      <c r="S427" s="19">
        <v>13.36</v>
      </c>
      <c r="T427" s="14"/>
      <c r="U427" s="14">
        <f t="shared" ref="U427:U429" si="1279">(O427*D427)/100000</f>
        <v>4.6155384</v>
      </c>
      <c r="V427" s="14">
        <f t="shared" ref="V427:V429" si="1280">(Q427*D427)/100000</f>
        <v>2.8672284</v>
      </c>
      <c r="W427" s="14">
        <f t="shared" ref="W427:W429" si="1281">(S427*D427)/100000</f>
        <v>7.7858072</v>
      </c>
      <c r="X427" s="13"/>
      <c r="Y427" s="13"/>
      <c r="Z427" s="13" t="str">
        <f t="shared" ref="Z427:Z428" si="1282">ROUND(F427, 0) &amp; " (" &amp; ROUND(H427, 0) &amp; "-" &amp; ROUND(J427, 0) &amp; ")"</f>
        <v>7 (4-10)</v>
      </c>
      <c r="AA427" s="13" t="str">
        <f t="shared" ref="AA427:AA428" si="1283">ROUND(L427, 0) &amp; " (" &amp; ROUND(M427, 0) &amp; "-" &amp; ROUND(N427, 0) &amp; ")"</f>
        <v>440 (96-223)</v>
      </c>
      <c r="AB427" s="13" t="str">
        <f t="shared" ref="AB427:AB428" si="1284">ROUND(O427, 0) &amp; " (" &amp; ROUND(Q427, 0) &amp; "-" &amp; ROUND(S427, 0) &amp; ")"</f>
        <v>8 (5-13)</v>
      </c>
      <c r="AC427" s="13" t="str">
        <f t="shared" ref="AC427:AC428" si="1285">ROUND(U427, 0) &amp; " (" &amp; ROUND(V427, 0) &amp; "-" &amp; ROUND(W427, 0) &amp; ")"</f>
        <v>5 (3-8)</v>
      </c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hidden="1">
      <c r="A428" s="24" t="s">
        <v>27</v>
      </c>
      <c r="B428" s="16" t="s">
        <v>135</v>
      </c>
      <c r="C428" s="23">
        <v>2040.0</v>
      </c>
      <c r="D428" s="17">
        <f>34477+35770</f>
        <v>70247</v>
      </c>
      <c r="E428" s="10">
        <v>4147692.0</v>
      </c>
      <c r="F428" s="19">
        <v>6.82</v>
      </c>
      <c r="G428" s="10">
        <f t="shared" si="1"/>
        <v>282.8725944</v>
      </c>
      <c r="H428" s="19">
        <v>4.4</v>
      </c>
      <c r="I428" s="8">
        <f t="shared" si="2"/>
        <v>182.498448</v>
      </c>
      <c r="J428" s="19">
        <v>10.17</v>
      </c>
      <c r="K428" s="11">
        <f t="shared" si="3"/>
        <v>421.8202764</v>
      </c>
      <c r="L428" s="11">
        <f t="shared" si="13"/>
        <v>402.6828112</v>
      </c>
      <c r="M428" s="11">
        <f t="shared" si="1277"/>
        <v>128.1996848</v>
      </c>
      <c r="N428" s="11">
        <f t="shared" si="1278"/>
        <v>296.3160896</v>
      </c>
      <c r="O428" s="19">
        <v>7.92</v>
      </c>
      <c r="P428" s="19"/>
      <c r="Q428" s="19">
        <v>4.92</v>
      </c>
      <c r="R428" s="19"/>
      <c r="S428" s="19">
        <v>13.36</v>
      </c>
      <c r="T428" s="14"/>
      <c r="U428" s="14">
        <f t="shared" si="1279"/>
        <v>5.5635624</v>
      </c>
      <c r="V428" s="14">
        <f t="shared" si="1280"/>
        <v>3.4561524</v>
      </c>
      <c r="W428" s="14">
        <f t="shared" si="1281"/>
        <v>9.3849992</v>
      </c>
      <c r="X428" s="13"/>
      <c r="Y428" s="13"/>
      <c r="Z428" s="13" t="str">
        <f t="shared" si="1282"/>
        <v>7 (4-10)</v>
      </c>
      <c r="AA428" s="13" t="str">
        <f t="shared" si="1283"/>
        <v>403 (128-296)</v>
      </c>
      <c r="AB428" s="13" t="str">
        <f t="shared" si="1284"/>
        <v>8 (5-13)</v>
      </c>
      <c r="AC428" s="13" t="str">
        <f t="shared" si="1285"/>
        <v>6 (3-9)</v>
      </c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hidden="1">
      <c r="A429" s="24" t="s">
        <v>29</v>
      </c>
      <c r="B429" s="16" t="s">
        <v>135</v>
      </c>
      <c r="C429" s="23">
        <v>2050.0</v>
      </c>
      <c r="D429" s="17">
        <f>33848+35131</f>
        <v>68979</v>
      </c>
      <c r="E429" s="10">
        <v>4547019.0</v>
      </c>
      <c r="F429" s="19">
        <v>6.82</v>
      </c>
      <c r="G429" s="10">
        <f t="shared" si="1"/>
        <v>310.1066958</v>
      </c>
      <c r="H429" s="19">
        <v>4.4</v>
      </c>
      <c r="I429" s="8">
        <f t="shared" si="2"/>
        <v>200.068836</v>
      </c>
      <c r="J429" s="19">
        <v>10.17</v>
      </c>
      <c r="K429" s="11">
        <f t="shared" si="3"/>
        <v>462.4318323</v>
      </c>
      <c r="L429" s="11">
        <f t="shared" si="13"/>
        <v>449.5668186</v>
      </c>
      <c r="M429" s="11">
        <f t="shared" si="1277"/>
        <v>138.0054824</v>
      </c>
      <c r="N429" s="11">
        <f t="shared" si="1278"/>
        <v>318.9808536</v>
      </c>
      <c r="O429" s="19">
        <v>7.92</v>
      </c>
      <c r="P429" s="8">
        <f t="shared" ref="P429:P430" si="1286">(O429/100000)*E429</f>
        <v>360.1239048</v>
      </c>
      <c r="Q429" s="19">
        <v>4.92</v>
      </c>
      <c r="R429" s="8">
        <f t="shared" ref="R429:R430" si="1287">(Q429/100000)*E429</f>
        <v>223.7133348</v>
      </c>
      <c r="S429" s="19">
        <v>13.36</v>
      </c>
      <c r="T429" s="11">
        <f t="shared" ref="T429:T430" si="1288">(S429/100000)*E429</f>
        <v>607.4817384</v>
      </c>
      <c r="U429" s="14">
        <f t="shared" si="1279"/>
        <v>5.4631368</v>
      </c>
      <c r="V429" s="14">
        <f t="shared" si="1280"/>
        <v>3.3937668</v>
      </c>
      <c r="W429" s="14">
        <f t="shared" si="1281"/>
        <v>9.2155944</v>
      </c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>
      <c r="A430" s="24" t="s">
        <v>23</v>
      </c>
      <c r="B430" s="16" t="s">
        <v>136</v>
      </c>
      <c r="C430" s="20">
        <v>2021.0</v>
      </c>
      <c r="D430" s="18">
        <f>138727.5+131391.5</f>
        <v>270119</v>
      </c>
      <c r="E430" s="18">
        <v>9966908.0</v>
      </c>
      <c r="F430" s="19">
        <v>6.27</v>
      </c>
      <c r="G430" s="10">
        <f t="shared" si="1"/>
        <v>624.9251316</v>
      </c>
      <c r="H430" s="19">
        <v>4.3</v>
      </c>
      <c r="I430" s="8">
        <f t="shared" si="2"/>
        <v>428.577044</v>
      </c>
      <c r="J430" s="19">
        <v>8.83</v>
      </c>
      <c r="K430" s="11">
        <f t="shared" si="3"/>
        <v>880.0779764</v>
      </c>
      <c r="L430" s="11">
        <f t="shared" si="13"/>
        <v>231.3517863</v>
      </c>
      <c r="M430" s="12">
        <f>(I430/D430)*100000</f>
        <v>158.6623096</v>
      </c>
      <c r="N430" s="11">
        <f>(K430/D430)*100000</f>
        <v>325.8112078</v>
      </c>
      <c r="O430" s="19">
        <v>6.99</v>
      </c>
      <c r="P430" s="8">
        <f t="shared" si="1286"/>
        <v>696.6868692</v>
      </c>
      <c r="Q430" s="19">
        <v>4.38</v>
      </c>
      <c r="R430" s="8">
        <f t="shared" si="1287"/>
        <v>436.5505704</v>
      </c>
      <c r="S430" s="19">
        <v>10.98</v>
      </c>
      <c r="T430" s="11">
        <f t="shared" si="1288"/>
        <v>1094.366498</v>
      </c>
      <c r="U430" s="11">
        <f>(P430/D430)*100000</f>
        <v>257.9184986</v>
      </c>
      <c r="V430" s="11">
        <f>(R430/D430)*100000</f>
        <v>161.6141665</v>
      </c>
      <c r="W430" s="11">
        <f>(T430/D430)*100000</f>
        <v>405.1423626</v>
      </c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hidden="1">
      <c r="A431" s="24" t="s">
        <v>25</v>
      </c>
      <c r="B431" s="16" t="s">
        <v>136</v>
      </c>
      <c r="C431" s="23">
        <v>2030.0</v>
      </c>
      <c r="D431" s="17">
        <f>125294+132453</f>
        <v>257747</v>
      </c>
      <c r="E431" s="10">
        <v>1.1733068E7</v>
      </c>
      <c r="F431" s="19">
        <v>6.27</v>
      </c>
      <c r="G431" s="10">
        <f t="shared" si="1"/>
        <v>735.6633636</v>
      </c>
      <c r="H431" s="19">
        <v>4.3</v>
      </c>
      <c r="I431" s="8">
        <f t="shared" si="2"/>
        <v>504.521924</v>
      </c>
      <c r="J431" s="19">
        <v>8.83</v>
      </c>
      <c r="K431" s="11">
        <f t="shared" si="3"/>
        <v>1036.029904</v>
      </c>
      <c r="L431" s="11">
        <f t="shared" si="13"/>
        <v>285.4207279</v>
      </c>
      <c r="M431" s="11">
        <f t="shared" ref="M431:M433" si="1289">(I431*D431)/100000</f>
        <v>1300.390123</v>
      </c>
      <c r="N431" s="11">
        <f t="shared" ref="N431:N433" si="1290">(K431*D431)/100000</f>
        <v>2670.335998</v>
      </c>
      <c r="O431" s="19">
        <v>6.99</v>
      </c>
      <c r="P431" s="19"/>
      <c r="Q431" s="19">
        <v>4.38</v>
      </c>
      <c r="R431" s="19"/>
      <c r="S431" s="19">
        <v>10.98</v>
      </c>
      <c r="T431" s="14"/>
      <c r="U431" s="14">
        <f t="shared" ref="U431:U433" si="1291">(O431*D431)/100000</f>
        <v>18.0165153</v>
      </c>
      <c r="V431" s="14">
        <f t="shared" ref="V431:V433" si="1292">(Q431*D431)/100000</f>
        <v>11.2893186</v>
      </c>
      <c r="W431" s="14">
        <f t="shared" ref="W431:W433" si="1293">(S431*D431)/100000</f>
        <v>28.3006206</v>
      </c>
      <c r="X431" s="13"/>
      <c r="Y431" s="13"/>
      <c r="Z431" s="13" t="str">
        <f t="shared" ref="Z431:Z432" si="1294">ROUND(F431, 0) &amp; " (" &amp; ROUND(H431, 0) &amp; "-" &amp; ROUND(J431, 0) &amp; ")"</f>
        <v>6 (4-9)</v>
      </c>
      <c r="AA431" s="13" t="str">
        <f t="shared" ref="AA431:AA432" si="1295">ROUND(L431, 0) &amp; " (" &amp; ROUND(M431, 0) &amp; "-" &amp; ROUND(N431, 0) &amp; ")"</f>
        <v>285 (1300-2670)</v>
      </c>
      <c r="AB431" s="13" t="str">
        <f t="shared" ref="AB431:AB432" si="1296">ROUND(O431, 0) &amp; " (" &amp; ROUND(Q431, 0) &amp; "-" &amp; ROUND(S431, 0) &amp; ")"</f>
        <v>7 (4-11)</v>
      </c>
      <c r="AC431" s="13" t="str">
        <f t="shared" ref="AC431:AC432" si="1297">ROUND(U431, 0) &amp; " (" &amp; ROUND(V431, 0) &amp; "-" &amp; ROUND(W431, 0) &amp; ")"</f>
        <v>18 (11-28)</v>
      </c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hidden="1">
      <c r="A432" s="24" t="s">
        <v>27</v>
      </c>
      <c r="B432" s="16" t="s">
        <v>136</v>
      </c>
      <c r="C432" s="23">
        <v>2040.0</v>
      </c>
      <c r="D432" s="17">
        <f>143114+151389</f>
        <v>294503</v>
      </c>
      <c r="E432" s="10">
        <v>1.3713947E7</v>
      </c>
      <c r="F432" s="19">
        <v>6.27</v>
      </c>
      <c r="G432" s="10">
        <f t="shared" si="1"/>
        <v>859.8644769</v>
      </c>
      <c r="H432" s="19">
        <v>4.3</v>
      </c>
      <c r="I432" s="8">
        <f t="shared" si="2"/>
        <v>589.699721</v>
      </c>
      <c r="J432" s="19">
        <v>8.83</v>
      </c>
      <c r="K432" s="11">
        <f t="shared" si="3"/>
        <v>1210.94152</v>
      </c>
      <c r="L432" s="11">
        <f t="shared" si="13"/>
        <v>291.9713812</v>
      </c>
      <c r="M432" s="11">
        <f t="shared" si="1289"/>
        <v>1736.683369</v>
      </c>
      <c r="N432" s="11">
        <f t="shared" si="1290"/>
        <v>3566.259105</v>
      </c>
      <c r="O432" s="19">
        <v>6.99</v>
      </c>
      <c r="P432" s="19"/>
      <c r="Q432" s="19">
        <v>4.38</v>
      </c>
      <c r="R432" s="19"/>
      <c r="S432" s="19">
        <v>10.98</v>
      </c>
      <c r="T432" s="14"/>
      <c r="U432" s="14">
        <f t="shared" si="1291"/>
        <v>20.5857597</v>
      </c>
      <c r="V432" s="14">
        <f t="shared" si="1292"/>
        <v>12.8992314</v>
      </c>
      <c r="W432" s="14">
        <f t="shared" si="1293"/>
        <v>32.3364294</v>
      </c>
      <c r="X432" s="13"/>
      <c r="Y432" s="13"/>
      <c r="Z432" s="13" t="str">
        <f t="shared" si="1294"/>
        <v>6 (4-9)</v>
      </c>
      <c r="AA432" s="13" t="str">
        <f t="shared" si="1295"/>
        <v>292 (1737-3566)</v>
      </c>
      <c r="AB432" s="13" t="str">
        <f t="shared" si="1296"/>
        <v>7 (4-11)</v>
      </c>
      <c r="AC432" s="13" t="str">
        <f t="shared" si="1297"/>
        <v>21 (13-32)</v>
      </c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hidden="1">
      <c r="A433" s="24" t="s">
        <v>29</v>
      </c>
      <c r="B433" s="16" t="s">
        <v>136</v>
      </c>
      <c r="C433" s="23">
        <v>2050.0</v>
      </c>
      <c r="D433" s="17">
        <f>136025+144036</f>
        <v>280061</v>
      </c>
      <c r="E433" s="10">
        <v>1.5574642E7</v>
      </c>
      <c r="F433" s="19">
        <v>6.27</v>
      </c>
      <c r="G433" s="10">
        <f t="shared" si="1"/>
        <v>976.5300534</v>
      </c>
      <c r="H433" s="19">
        <v>4.3</v>
      </c>
      <c r="I433" s="8">
        <f t="shared" si="2"/>
        <v>669.709606</v>
      </c>
      <c r="J433" s="19">
        <v>8.83</v>
      </c>
      <c r="K433" s="11">
        <f t="shared" si="3"/>
        <v>1375.240889</v>
      </c>
      <c r="L433" s="11">
        <f t="shared" si="13"/>
        <v>348.6847699</v>
      </c>
      <c r="M433" s="11">
        <f t="shared" si="1289"/>
        <v>1875.59542</v>
      </c>
      <c r="N433" s="11">
        <f t="shared" si="1290"/>
        <v>3851.513385</v>
      </c>
      <c r="O433" s="19">
        <v>6.99</v>
      </c>
      <c r="P433" s="8">
        <f t="shared" ref="P433:P434" si="1298">(O433/100000)*E433</f>
        <v>1088.667476</v>
      </c>
      <c r="Q433" s="19">
        <v>4.38</v>
      </c>
      <c r="R433" s="8">
        <f t="shared" ref="R433:R434" si="1299">(Q433/100000)*E433</f>
        <v>682.1693196</v>
      </c>
      <c r="S433" s="19">
        <v>10.98</v>
      </c>
      <c r="T433" s="11">
        <f t="shared" ref="T433:T434" si="1300">(S433/100000)*E433</f>
        <v>1710.095692</v>
      </c>
      <c r="U433" s="14">
        <f t="shared" si="1291"/>
        <v>19.5762639</v>
      </c>
      <c r="V433" s="14">
        <f t="shared" si="1292"/>
        <v>12.2666718</v>
      </c>
      <c r="W433" s="14">
        <f t="shared" si="1293"/>
        <v>30.7506978</v>
      </c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>
      <c r="A434" s="24" t="s">
        <v>23</v>
      </c>
      <c r="B434" s="16" t="s">
        <v>137</v>
      </c>
      <c r="C434" s="20">
        <v>2021.0</v>
      </c>
      <c r="D434" s="17">
        <f>83513.5+78638</f>
        <v>162151.5</v>
      </c>
      <c r="E434" s="18">
        <v>7092043.0</v>
      </c>
      <c r="F434" s="19">
        <v>5.96</v>
      </c>
      <c r="G434" s="10">
        <f t="shared" si="1"/>
        <v>422.6857628</v>
      </c>
      <c r="H434" s="19">
        <v>4.2</v>
      </c>
      <c r="I434" s="8">
        <f t="shared" si="2"/>
        <v>297.865806</v>
      </c>
      <c r="J434" s="19">
        <v>7.96</v>
      </c>
      <c r="K434" s="11">
        <f t="shared" si="3"/>
        <v>564.5266228</v>
      </c>
      <c r="L434" s="11">
        <f t="shared" si="13"/>
        <v>260.6733597</v>
      </c>
      <c r="M434" s="12">
        <f>(I434/D434)*100000</f>
        <v>183.6959917</v>
      </c>
      <c r="N434" s="11">
        <f>(K434/D434)*100000</f>
        <v>348.1476414</v>
      </c>
      <c r="O434" s="19">
        <v>5.11</v>
      </c>
      <c r="P434" s="8">
        <f t="shared" si="1298"/>
        <v>362.4033973</v>
      </c>
      <c r="Q434" s="19">
        <v>3.21</v>
      </c>
      <c r="R434" s="8">
        <f t="shared" si="1299"/>
        <v>227.6545803</v>
      </c>
      <c r="S434" s="19">
        <v>8.04</v>
      </c>
      <c r="T434" s="11">
        <f t="shared" si="1300"/>
        <v>570.2002572</v>
      </c>
      <c r="U434" s="11">
        <f>(P434/D434)*100000</f>
        <v>223.4967899</v>
      </c>
      <c r="V434" s="11">
        <f>(R434/D434)*100000</f>
        <v>140.3962222</v>
      </c>
      <c r="W434" s="11">
        <f>(T434/D434)*100000</f>
        <v>351.6466127</v>
      </c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hidden="1">
      <c r="A435" s="24" t="s">
        <v>25</v>
      </c>
      <c r="B435" s="16" t="s">
        <v>137</v>
      </c>
      <c r="C435" s="23">
        <v>2030.0</v>
      </c>
      <c r="D435" s="17">
        <f>66414+70234</f>
        <v>136648</v>
      </c>
      <c r="E435" s="10">
        <v>8135729.0</v>
      </c>
      <c r="F435" s="19">
        <v>5.96</v>
      </c>
      <c r="G435" s="10">
        <f t="shared" si="1"/>
        <v>484.8894484</v>
      </c>
      <c r="H435" s="19">
        <v>4.2</v>
      </c>
      <c r="I435" s="8">
        <f t="shared" si="2"/>
        <v>341.700618</v>
      </c>
      <c r="J435" s="19">
        <v>7.96</v>
      </c>
      <c r="K435" s="11">
        <f t="shared" si="3"/>
        <v>647.6040284</v>
      </c>
      <c r="L435" s="11">
        <f t="shared" si="13"/>
        <v>354.8456241</v>
      </c>
      <c r="M435" s="11">
        <f t="shared" ref="M435:M437" si="1301">(I435*D435)/100000</f>
        <v>466.9270605</v>
      </c>
      <c r="N435" s="11">
        <f t="shared" ref="N435:N437" si="1302">(K435*D435)/100000</f>
        <v>884.9379527</v>
      </c>
      <c r="O435" s="19">
        <v>5.11</v>
      </c>
      <c r="P435" s="19"/>
      <c r="Q435" s="19">
        <v>3.21</v>
      </c>
      <c r="R435" s="19"/>
      <c r="S435" s="19">
        <v>8.04</v>
      </c>
      <c r="T435" s="14"/>
      <c r="U435" s="14">
        <f t="shared" ref="U435:U437" si="1303">(O435*D435)/100000</f>
        <v>6.9827128</v>
      </c>
      <c r="V435" s="14">
        <f t="shared" ref="V435:V437" si="1304">(Q435*D435)/100000</f>
        <v>4.3864008</v>
      </c>
      <c r="W435" s="14">
        <f t="shared" ref="W435:W437" si="1305">(S435*D435)/100000</f>
        <v>10.9864992</v>
      </c>
      <c r="X435" s="13"/>
      <c r="Y435" s="13"/>
      <c r="Z435" s="13" t="str">
        <f t="shared" ref="Z435:Z436" si="1306">ROUND(F435, 0) &amp; " (" &amp; ROUND(H435, 0) &amp; "-" &amp; ROUND(J435, 0) &amp; ")"</f>
        <v>6 (4-8)</v>
      </c>
      <c r="AA435" s="13" t="str">
        <f t="shared" ref="AA435:AA436" si="1307">ROUND(L435, 0) &amp; " (" &amp; ROUND(M435, 0) &amp; "-" &amp; ROUND(N435, 0) &amp; ")"</f>
        <v>355 (467-885)</v>
      </c>
      <c r="AB435" s="13" t="str">
        <f t="shared" ref="AB435:AB436" si="1308">ROUND(O435, 0) &amp; " (" &amp; ROUND(Q435, 0) &amp; "-" &amp; ROUND(S435, 0) &amp; ")"</f>
        <v>5 (3-8)</v>
      </c>
      <c r="AC435" s="13" t="str">
        <f t="shared" ref="AC435:AC436" si="1309">ROUND(U435, 0) &amp; " (" &amp; ROUND(V435, 0) &amp; "-" &amp; ROUND(W435, 0) &amp; ")"</f>
        <v>7 (4-11)</v>
      </c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hidden="1">
      <c r="A436" s="24" t="s">
        <v>27</v>
      </c>
      <c r="B436" s="16" t="s">
        <v>137</v>
      </c>
      <c r="C436" s="23">
        <v>2040.0</v>
      </c>
      <c r="D436" s="17">
        <f>72144+76215</f>
        <v>148359</v>
      </c>
      <c r="E436" s="10">
        <v>8932231.0</v>
      </c>
      <c r="F436" s="19">
        <v>5.96</v>
      </c>
      <c r="G436" s="10">
        <f t="shared" si="1"/>
        <v>532.3609676</v>
      </c>
      <c r="H436" s="19">
        <v>4.2</v>
      </c>
      <c r="I436" s="8">
        <f t="shared" si="2"/>
        <v>375.153702</v>
      </c>
      <c r="J436" s="19">
        <v>7.96</v>
      </c>
      <c r="K436" s="11">
        <f t="shared" si="3"/>
        <v>711.0055876</v>
      </c>
      <c r="L436" s="11">
        <f t="shared" si="13"/>
        <v>358.8329441</v>
      </c>
      <c r="M436" s="11">
        <f t="shared" si="1301"/>
        <v>556.5742808</v>
      </c>
      <c r="N436" s="11">
        <f t="shared" si="1302"/>
        <v>1054.84078</v>
      </c>
      <c r="O436" s="19">
        <v>5.11</v>
      </c>
      <c r="P436" s="19"/>
      <c r="Q436" s="19">
        <v>3.21</v>
      </c>
      <c r="R436" s="19"/>
      <c r="S436" s="19">
        <v>8.04</v>
      </c>
      <c r="T436" s="14"/>
      <c r="U436" s="14">
        <f t="shared" si="1303"/>
        <v>7.5811449</v>
      </c>
      <c r="V436" s="14">
        <f t="shared" si="1304"/>
        <v>4.7623239</v>
      </c>
      <c r="W436" s="14">
        <f t="shared" si="1305"/>
        <v>11.9280636</v>
      </c>
      <c r="X436" s="13"/>
      <c r="Y436" s="13"/>
      <c r="Z436" s="13" t="str">
        <f t="shared" si="1306"/>
        <v>6 (4-8)</v>
      </c>
      <c r="AA436" s="13" t="str">
        <f t="shared" si="1307"/>
        <v>359 (557-1055)</v>
      </c>
      <c r="AB436" s="13" t="str">
        <f t="shared" si="1308"/>
        <v>5 (3-8)</v>
      </c>
      <c r="AC436" s="13" t="str">
        <f t="shared" si="1309"/>
        <v>8 (5-12)</v>
      </c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hidden="1">
      <c r="A437" s="24" t="s">
        <v>29</v>
      </c>
      <c r="B437" s="16" t="s">
        <v>137</v>
      </c>
      <c r="C437" s="23">
        <v>2050.0</v>
      </c>
      <c r="D437" s="17">
        <f>70918+74996</f>
        <v>145914</v>
      </c>
      <c r="E437" s="10">
        <v>9639708.0</v>
      </c>
      <c r="F437" s="19">
        <v>5.96</v>
      </c>
      <c r="G437" s="10">
        <f t="shared" si="1"/>
        <v>574.5265968</v>
      </c>
      <c r="H437" s="19">
        <v>4.2</v>
      </c>
      <c r="I437" s="8">
        <f t="shared" si="2"/>
        <v>404.867736</v>
      </c>
      <c r="J437" s="19">
        <v>7.96</v>
      </c>
      <c r="K437" s="11">
        <f t="shared" si="3"/>
        <v>767.3207568</v>
      </c>
      <c r="L437" s="11">
        <f t="shared" si="13"/>
        <v>393.7432987</v>
      </c>
      <c r="M437" s="11">
        <f t="shared" si="1301"/>
        <v>590.7587083</v>
      </c>
      <c r="N437" s="11">
        <f t="shared" si="1302"/>
        <v>1119.628409</v>
      </c>
      <c r="O437" s="19">
        <v>5.11</v>
      </c>
      <c r="P437" s="8">
        <f t="shared" ref="P437:P438" si="1310">(O437/100000)*E437</f>
        <v>492.5890788</v>
      </c>
      <c r="Q437" s="19">
        <v>3.21</v>
      </c>
      <c r="R437" s="8">
        <f t="shared" ref="R437:R438" si="1311">(Q437/100000)*E437</f>
        <v>309.4346268</v>
      </c>
      <c r="S437" s="19">
        <v>8.04</v>
      </c>
      <c r="T437" s="11">
        <f t="shared" ref="T437:T438" si="1312">(S437/100000)*E437</f>
        <v>775.0325232</v>
      </c>
      <c r="U437" s="14">
        <f t="shared" si="1303"/>
        <v>7.4562054</v>
      </c>
      <c r="V437" s="14">
        <f t="shared" si="1304"/>
        <v>4.6838394</v>
      </c>
      <c r="W437" s="14">
        <f t="shared" si="1305"/>
        <v>11.7314856</v>
      </c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>
      <c r="A438" s="24" t="s">
        <v>23</v>
      </c>
      <c r="B438" s="16" t="s">
        <v>138</v>
      </c>
      <c r="C438" s="20">
        <v>2021.0</v>
      </c>
      <c r="D438" s="17">
        <f>453427.5+420465.5</f>
        <v>873893</v>
      </c>
      <c r="E438" s="18">
        <v>3.4243696E7</v>
      </c>
      <c r="F438" s="19">
        <v>5.09</v>
      </c>
      <c r="G438" s="10">
        <f t="shared" si="1"/>
        <v>1743.004126</v>
      </c>
      <c r="H438" s="19">
        <v>3.4</v>
      </c>
      <c r="I438" s="8">
        <f t="shared" si="2"/>
        <v>1164.285664</v>
      </c>
      <c r="J438" s="19">
        <v>7.21</v>
      </c>
      <c r="K438" s="11">
        <f t="shared" si="3"/>
        <v>2468.970482</v>
      </c>
      <c r="L438" s="11">
        <f t="shared" si="13"/>
        <v>199.4528079</v>
      </c>
      <c r="M438" s="12">
        <f>(I438/D438)*100000</f>
        <v>133.2297734</v>
      </c>
      <c r="N438" s="11">
        <f>(K438/D438)*100000</f>
        <v>282.5254901</v>
      </c>
      <c r="O438" s="19">
        <v>5.81</v>
      </c>
      <c r="P438" s="8">
        <f t="shared" si="1310"/>
        <v>1989.558738</v>
      </c>
      <c r="Q438" s="19">
        <v>3.88</v>
      </c>
      <c r="R438" s="8">
        <f t="shared" si="1311"/>
        <v>1328.655405</v>
      </c>
      <c r="S438" s="19">
        <v>8.5</v>
      </c>
      <c r="T438" s="11">
        <f t="shared" si="1312"/>
        <v>2910.71416</v>
      </c>
      <c r="U438" s="11">
        <f>(P438/D438)*100000</f>
        <v>227.6661717</v>
      </c>
      <c r="V438" s="11">
        <f>(R438/D438)*100000</f>
        <v>152.0386826</v>
      </c>
      <c r="W438" s="11">
        <f>(T438/D438)*100000</f>
        <v>333.0744336</v>
      </c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hidden="1">
      <c r="A439" s="24" t="s">
        <v>25</v>
      </c>
      <c r="B439" s="16" t="s">
        <v>138</v>
      </c>
      <c r="C439" s="23">
        <v>2030.0</v>
      </c>
      <c r="D439" s="17">
        <f>412330+441884</f>
        <v>854214</v>
      </c>
      <c r="E439" s="10">
        <v>4.0248241E7</v>
      </c>
      <c r="F439" s="19">
        <v>5.09</v>
      </c>
      <c r="G439" s="10">
        <f t="shared" si="1"/>
        <v>2048.635467</v>
      </c>
      <c r="H439" s="19">
        <v>3.4</v>
      </c>
      <c r="I439" s="8">
        <f t="shared" si="2"/>
        <v>1368.440194</v>
      </c>
      <c r="J439" s="19">
        <v>7.21</v>
      </c>
      <c r="K439" s="11">
        <f t="shared" si="3"/>
        <v>2901.898176</v>
      </c>
      <c r="L439" s="11">
        <f t="shared" si="13"/>
        <v>239.8269599</v>
      </c>
      <c r="M439" s="11">
        <f t="shared" ref="M439:M441" si="1313">(I439*D439)/100000</f>
        <v>11689.40772</v>
      </c>
      <c r="N439" s="11">
        <f t="shared" ref="N439:N441" si="1314">(K439*D439)/100000</f>
        <v>24788.42049</v>
      </c>
      <c r="O439" s="19">
        <v>5.81</v>
      </c>
      <c r="P439" s="19"/>
      <c r="Q439" s="19">
        <v>3.88</v>
      </c>
      <c r="R439" s="19"/>
      <c r="S439" s="19">
        <v>8.5</v>
      </c>
      <c r="T439" s="14"/>
      <c r="U439" s="14">
        <f t="shared" ref="U439:U441" si="1315">(O439*D439)/100000</f>
        <v>49.6298334</v>
      </c>
      <c r="V439" s="14">
        <f t="shared" ref="V439:V441" si="1316">(Q439*D439)/100000</f>
        <v>33.1435032</v>
      </c>
      <c r="W439" s="14">
        <f t="shared" ref="W439:W441" si="1317">(S439*D439)/100000</f>
        <v>72.60819</v>
      </c>
      <c r="X439" s="13"/>
      <c r="Y439" s="13"/>
      <c r="Z439" s="13" t="str">
        <f t="shared" ref="Z439:Z440" si="1318">ROUND(F439, 0) &amp; " (" &amp; ROUND(H439, 0) &amp; "-" &amp; ROUND(J439, 0) &amp; ")"</f>
        <v>5 (3-7)</v>
      </c>
      <c r="AA439" s="13" t="str">
        <f t="shared" ref="AA439:AA440" si="1319">ROUND(L439, 0) &amp; " (" &amp; ROUND(M439, 0) &amp; "-" &amp; ROUND(N439, 0) &amp; ")"</f>
        <v>240 (11689-24788)</v>
      </c>
      <c r="AB439" s="13" t="str">
        <f t="shared" ref="AB439:AB440" si="1320">ROUND(O439, 0) &amp; " (" &amp; ROUND(Q439, 0) &amp; "-" &amp; ROUND(S439, 0) &amp; ")"</f>
        <v>6 (4-9)</v>
      </c>
      <c r="AC439" s="13" t="str">
        <f t="shared" ref="AC439:AC440" si="1321">ROUND(U439, 0) &amp; " (" &amp; ROUND(V439, 0) &amp; "-" &amp; ROUND(W439, 0) &amp; ")"</f>
        <v>50 (33-73)</v>
      </c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hidden="1">
      <c r="A440" s="24" t="s">
        <v>27</v>
      </c>
      <c r="B440" s="16" t="s">
        <v>138</v>
      </c>
      <c r="C440" s="23">
        <v>2040.0</v>
      </c>
      <c r="D440" s="17">
        <f>430460+460682</f>
        <v>891142</v>
      </c>
      <c r="E440" s="10">
        <v>4.6044152E7</v>
      </c>
      <c r="F440" s="19">
        <v>5.09</v>
      </c>
      <c r="G440" s="10">
        <f t="shared" si="1"/>
        <v>2343.647337</v>
      </c>
      <c r="H440" s="19">
        <v>3.4</v>
      </c>
      <c r="I440" s="8">
        <f t="shared" si="2"/>
        <v>1565.501168</v>
      </c>
      <c r="J440" s="19">
        <v>7.21</v>
      </c>
      <c r="K440" s="11">
        <f t="shared" si="3"/>
        <v>3319.783359</v>
      </c>
      <c r="L440" s="11">
        <f t="shared" si="13"/>
        <v>262.9937021</v>
      </c>
      <c r="M440" s="11">
        <f t="shared" si="1313"/>
        <v>13950.83842</v>
      </c>
      <c r="N440" s="11">
        <f t="shared" si="1314"/>
        <v>29583.98382</v>
      </c>
      <c r="O440" s="19">
        <v>5.81</v>
      </c>
      <c r="P440" s="19"/>
      <c r="Q440" s="19">
        <v>3.88</v>
      </c>
      <c r="R440" s="19"/>
      <c r="S440" s="19">
        <v>8.5</v>
      </c>
      <c r="T440" s="14"/>
      <c r="U440" s="14">
        <f t="shared" si="1315"/>
        <v>51.7753502</v>
      </c>
      <c r="V440" s="14">
        <f t="shared" si="1316"/>
        <v>34.5763096</v>
      </c>
      <c r="W440" s="14">
        <f t="shared" si="1317"/>
        <v>75.74707</v>
      </c>
      <c r="X440" s="13"/>
      <c r="Y440" s="13"/>
      <c r="Z440" s="13" t="str">
        <f t="shared" si="1318"/>
        <v>5 (3-7)</v>
      </c>
      <c r="AA440" s="13" t="str">
        <f t="shared" si="1319"/>
        <v>263 (13951-29584)</v>
      </c>
      <c r="AB440" s="13" t="str">
        <f t="shared" si="1320"/>
        <v>6 (4-9)</v>
      </c>
      <c r="AC440" s="13" t="str">
        <f t="shared" si="1321"/>
        <v>52 (35-76)</v>
      </c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hidden="1">
      <c r="A441" s="24" t="s">
        <v>29</v>
      </c>
      <c r="B441" s="16" t="s">
        <v>138</v>
      </c>
      <c r="C441" s="23">
        <v>2050.0</v>
      </c>
      <c r="D441" s="17">
        <f>478346+512050</f>
        <v>990396</v>
      </c>
      <c r="E441" s="10">
        <v>5.2210755E7</v>
      </c>
      <c r="F441" s="19">
        <v>5.09</v>
      </c>
      <c r="G441" s="10">
        <f t="shared" si="1"/>
        <v>2657.52743</v>
      </c>
      <c r="H441" s="19">
        <v>3.4</v>
      </c>
      <c r="I441" s="8">
        <f t="shared" si="2"/>
        <v>1775.16567</v>
      </c>
      <c r="J441" s="19">
        <v>7.21</v>
      </c>
      <c r="K441" s="11">
        <f t="shared" si="3"/>
        <v>3764.395436</v>
      </c>
      <c r="L441" s="11">
        <f t="shared" si="13"/>
        <v>268.3297822</v>
      </c>
      <c r="M441" s="11">
        <f t="shared" si="1313"/>
        <v>17581.16979</v>
      </c>
      <c r="N441" s="11">
        <f t="shared" si="1314"/>
        <v>37282.42182</v>
      </c>
      <c r="O441" s="19">
        <v>5.81</v>
      </c>
      <c r="P441" s="8">
        <f t="shared" ref="P441:P442" si="1322">(O441/100000)*E441</f>
        <v>3033.444866</v>
      </c>
      <c r="Q441" s="19">
        <v>3.88</v>
      </c>
      <c r="R441" s="8">
        <f t="shared" ref="R441:R442" si="1323">(Q441/100000)*E441</f>
        <v>2025.777294</v>
      </c>
      <c r="S441" s="19">
        <v>8.5</v>
      </c>
      <c r="T441" s="11">
        <f t="shared" ref="T441:T442" si="1324">(S441/100000)*E441</f>
        <v>4437.914175</v>
      </c>
      <c r="U441" s="14">
        <f t="shared" si="1315"/>
        <v>57.5420076</v>
      </c>
      <c r="V441" s="14">
        <f t="shared" si="1316"/>
        <v>38.4273648</v>
      </c>
      <c r="W441" s="14">
        <f t="shared" si="1317"/>
        <v>84.18366</v>
      </c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>
      <c r="A442" s="24" t="s">
        <v>23</v>
      </c>
      <c r="B442" s="16" t="s">
        <v>139</v>
      </c>
      <c r="C442" s="20">
        <v>2021.0</v>
      </c>
      <c r="D442" s="17">
        <f>15290+14209.5</f>
        <v>29499.5</v>
      </c>
      <c r="E442" s="18">
        <v>2811666.0</v>
      </c>
      <c r="F442" s="19">
        <v>1.16</v>
      </c>
      <c r="G442" s="10">
        <f t="shared" si="1"/>
        <v>32.6153256</v>
      </c>
      <c r="H442" s="19">
        <v>0.81</v>
      </c>
      <c r="I442" s="8">
        <f t="shared" si="2"/>
        <v>22.7744946</v>
      </c>
      <c r="J442" s="19">
        <v>1.58</v>
      </c>
      <c r="K442" s="11">
        <f t="shared" si="3"/>
        <v>44.4243228</v>
      </c>
      <c r="L442" s="11">
        <f t="shared" si="13"/>
        <v>110.5622997</v>
      </c>
      <c r="M442" s="12">
        <f>(I442/D442)*100000</f>
        <v>77.20298514</v>
      </c>
      <c r="N442" s="11">
        <f>(K442/D442)*100000</f>
        <v>150.5934772</v>
      </c>
      <c r="O442" s="19">
        <v>1.94</v>
      </c>
      <c r="P442" s="8">
        <f t="shared" si="1322"/>
        <v>54.5463204</v>
      </c>
      <c r="Q442" s="19">
        <v>1.24</v>
      </c>
      <c r="R442" s="8">
        <f t="shared" si="1323"/>
        <v>34.8646584</v>
      </c>
      <c r="S442" s="19">
        <v>2.92</v>
      </c>
      <c r="T442" s="11">
        <f t="shared" si="1324"/>
        <v>82.1006472</v>
      </c>
      <c r="U442" s="11">
        <f>(P442/D442)*100000</f>
        <v>184.905915</v>
      </c>
      <c r="V442" s="11">
        <f>(R442/D442)*100000</f>
        <v>118.1872859</v>
      </c>
      <c r="W442" s="11">
        <f>(T442/D442)*100000</f>
        <v>278.3119958</v>
      </c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hidden="1">
      <c r="A443" s="24" t="s">
        <v>25</v>
      </c>
      <c r="B443" s="16" t="s">
        <v>139</v>
      </c>
      <c r="C443" s="23">
        <v>2030.0</v>
      </c>
      <c r="D443" s="17">
        <f>11354+12055</f>
        <v>23409</v>
      </c>
      <c r="E443" s="10">
        <v>2593121.0</v>
      </c>
      <c r="F443" s="19">
        <v>1.16</v>
      </c>
      <c r="G443" s="10">
        <f t="shared" si="1"/>
        <v>30.0802036</v>
      </c>
      <c r="H443" s="19">
        <v>0.81</v>
      </c>
      <c r="I443" s="8">
        <f t="shared" si="2"/>
        <v>21.0042801</v>
      </c>
      <c r="J443" s="19">
        <v>1.58</v>
      </c>
      <c r="K443" s="11">
        <f t="shared" si="3"/>
        <v>40.9713118</v>
      </c>
      <c r="L443" s="11">
        <f t="shared" si="13"/>
        <v>128.4984561</v>
      </c>
      <c r="M443" s="11">
        <f t="shared" ref="M443:M445" si="1325">(I443*D443)/100000</f>
        <v>4.916891929</v>
      </c>
      <c r="N443" s="11">
        <f t="shared" ref="N443:N445" si="1326">(K443*D443)/100000</f>
        <v>9.590974379</v>
      </c>
      <c r="O443" s="19">
        <v>1.94</v>
      </c>
      <c r="P443" s="19"/>
      <c r="Q443" s="19">
        <v>1.24</v>
      </c>
      <c r="R443" s="19"/>
      <c r="S443" s="19">
        <v>2.92</v>
      </c>
      <c r="T443" s="14"/>
      <c r="U443" s="14">
        <f t="shared" ref="U443:U445" si="1327">(O443*D443)/100000</f>
        <v>0.4541346</v>
      </c>
      <c r="V443" s="14">
        <f t="shared" ref="V443:V445" si="1328">(Q443*D443)/100000</f>
        <v>0.2902716</v>
      </c>
      <c r="W443" s="14">
        <f t="shared" ref="W443:W445" si="1329">(S443*D443)/100000</f>
        <v>0.6835428</v>
      </c>
      <c r="X443" s="13"/>
      <c r="Y443" s="13"/>
      <c r="Z443" s="13" t="str">
        <f t="shared" ref="Z443:Z444" si="1330">ROUND(F443, 0) &amp; " (" &amp; ROUND(H443, 0) &amp; "-" &amp; ROUND(J443, 0) &amp; ")"</f>
        <v>1 (1-2)</v>
      </c>
      <c r="AA443" s="13" t="str">
        <f t="shared" ref="AA443:AA444" si="1331">ROUND(L443, 0) &amp; " (" &amp; ROUND(M443, 0) &amp; "-" &amp; ROUND(N443, 0) &amp; ")"</f>
        <v>128 (5-10)</v>
      </c>
      <c r="AB443" s="13" t="str">
        <f t="shared" ref="AB443:AB444" si="1332">ROUND(O443, 0) &amp; " (" &amp; ROUND(Q443, 0) &amp; "-" &amp; ROUND(S443, 0) &amp; ")"</f>
        <v>2 (1-3)</v>
      </c>
      <c r="AC443" s="13" t="str">
        <f t="shared" ref="AC443:AC444" si="1333">ROUND(U443, 0) &amp; " (" &amp; ROUND(V443, 0) &amp; "-" &amp; ROUND(W443, 0) &amp; ")"</f>
        <v>0 (0-1)</v>
      </c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hidden="1">
      <c r="A444" s="24" t="s">
        <v>27</v>
      </c>
      <c r="B444" s="16" t="s">
        <v>139</v>
      </c>
      <c r="C444" s="23">
        <v>2040.0</v>
      </c>
      <c r="D444" s="17">
        <f>8508+9013</f>
        <v>17521</v>
      </c>
      <c r="E444" s="10">
        <v>2383462.0</v>
      </c>
      <c r="F444" s="19">
        <v>1.16</v>
      </c>
      <c r="G444" s="10">
        <f t="shared" si="1"/>
        <v>27.6481592</v>
      </c>
      <c r="H444" s="19">
        <v>0.81</v>
      </c>
      <c r="I444" s="8">
        <f t="shared" si="2"/>
        <v>19.3060422</v>
      </c>
      <c r="J444" s="19">
        <v>1.58</v>
      </c>
      <c r="K444" s="11">
        <f t="shared" si="3"/>
        <v>37.6586996</v>
      </c>
      <c r="L444" s="11">
        <f t="shared" si="13"/>
        <v>157.800121</v>
      </c>
      <c r="M444" s="11">
        <f t="shared" si="1325"/>
        <v>3.382611654</v>
      </c>
      <c r="N444" s="11">
        <f t="shared" si="1326"/>
        <v>6.598180757</v>
      </c>
      <c r="O444" s="19">
        <v>1.94</v>
      </c>
      <c r="P444" s="19"/>
      <c r="Q444" s="19">
        <v>1.24</v>
      </c>
      <c r="R444" s="19"/>
      <c r="S444" s="19">
        <v>2.92</v>
      </c>
      <c r="T444" s="14"/>
      <c r="U444" s="14">
        <f t="shared" si="1327"/>
        <v>0.3399074</v>
      </c>
      <c r="V444" s="14">
        <f t="shared" si="1328"/>
        <v>0.2172604</v>
      </c>
      <c r="W444" s="14">
        <f t="shared" si="1329"/>
        <v>0.5116132</v>
      </c>
      <c r="X444" s="13"/>
      <c r="Y444" s="13"/>
      <c r="Z444" s="13" t="str">
        <f t="shared" si="1330"/>
        <v>1 (1-2)</v>
      </c>
      <c r="AA444" s="13" t="str">
        <f t="shared" si="1331"/>
        <v>158 (3-7)</v>
      </c>
      <c r="AB444" s="13" t="str">
        <f t="shared" si="1332"/>
        <v>2 (1-3)</v>
      </c>
      <c r="AC444" s="13" t="str">
        <f t="shared" si="1333"/>
        <v>0 (0-1)</v>
      </c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hidden="1">
      <c r="A445" s="24" t="s">
        <v>29</v>
      </c>
      <c r="B445" s="16" t="s">
        <v>139</v>
      </c>
      <c r="C445" s="23">
        <v>2050.0</v>
      </c>
      <c r="D445" s="17">
        <f>7561+8010</f>
        <v>15571</v>
      </c>
      <c r="E445" s="10">
        <v>2162674.0</v>
      </c>
      <c r="F445" s="19">
        <v>1.16</v>
      </c>
      <c r="G445" s="10">
        <f t="shared" si="1"/>
        <v>25.0870184</v>
      </c>
      <c r="H445" s="19">
        <v>0.81</v>
      </c>
      <c r="I445" s="8">
        <f t="shared" si="2"/>
        <v>17.5176594</v>
      </c>
      <c r="J445" s="19">
        <v>1.58</v>
      </c>
      <c r="K445" s="11">
        <f t="shared" si="3"/>
        <v>34.1702492</v>
      </c>
      <c r="L445" s="11">
        <f t="shared" si="13"/>
        <v>161.1137268</v>
      </c>
      <c r="M445" s="11">
        <f t="shared" si="1325"/>
        <v>2.727674745</v>
      </c>
      <c r="N445" s="11">
        <f t="shared" si="1326"/>
        <v>5.320649503</v>
      </c>
      <c r="O445" s="19">
        <v>1.94</v>
      </c>
      <c r="P445" s="8">
        <f t="shared" ref="P445:P446" si="1334">(O445/100000)*E445</f>
        <v>41.9558756</v>
      </c>
      <c r="Q445" s="19">
        <v>1.24</v>
      </c>
      <c r="R445" s="8">
        <f t="shared" ref="R445:R446" si="1335">(Q445/100000)*E445</f>
        <v>26.8171576</v>
      </c>
      <c r="S445" s="19">
        <v>2.92</v>
      </c>
      <c r="T445" s="11">
        <f t="shared" ref="T445:T446" si="1336">(S445/100000)*E445</f>
        <v>63.1500808</v>
      </c>
      <c r="U445" s="14">
        <f t="shared" si="1327"/>
        <v>0.3020774</v>
      </c>
      <c r="V445" s="14">
        <f t="shared" si="1328"/>
        <v>0.1930804</v>
      </c>
      <c r="W445" s="14">
        <f t="shared" si="1329"/>
        <v>0.4546732</v>
      </c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>
      <c r="A446" s="24" t="s">
        <v>23</v>
      </c>
      <c r="B446" s="16" t="s">
        <v>140</v>
      </c>
      <c r="C446" s="20">
        <v>2021.0</v>
      </c>
      <c r="D446" s="17">
        <f>13551+12687.5</f>
        <v>26238.5</v>
      </c>
      <c r="E446" s="18">
        <v>3244907.0</v>
      </c>
      <c r="F446" s="19">
        <v>0.91</v>
      </c>
      <c r="G446" s="10">
        <f t="shared" si="1"/>
        <v>29.5286537</v>
      </c>
      <c r="H446" s="19">
        <v>1.21</v>
      </c>
      <c r="I446" s="8">
        <f t="shared" si="2"/>
        <v>39.2633747</v>
      </c>
      <c r="J446" s="19">
        <v>0.63</v>
      </c>
      <c r="K446" s="11">
        <f t="shared" si="3"/>
        <v>20.4429141</v>
      </c>
      <c r="L446" s="11">
        <f t="shared" si="13"/>
        <v>112.5394123</v>
      </c>
      <c r="M446" s="12">
        <f>(I446/D446)*100000</f>
        <v>149.6403175</v>
      </c>
      <c r="N446" s="11">
        <f>(K446/D446)*100000</f>
        <v>77.91190083</v>
      </c>
      <c r="O446" s="19">
        <v>1.71</v>
      </c>
      <c r="P446" s="8">
        <f t="shared" si="1334"/>
        <v>55.4879097</v>
      </c>
      <c r="Q446" s="19">
        <v>1.03</v>
      </c>
      <c r="R446" s="8">
        <f t="shared" si="1335"/>
        <v>33.4225421</v>
      </c>
      <c r="S446" s="19">
        <v>2.64</v>
      </c>
      <c r="T446" s="11">
        <f t="shared" si="1336"/>
        <v>85.6655448</v>
      </c>
      <c r="U446" s="11">
        <f>(P446/D446)*100000</f>
        <v>211.4751594</v>
      </c>
      <c r="V446" s="11">
        <f>(R446/D446)*100000</f>
        <v>127.3797744</v>
      </c>
      <c r="W446" s="11">
        <f>(T446/D446)*100000</f>
        <v>326.4879654</v>
      </c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hidden="1">
      <c r="A447" s="24" t="s">
        <v>25</v>
      </c>
      <c r="B447" s="16" t="s">
        <v>140</v>
      </c>
      <c r="C447" s="23">
        <v>2030.0</v>
      </c>
      <c r="D447" s="17">
        <f>11241+11994</f>
        <v>23235</v>
      </c>
      <c r="E447" s="10">
        <v>3013974.0</v>
      </c>
      <c r="F447" s="19">
        <v>0.91</v>
      </c>
      <c r="G447" s="10">
        <f t="shared" si="1"/>
        <v>27.4271634</v>
      </c>
      <c r="H447" s="19">
        <v>1.21</v>
      </c>
      <c r="I447" s="8">
        <f t="shared" si="2"/>
        <v>36.4690854</v>
      </c>
      <c r="J447" s="19">
        <v>0.63</v>
      </c>
      <c r="K447" s="11">
        <f t="shared" si="3"/>
        <v>18.9880362</v>
      </c>
      <c r="L447" s="11">
        <f t="shared" si="13"/>
        <v>118.0424506</v>
      </c>
      <c r="M447" s="11">
        <f t="shared" ref="M447:M449" si="1337">(I447*D447)/100000</f>
        <v>8.473591993</v>
      </c>
      <c r="N447" s="11">
        <f t="shared" ref="N447:N449" si="1338">(K447*D447)/100000</f>
        <v>4.411870211</v>
      </c>
      <c r="O447" s="19">
        <v>1.71</v>
      </c>
      <c r="P447" s="19"/>
      <c r="Q447" s="19">
        <v>1.03</v>
      </c>
      <c r="R447" s="19"/>
      <c r="S447" s="19">
        <v>2.64</v>
      </c>
      <c r="T447" s="14"/>
      <c r="U447" s="14">
        <f t="shared" ref="U447:U449" si="1339">(O447*D447)/100000</f>
        <v>0.3973185</v>
      </c>
      <c r="V447" s="14">
        <f t="shared" ref="V447:V449" si="1340">(Q447*D447)/100000</f>
        <v>0.2393205</v>
      </c>
      <c r="W447" s="14">
        <f t="shared" ref="W447:W449" si="1341">(S447*D447)/100000</f>
        <v>0.613404</v>
      </c>
      <c r="X447" s="13"/>
      <c r="Y447" s="13"/>
      <c r="Z447" s="13" t="str">
        <f t="shared" ref="Z447:Z448" si="1342">ROUND(F447, 0) &amp; " (" &amp; ROUND(H447, 0) &amp; "-" &amp; ROUND(J447, 0) &amp; ")"</f>
        <v>1 (1-1)</v>
      </c>
      <c r="AA447" s="13" t="str">
        <f t="shared" ref="AA447:AA448" si="1343">ROUND(L447, 0) &amp; " (" &amp; ROUND(M447, 0) &amp; "-" &amp; ROUND(N447, 0) &amp; ")"</f>
        <v>118 (8-4)</v>
      </c>
      <c r="AB447" s="13" t="str">
        <f t="shared" ref="AB447:AB448" si="1344">ROUND(O447, 0) &amp; " (" &amp; ROUND(Q447, 0) &amp; "-" &amp; ROUND(S447, 0) &amp; ")"</f>
        <v>2 (1-3)</v>
      </c>
      <c r="AC447" s="13" t="str">
        <f t="shared" ref="AC447:AC448" si="1345">ROUND(U447, 0) &amp; " (" &amp; ROUND(V447, 0) &amp; "-" &amp; ROUND(W447, 0) &amp; ")"</f>
        <v>0 (0-1)</v>
      </c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hidden="1">
      <c r="A448" s="24" t="s">
        <v>27</v>
      </c>
      <c r="B448" s="16" t="s">
        <v>140</v>
      </c>
      <c r="C448" s="23">
        <v>2040.0</v>
      </c>
      <c r="D448" s="17">
        <f>10022+10695</f>
        <v>20717</v>
      </c>
      <c r="E448" s="10">
        <v>2745010.0</v>
      </c>
      <c r="F448" s="19">
        <v>0.91</v>
      </c>
      <c r="G448" s="10">
        <f t="shared" si="1"/>
        <v>24.979591</v>
      </c>
      <c r="H448" s="19">
        <v>1.21</v>
      </c>
      <c r="I448" s="8">
        <f t="shared" si="2"/>
        <v>33.214621</v>
      </c>
      <c r="J448" s="19">
        <v>0.63</v>
      </c>
      <c r="K448" s="11">
        <f t="shared" si="3"/>
        <v>17.293563</v>
      </c>
      <c r="L448" s="11">
        <f t="shared" si="13"/>
        <v>120.5753294</v>
      </c>
      <c r="M448" s="11">
        <f t="shared" si="1337"/>
        <v>6.881073033</v>
      </c>
      <c r="N448" s="11">
        <f t="shared" si="1338"/>
        <v>3.582707447</v>
      </c>
      <c r="O448" s="19">
        <v>1.71</v>
      </c>
      <c r="P448" s="19"/>
      <c r="Q448" s="19">
        <v>1.03</v>
      </c>
      <c r="R448" s="19"/>
      <c r="S448" s="19">
        <v>2.64</v>
      </c>
      <c r="T448" s="14"/>
      <c r="U448" s="14">
        <f t="shared" si="1339"/>
        <v>0.3542607</v>
      </c>
      <c r="V448" s="14">
        <f t="shared" si="1340"/>
        <v>0.2133851</v>
      </c>
      <c r="W448" s="14">
        <f t="shared" si="1341"/>
        <v>0.5469288</v>
      </c>
      <c r="X448" s="13"/>
      <c r="Y448" s="13"/>
      <c r="Z448" s="13" t="str">
        <f t="shared" si="1342"/>
        <v>1 (1-1)</v>
      </c>
      <c r="AA448" s="13" t="str">
        <f t="shared" si="1343"/>
        <v>121 (7-4)</v>
      </c>
      <c r="AB448" s="13" t="str">
        <f t="shared" si="1344"/>
        <v>2 (1-3)</v>
      </c>
      <c r="AC448" s="13" t="str">
        <f t="shared" si="1345"/>
        <v>0 (0-1)</v>
      </c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hidden="1">
      <c r="A449" s="24" t="s">
        <v>29</v>
      </c>
      <c r="B449" s="16" t="s">
        <v>140</v>
      </c>
      <c r="C449" s="23">
        <v>2050.0</v>
      </c>
      <c r="D449" s="17">
        <f>8465+9035</f>
        <v>17500</v>
      </c>
      <c r="E449" s="10">
        <v>2455167.0</v>
      </c>
      <c r="F449" s="19">
        <v>0.91</v>
      </c>
      <c r="G449" s="10">
        <f t="shared" si="1"/>
        <v>22.3420197</v>
      </c>
      <c r="H449" s="19">
        <v>1.21</v>
      </c>
      <c r="I449" s="8">
        <f t="shared" si="2"/>
        <v>29.7075207</v>
      </c>
      <c r="J449" s="19">
        <v>0.63</v>
      </c>
      <c r="K449" s="11">
        <f t="shared" si="3"/>
        <v>15.4675521</v>
      </c>
      <c r="L449" s="11">
        <f t="shared" si="13"/>
        <v>127.668684</v>
      </c>
      <c r="M449" s="11">
        <f t="shared" si="1337"/>
        <v>5.198816123</v>
      </c>
      <c r="N449" s="11">
        <f t="shared" si="1338"/>
        <v>2.706821618</v>
      </c>
      <c r="O449" s="19">
        <v>1.71</v>
      </c>
      <c r="P449" s="8">
        <f t="shared" ref="P449:P450" si="1346">(O449/100000)*E449</f>
        <v>41.9833557</v>
      </c>
      <c r="Q449" s="19">
        <v>1.03</v>
      </c>
      <c r="R449" s="8">
        <f t="shared" ref="R449:R450" si="1347">(Q449/100000)*E449</f>
        <v>25.2882201</v>
      </c>
      <c r="S449" s="19">
        <v>2.64</v>
      </c>
      <c r="T449" s="11">
        <f t="shared" ref="T449:T450" si="1348">(S449/100000)*E449</f>
        <v>64.8164088</v>
      </c>
      <c r="U449" s="14">
        <f t="shared" si="1339"/>
        <v>0.29925</v>
      </c>
      <c r="V449" s="14">
        <f t="shared" si="1340"/>
        <v>0.18025</v>
      </c>
      <c r="W449" s="14">
        <f t="shared" si="1341"/>
        <v>0.462</v>
      </c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>
      <c r="A450" s="24" t="s">
        <v>23</v>
      </c>
      <c r="B450" s="16" t="s">
        <v>141</v>
      </c>
      <c r="C450" s="20">
        <v>2021.0</v>
      </c>
      <c r="D450" s="17">
        <f>30183.5+28627.5</f>
        <v>58811</v>
      </c>
      <c r="E450" s="18">
        <v>6507301.0</v>
      </c>
      <c r="F450" s="19">
        <v>1.56</v>
      </c>
      <c r="G450" s="10">
        <f t="shared" si="1"/>
        <v>101.5138956</v>
      </c>
      <c r="H450" s="19">
        <v>1.04</v>
      </c>
      <c r="I450" s="8">
        <f t="shared" si="2"/>
        <v>67.6759304</v>
      </c>
      <c r="J450" s="19">
        <v>2.15</v>
      </c>
      <c r="K450" s="11">
        <f t="shared" si="3"/>
        <v>139.9069715</v>
      </c>
      <c r="L450" s="11">
        <f t="shared" si="13"/>
        <v>172.6103885</v>
      </c>
      <c r="M450" s="12">
        <f>(I450/D450)*100000</f>
        <v>115.0735924</v>
      </c>
      <c r="N450" s="11">
        <f>(K450/D450)*100000</f>
        <v>237.8925227</v>
      </c>
      <c r="O450" s="19">
        <v>2.77</v>
      </c>
      <c r="P450" s="8">
        <f t="shared" si="1346"/>
        <v>180.2522377</v>
      </c>
      <c r="Q450" s="19">
        <v>1.7</v>
      </c>
      <c r="R450" s="8">
        <f t="shared" si="1347"/>
        <v>110.624117</v>
      </c>
      <c r="S450" s="19">
        <v>4.44</v>
      </c>
      <c r="T450" s="11">
        <f t="shared" si="1348"/>
        <v>288.9241644</v>
      </c>
      <c r="U450" s="11">
        <f>(P450/D450)*100000</f>
        <v>306.4940873</v>
      </c>
      <c r="V450" s="11">
        <f>(R450/D450)*100000</f>
        <v>188.1010644</v>
      </c>
      <c r="W450" s="11">
        <f>(T450/D450)*100000</f>
        <v>491.2757212</v>
      </c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hidden="1">
      <c r="A451" s="24" t="s">
        <v>25</v>
      </c>
      <c r="B451" s="16" t="s">
        <v>141</v>
      </c>
      <c r="C451" s="23">
        <v>2030.0</v>
      </c>
      <c r="D451" s="17">
        <f>27009+28632</f>
        <v>55641</v>
      </c>
      <c r="E451" s="10">
        <v>6147404.0</v>
      </c>
      <c r="F451" s="19">
        <v>1.56</v>
      </c>
      <c r="G451" s="10">
        <f t="shared" si="1"/>
        <v>95.8995024</v>
      </c>
      <c r="H451" s="19">
        <v>1.04</v>
      </c>
      <c r="I451" s="8">
        <f t="shared" si="2"/>
        <v>63.9330016</v>
      </c>
      <c r="J451" s="19">
        <v>2.15</v>
      </c>
      <c r="K451" s="11">
        <f t="shared" si="3"/>
        <v>132.169186</v>
      </c>
      <c r="L451" s="11">
        <f t="shared" si="13"/>
        <v>172.3540238</v>
      </c>
      <c r="M451" s="11">
        <f t="shared" ref="M451:M453" si="1349">(I451*D451)/100000</f>
        <v>35.57296142</v>
      </c>
      <c r="N451" s="11">
        <f t="shared" ref="N451:N453" si="1350">(K451*D451)/100000</f>
        <v>73.54025678</v>
      </c>
      <c r="O451" s="19">
        <v>2.77</v>
      </c>
      <c r="P451" s="19"/>
      <c r="Q451" s="19">
        <v>1.7</v>
      </c>
      <c r="R451" s="19"/>
      <c r="S451" s="19">
        <v>4.44</v>
      </c>
      <c r="T451" s="14"/>
      <c r="U451" s="14">
        <f t="shared" ref="U451:U453" si="1351">(O451*D451)/100000</f>
        <v>1.5412557</v>
      </c>
      <c r="V451" s="14">
        <f t="shared" ref="V451:V453" si="1352">(Q451*D451)/100000</f>
        <v>0.945897</v>
      </c>
      <c r="W451" s="14">
        <f t="shared" ref="W451:W453" si="1353">(S451*D451)/100000</f>
        <v>2.4704604</v>
      </c>
      <c r="X451" s="13"/>
      <c r="Y451" s="13"/>
      <c r="Z451" s="13" t="str">
        <f t="shared" ref="Z451:Z452" si="1354">ROUND(F451, 0) &amp; " (" &amp; ROUND(H451, 0) &amp; "-" &amp; ROUND(J451, 0) &amp; ")"</f>
        <v>2 (1-2)</v>
      </c>
      <c r="AA451" s="13" t="str">
        <f t="shared" ref="AA451:AA452" si="1355">ROUND(L451, 0) &amp; " (" &amp; ROUND(M451, 0) &amp; "-" &amp; ROUND(N451, 0) &amp; ")"</f>
        <v>172 (36-74)</v>
      </c>
      <c r="AB451" s="13" t="str">
        <f t="shared" ref="AB451:AB452" si="1356">ROUND(O451, 0) &amp; " (" &amp; ROUND(Q451, 0) &amp; "-" &amp; ROUND(S451, 0) &amp; ")"</f>
        <v>3 (2-4)</v>
      </c>
      <c r="AC451" s="13" t="str">
        <f t="shared" ref="AC451:AC452" si="1357">ROUND(U451, 0) &amp; " (" &amp; ROUND(V451, 0) &amp; "-" &amp; ROUND(W451, 0) &amp; ")"</f>
        <v>2 (1-2)</v>
      </c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hidden="1">
      <c r="A452" s="24" t="s">
        <v>27</v>
      </c>
      <c r="B452" s="16" t="s">
        <v>141</v>
      </c>
      <c r="C452" s="23">
        <v>2040.0</v>
      </c>
      <c r="D452" s="17">
        <f>25129+26648</f>
        <v>51777</v>
      </c>
      <c r="E452" s="10">
        <v>5614264.0</v>
      </c>
      <c r="F452" s="19">
        <v>1.56</v>
      </c>
      <c r="G452" s="10">
        <f t="shared" si="1"/>
        <v>87.5825184</v>
      </c>
      <c r="H452" s="19">
        <v>1.04</v>
      </c>
      <c r="I452" s="8">
        <f t="shared" si="2"/>
        <v>58.3883456</v>
      </c>
      <c r="J452" s="19">
        <v>2.15</v>
      </c>
      <c r="K452" s="11">
        <f t="shared" si="3"/>
        <v>120.706676</v>
      </c>
      <c r="L452" s="11">
        <f t="shared" si="13"/>
        <v>169.1533275</v>
      </c>
      <c r="M452" s="11">
        <f t="shared" si="1349"/>
        <v>30.2317337</v>
      </c>
      <c r="N452" s="11">
        <f t="shared" si="1350"/>
        <v>62.49829563</v>
      </c>
      <c r="O452" s="19">
        <v>2.77</v>
      </c>
      <c r="P452" s="19"/>
      <c r="Q452" s="19">
        <v>1.7</v>
      </c>
      <c r="R452" s="19"/>
      <c r="S452" s="19">
        <v>4.44</v>
      </c>
      <c r="T452" s="14"/>
      <c r="U452" s="14">
        <f t="shared" si="1351"/>
        <v>1.4342229</v>
      </c>
      <c r="V452" s="14">
        <f t="shared" si="1352"/>
        <v>0.880209</v>
      </c>
      <c r="W452" s="14">
        <f t="shared" si="1353"/>
        <v>2.2988988</v>
      </c>
      <c r="X452" s="13"/>
      <c r="Y452" s="13"/>
      <c r="Z452" s="13" t="str">
        <f t="shared" si="1354"/>
        <v>2 (1-2)</v>
      </c>
      <c r="AA452" s="13" t="str">
        <f t="shared" si="1355"/>
        <v>169 (30-62)</v>
      </c>
      <c r="AB452" s="13" t="str">
        <f t="shared" si="1356"/>
        <v>3 (2-4)</v>
      </c>
      <c r="AC452" s="13" t="str">
        <f t="shared" si="1357"/>
        <v>1 (1-2)</v>
      </c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hidden="1">
      <c r="A453" s="24" t="s">
        <v>29</v>
      </c>
      <c r="B453" s="16" t="s">
        <v>141</v>
      </c>
      <c r="C453" s="23">
        <v>2050.0</v>
      </c>
      <c r="D453" s="17">
        <f>23187+24589</f>
        <v>47776</v>
      </c>
      <c r="E453" s="10">
        <v>5134951.0</v>
      </c>
      <c r="F453" s="19">
        <v>1.56</v>
      </c>
      <c r="G453" s="10">
        <f t="shared" si="1"/>
        <v>80.1052356</v>
      </c>
      <c r="H453" s="19">
        <v>1.04</v>
      </c>
      <c r="I453" s="8">
        <f t="shared" si="2"/>
        <v>53.4034904</v>
      </c>
      <c r="J453" s="19">
        <v>2.15</v>
      </c>
      <c r="K453" s="11">
        <f t="shared" si="3"/>
        <v>110.4014465</v>
      </c>
      <c r="L453" s="11">
        <f t="shared" si="13"/>
        <v>167.6683598</v>
      </c>
      <c r="M453" s="11">
        <f t="shared" si="1349"/>
        <v>25.51405157</v>
      </c>
      <c r="N453" s="11">
        <f t="shared" si="1350"/>
        <v>52.74539508</v>
      </c>
      <c r="O453" s="19">
        <v>2.77</v>
      </c>
      <c r="P453" s="8">
        <f t="shared" ref="P453:P454" si="1358">(O453/100000)*E453</f>
        <v>142.2381427</v>
      </c>
      <c r="Q453" s="19">
        <v>1.7</v>
      </c>
      <c r="R453" s="8">
        <f t="shared" ref="R453:R454" si="1359">(Q453/100000)*E453</f>
        <v>87.294167</v>
      </c>
      <c r="S453" s="19">
        <v>4.44</v>
      </c>
      <c r="T453" s="11">
        <f t="shared" ref="T453:T454" si="1360">(S453/100000)*E453</f>
        <v>227.9918244</v>
      </c>
      <c r="U453" s="14">
        <f t="shared" si="1351"/>
        <v>1.3233952</v>
      </c>
      <c r="V453" s="14">
        <f t="shared" si="1352"/>
        <v>0.812192</v>
      </c>
      <c r="W453" s="14">
        <f t="shared" si="1353"/>
        <v>2.1212544</v>
      </c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>
      <c r="A454" s="24" t="s">
        <v>23</v>
      </c>
      <c r="B454" s="16" t="s">
        <v>142</v>
      </c>
      <c r="C454" s="20">
        <v>2021.0</v>
      </c>
      <c r="D454" s="17">
        <f>17698+16700</f>
        <v>34398</v>
      </c>
      <c r="E454" s="18">
        <v>3878981.0</v>
      </c>
      <c r="F454" s="19">
        <v>0.91</v>
      </c>
      <c r="G454" s="10">
        <f t="shared" si="1"/>
        <v>35.2987271</v>
      </c>
      <c r="H454" s="19">
        <v>0.66</v>
      </c>
      <c r="I454" s="8">
        <f t="shared" si="2"/>
        <v>25.6012746</v>
      </c>
      <c r="J454" s="19">
        <v>1.18</v>
      </c>
      <c r="K454" s="11">
        <f t="shared" si="3"/>
        <v>45.7719758</v>
      </c>
      <c r="L454" s="11">
        <f t="shared" si="13"/>
        <v>102.618545</v>
      </c>
      <c r="M454" s="12">
        <f>(I454/D454)*100000</f>
        <v>74.42663701</v>
      </c>
      <c r="N454" s="11">
        <f>(K454/D454)*100000</f>
        <v>133.0658056</v>
      </c>
      <c r="O454" s="19">
        <v>1.5</v>
      </c>
      <c r="P454" s="8">
        <f t="shared" si="1358"/>
        <v>58.184715</v>
      </c>
      <c r="Q454" s="19">
        <v>0.9</v>
      </c>
      <c r="R454" s="8">
        <f t="shared" si="1359"/>
        <v>34.910829</v>
      </c>
      <c r="S454" s="19">
        <v>2.32</v>
      </c>
      <c r="T454" s="11">
        <f t="shared" si="1360"/>
        <v>89.9923592</v>
      </c>
      <c r="U454" s="11">
        <f>(P454/D454)*100000</f>
        <v>169.1514478</v>
      </c>
      <c r="V454" s="11">
        <f>(R454/D454)*100000</f>
        <v>101.4908687</v>
      </c>
      <c r="W454" s="11">
        <f>(T454/D454)*100000</f>
        <v>261.6209059</v>
      </c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hidden="1">
      <c r="A455" s="24" t="s">
        <v>25</v>
      </c>
      <c r="B455" s="16" t="s">
        <v>142</v>
      </c>
      <c r="C455" s="23">
        <v>2030.0</v>
      </c>
      <c r="D455" s="17">
        <f>14440+15309</f>
        <v>29749</v>
      </c>
      <c r="E455" s="10">
        <v>3721246.0</v>
      </c>
      <c r="F455" s="19">
        <v>0.91</v>
      </c>
      <c r="G455" s="10">
        <f t="shared" si="1"/>
        <v>33.8633386</v>
      </c>
      <c r="H455" s="19">
        <v>0.66</v>
      </c>
      <c r="I455" s="8">
        <f t="shared" si="2"/>
        <v>24.5602236</v>
      </c>
      <c r="J455" s="19">
        <v>1.18</v>
      </c>
      <c r="K455" s="11">
        <f t="shared" si="3"/>
        <v>43.9107028</v>
      </c>
      <c r="L455" s="11">
        <f t="shared" si="13"/>
        <v>113.8301745</v>
      </c>
      <c r="M455" s="11">
        <f t="shared" ref="M455:M457" si="1361">(I455*D455)/100000</f>
        <v>7.306420919</v>
      </c>
      <c r="N455" s="11">
        <f t="shared" ref="N455:N457" si="1362">(K455*D455)/100000</f>
        <v>13.06299498</v>
      </c>
      <c r="O455" s="19">
        <v>1.5</v>
      </c>
      <c r="P455" s="19"/>
      <c r="Q455" s="19">
        <v>0.9</v>
      </c>
      <c r="R455" s="19"/>
      <c r="S455" s="19">
        <v>2.32</v>
      </c>
      <c r="T455" s="14"/>
      <c r="U455" s="14">
        <f t="shared" ref="U455:U457" si="1363">(O455*D455)/100000</f>
        <v>0.446235</v>
      </c>
      <c r="V455" s="14">
        <f t="shared" ref="V455:V457" si="1364">(Q455*D455)/100000</f>
        <v>0.267741</v>
      </c>
      <c r="W455" s="14">
        <f t="shared" ref="W455:W457" si="1365">(S455*D455)/100000</f>
        <v>0.6901768</v>
      </c>
      <c r="X455" s="13"/>
      <c r="Y455" s="13"/>
      <c r="Z455" s="13" t="str">
        <f t="shared" ref="Z455:Z456" si="1366">ROUND(F455, 0) &amp; " (" &amp; ROUND(H455, 0) &amp; "-" &amp; ROUND(J455, 0) &amp; ")"</f>
        <v>1 (1-1)</v>
      </c>
      <c r="AA455" s="13" t="str">
        <f t="shared" ref="AA455:AA456" si="1367">ROUND(L455, 0) &amp; " (" &amp; ROUND(M455, 0) &amp; "-" &amp; ROUND(N455, 0) &amp; ")"</f>
        <v>114 (7-13)</v>
      </c>
      <c r="AB455" s="13" t="str">
        <f t="shared" ref="AB455:AB456" si="1368">ROUND(O455, 0) &amp; " (" &amp; ROUND(Q455, 0) &amp; "-" &amp; ROUND(S455, 0) &amp; ")"</f>
        <v>2 (1-2)</v>
      </c>
      <c r="AC455" s="13" t="str">
        <f t="shared" ref="AC455:AC456" si="1369">ROUND(U455, 0) &amp; " (" &amp; ROUND(V455, 0) &amp; "-" &amp; ROUND(W455, 0) &amp; ")"</f>
        <v>0 (0-1)</v>
      </c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hidden="1">
      <c r="A456" s="24" t="s">
        <v>27</v>
      </c>
      <c r="B456" s="16" t="s">
        <v>142</v>
      </c>
      <c r="C456" s="23">
        <v>2040.0</v>
      </c>
      <c r="D456" s="17">
        <f>13826+14655</f>
        <v>28481</v>
      </c>
      <c r="E456" s="10">
        <v>3474557.0</v>
      </c>
      <c r="F456" s="19">
        <v>0.91</v>
      </c>
      <c r="G456" s="10">
        <f t="shared" si="1"/>
        <v>31.6184687</v>
      </c>
      <c r="H456" s="19">
        <v>0.66</v>
      </c>
      <c r="I456" s="8">
        <f t="shared" si="2"/>
        <v>22.9320762</v>
      </c>
      <c r="J456" s="19">
        <v>1.18</v>
      </c>
      <c r="K456" s="11">
        <f t="shared" si="3"/>
        <v>40.9997726</v>
      </c>
      <c r="L456" s="11">
        <f t="shared" si="13"/>
        <v>111.0160061</v>
      </c>
      <c r="M456" s="11">
        <f t="shared" si="1361"/>
        <v>6.531284623</v>
      </c>
      <c r="N456" s="11">
        <f t="shared" si="1362"/>
        <v>11.67714523</v>
      </c>
      <c r="O456" s="19">
        <v>1.5</v>
      </c>
      <c r="P456" s="19"/>
      <c r="Q456" s="19">
        <v>0.9</v>
      </c>
      <c r="R456" s="19"/>
      <c r="S456" s="19">
        <v>2.32</v>
      </c>
      <c r="T456" s="14"/>
      <c r="U456" s="14">
        <f t="shared" si="1363"/>
        <v>0.427215</v>
      </c>
      <c r="V456" s="14">
        <f t="shared" si="1364"/>
        <v>0.256329</v>
      </c>
      <c r="W456" s="14">
        <f t="shared" si="1365"/>
        <v>0.6607592</v>
      </c>
      <c r="X456" s="13"/>
      <c r="Y456" s="13"/>
      <c r="Z456" s="13" t="str">
        <f t="shared" si="1366"/>
        <v>1 (1-1)</v>
      </c>
      <c r="AA456" s="13" t="str">
        <f t="shared" si="1367"/>
        <v>111 (7-12)</v>
      </c>
      <c r="AB456" s="13" t="str">
        <f t="shared" si="1368"/>
        <v>2 (1-2)</v>
      </c>
      <c r="AC456" s="13" t="str">
        <f t="shared" si="1369"/>
        <v>0 (0-1)</v>
      </c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 hidden="1">
      <c r="A457" s="24" t="s">
        <v>29</v>
      </c>
      <c r="B457" s="16" t="s">
        <v>142</v>
      </c>
      <c r="C457" s="23">
        <v>2050.0</v>
      </c>
      <c r="D457" s="17">
        <f>12288+13030</f>
        <v>25318</v>
      </c>
      <c r="E457" s="10">
        <v>3220212.0</v>
      </c>
      <c r="F457" s="19">
        <v>0.91</v>
      </c>
      <c r="G457" s="10">
        <f t="shared" si="1"/>
        <v>29.3039292</v>
      </c>
      <c r="H457" s="19">
        <v>0.66</v>
      </c>
      <c r="I457" s="8">
        <f t="shared" si="2"/>
        <v>21.2533992</v>
      </c>
      <c r="J457" s="19">
        <v>1.18</v>
      </c>
      <c r="K457" s="11">
        <f t="shared" si="3"/>
        <v>37.9985016</v>
      </c>
      <c r="L457" s="11">
        <f t="shared" si="13"/>
        <v>115.74346</v>
      </c>
      <c r="M457" s="11">
        <f t="shared" si="1361"/>
        <v>5.380935609</v>
      </c>
      <c r="N457" s="11">
        <f t="shared" si="1362"/>
        <v>9.620460635</v>
      </c>
      <c r="O457" s="19">
        <v>1.5</v>
      </c>
      <c r="P457" s="8">
        <f t="shared" ref="P457:P458" si="1370">(O457/100000)*E457</f>
        <v>48.30318</v>
      </c>
      <c r="Q457" s="19">
        <v>0.9</v>
      </c>
      <c r="R457" s="8">
        <f t="shared" ref="R457:R458" si="1371">(Q457/100000)*E457</f>
        <v>28.981908</v>
      </c>
      <c r="S457" s="19">
        <v>2.32</v>
      </c>
      <c r="T457" s="11">
        <f t="shared" ref="T457:T458" si="1372">(S457/100000)*E457</f>
        <v>74.7089184</v>
      </c>
      <c r="U457" s="14">
        <f t="shared" si="1363"/>
        <v>0.37977</v>
      </c>
      <c r="V457" s="14">
        <f t="shared" si="1364"/>
        <v>0.227862</v>
      </c>
      <c r="W457" s="14">
        <f t="shared" si="1365"/>
        <v>0.5873776</v>
      </c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>
      <c r="A458" s="24" t="s">
        <v>23</v>
      </c>
      <c r="B458" s="16" t="s">
        <v>143</v>
      </c>
      <c r="C458" s="20">
        <v>2021.0</v>
      </c>
      <c r="D458" s="17">
        <f>56461.5+54042.5</f>
        <v>110504</v>
      </c>
      <c r="E458" s="18">
        <v>1.0505772E7</v>
      </c>
      <c r="F458" s="19">
        <v>1.11</v>
      </c>
      <c r="G458" s="10">
        <f t="shared" si="1"/>
        <v>116.6140692</v>
      </c>
      <c r="H458" s="19">
        <v>0.75</v>
      </c>
      <c r="I458" s="8">
        <f t="shared" si="2"/>
        <v>78.79329</v>
      </c>
      <c r="J458" s="19">
        <v>1.51</v>
      </c>
      <c r="K458" s="11">
        <f t="shared" si="3"/>
        <v>158.6371572</v>
      </c>
      <c r="L458" s="11">
        <f t="shared" si="13"/>
        <v>105.5292742</v>
      </c>
      <c r="M458" s="12">
        <f>(I458/D458)*100000</f>
        <v>71.30356367</v>
      </c>
      <c r="N458" s="11">
        <f>(K458/D458)*100000</f>
        <v>143.5578415</v>
      </c>
      <c r="O458" s="19">
        <v>1.67</v>
      </c>
      <c r="P458" s="8">
        <f t="shared" si="1370"/>
        <v>175.4463924</v>
      </c>
      <c r="Q458" s="19">
        <v>1.02</v>
      </c>
      <c r="R458" s="8">
        <f t="shared" si="1371"/>
        <v>107.1588744</v>
      </c>
      <c r="S458" s="19">
        <v>2.57</v>
      </c>
      <c r="T458" s="11">
        <f t="shared" si="1372"/>
        <v>269.9983404</v>
      </c>
      <c r="U458" s="11">
        <f>(P458/D458)*100000</f>
        <v>158.7692684</v>
      </c>
      <c r="V458" s="11">
        <f>(R458/D458)*100000</f>
        <v>96.97284659</v>
      </c>
      <c r="W458" s="11">
        <f>(T458/D458)*100000</f>
        <v>244.3335448</v>
      </c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 hidden="1">
      <c r="A459" s="24" t="s">
        <v>25</v>
      </c>
      <c r="B459" s="16" t="s">
        <v>143</v>
      </c>
      <c r="C459" s="23">
        <v>2030.0</v>
      </c>
      <c r="D459" s="17">
        <f>39360+41608</f>
        <v>80968</v>
      </c>
      <c r="E459" s="10">
        <v>1.0594947E7</v>
      </c>
      <c r="F459" s="19">
        <v>1.11</v>
      </c>
      <c r="G459" s="10">
        <f t="shared" si="1"/>
        <v>117.6039117</v>
      </c>
      <c r="H459" s="19">
        <v>0.75</v>
      </c>
      <c r="I459" s="8">
        <f t="shared" si="2"/>
        <v>79.4621025</v>
      </c>
      <c r="J459" s="19">
        <v>1.51</v>
      </c>
      <c r="K459" s="11">
        <f t="shared" si="3"/>
        <v>159.9836997</v>
      </c>
      <c r="L459" s="11">
        <f t="shared" si="13"/>
        <v>145.2473961</v>
      </c>
      <c r="M459" s="11">
        <f t="shared" ref="M459:M461" si="1373">(I459*D459)/100000</f>
        <v>64.33887515</v>
      </c>
      <c r="N459" s="11">
        <f t="shared" ref="N459:N461" si="1374">(K459*D459)/100000</f>
        <v>129.535602</v>
      </c>
      <c r="O459" s="19">
        <v>1.67</v>
      </c>
      <c r="P459" s="19"/>
      <c r="Q459" s="19">
        <v>1.02</v>
      </c>
      <c r="R459" s="19"/>
      <c r="S459" s="19">
        <v>2.57</v>
      </c>
      <c r="T459" s="14"/>
      <c r="U459" s="14">
        <f t="shared" ref="U459:U461" si="1375">(O459*D459)/100000</f>
        <v>1.3521656</v>
      </c>
      <c r="V459" s="14">
        <f t="shared" ref="V459:V461" si="1376">(Q459*D459)/100000</f>
        <v>0.8258736</v>
      </c>
      <c r="W459" s="14">
        <f t="shared" ref="W459:W461" si="1377">(S459*D459)/100000</f>
        <v>2.0808776</v>
      </c>
      <c r="X459" s="13"/>
      <c r="Y459" s="13"/>
      <c r="Z459" s="13" t="str">
        <f t="shared" ref="Z459:Z460" si="1378">ROUND(F459, 0) &amp; " (" &amp; ROUND(H459, 0) &amp; "-" &amp; ROUND(J459, 0) &amp; ")"</f>
        <v>1 (1-2)</v>
      </c>
      <c r="AA459" s="13" t="str">
        <f t="shared" ref="AA459:AA460" si="1379">ROUND(L459, 0) &amp; " (" &amp; ROUND(M459, 0) &amp; "-" &amp; ROUND(N459, 0) &amp; ")"</f>
        <v>145 (64-130)</v>
      </c>
      <c r="AB459" s="13" t="str">
        <f t="shared" ref="AB459:AB460" si="1380">ROUND(O459, 0) &amp; " (" &amp; ROUND(Q459, 0) &amp; "-" &amp; ROUND(S459, 0) &amp; ")"</f>
        <v>2 (1-3)</v>
      </c>
      <c r="AC459" s="13" t="str">
        <f t="shared" ref="AC459:AC460" si="1381">ROUND(U459, 0) &amp; " (" &amp; ROUND(V459, 0) &amp; "-" &amp; ROUND(W459, 0) &amp; ")"</f>
        <v>1 (1-2)</v>
      </c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hidden="1">
      <c r="A460" s="24" t="s">
        <v>27</v>
      </c>
      <c r="B460" s="16" t="s">
        <v>143</v>
      </c>
      <c r="C460" s="23">
        <v>2040.0</v>
      </c>
      <c r="D460" s="17">
        <f>43837+46391</f>
        <v>90228</v>
      </c>
      <c r="E460" s="10">
        <v>1.0265622E7</v>
      </c>
      <c r="F460" s="19">
        <v>1.11</v>
      </c>
      <c r="G460" s="10">
        <f t="shared" si="1"/>
        <v>113.9484042</v>
      </c>
      <c r="H460" s="19">
        <v>0.75</v>
      </c>
      <c r="I460" s="8">
        <f t="shared" si="2"/>
        <v>76.992165</v>
      </c>
      <c r="J460" s="19">
        <v>1.51</v>
      </c>
      <c r="K460" s="11">
        <f t="shared" si="3"/>
        <v>155.0108922</v>
      </c>
      <c r="L460" s="11">
        <f t="shared" si="13"/>
        <v>126.2894048</v>
      </c>
      <c r="M460" s="11">
        <f t="shared" si="1373"/>
        <v>69.46849064</v>
      </c>
      <c r="N460" s="11">
        <f t="shared" si="1374"/>
        <v>139.8632278</v>
      </c>
      <c r="O460" s="19">
        <v>1.67</v>
      </c>
      <c r="P460" s="19"/>
      <c r="Q460" s="19">
        <v>1.02</v>
      </c>
      <c r="R460" s="19"/>
      <c r="S460" s="19">
        <v>2.57</v>
      </c>
      <c r="T460" s="14"/>
      <c r="U460" s="14">
        <f t="shared" si="1375"/>
        <v>1.5068076</v>
      </c>
      <c r="V460" s="14">
        <f t="shared" si="1376"/>
        <v>0.9203256</v>
      </c>
      <c r="W460" s="14">
        <f t="shared" si="1377"/>
        <v>2.3188596</v>
      </c>
      <c r="X460" s="13"/>
      <c r="Y460" s="13"/>
      <c r="Z460" s="13" t="str">
        <f t="shared" si="1378"/>
        <v>1 (1-2)</v>
      </c>
      <c r="AA460" s="13" t="str">
        <f t="shared" si="1379"/>
        <v>126 (69-140)</v>
      </c>
      <c r="AB460" s="13" t="str">
        <f t="shared" si="1380"/>
        <v>2 (1-3)</v>
      </c>
      <c r="AC460" s="13" t="str">
        <f t="shared" si="1381"/>
        <v>2 (1-2)</v>
      </c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hidden="1">
      <c r="A461" s="24" t="s">
        <v>29</v>
      </c>
      <c r="B461" s="16" t="s">
        <v>143</v>
      </c>
      <c r="C461" s="23">
        <v>2050.0</v>
      </c>
      <c r="D461" s="17">
        <f>43622+46168</f>
        <v>89790</v>
      </c>
      <c r="E461" s="10">
        <v>9999211.0</v>
      </c>
      <c r="F461" s="19">
        <v>1.11</v>
      </c>
      <c r="G461" s="10">
        <f t="shared" si="1"/>
        <v>110.9912421</v>
      </c>
      <c r="H461" s="19">
        <v>0.75</v>
      </c>
      <c r="I461" s="8">
        <f t="shared" si="2"/>
        <v>74.9940825</v>
      </c>
      <c r="J461" s="19">
        <v>1.51</v>
      </c>
      <c r="K461" s="11">
        <f t="shared" si="3"/>
        <v>150.9880861</v>
      </c>
      <c r="L461" s="11">
        <f t="shared" si="13"/>
        <v>123.6120304</v>
      </c>
      <c r="M461" s="11">
        <f t="shared" si="1373"/>
        <v>67.33718668</v>
      </c>
      <c r="N461" s="11">
        <f t="shared" si="1374"/>
        <v>135.5722025</v>
      </c>
      <c r="O461" s="19">
        <v>1.67</v>
      </c>
      <c r="P461" s="8">
        <f t="shared" ref="P461:P462" si="1382">(O461/100000)*E461</f>
        <v>166.9868237</v>
      </c>
      <c r="Q461" s="19">
        <v>1.02</v>
      </c>
      <c r="R461" s="8">
        <f t="shared" ref="R461:R462" si="1383">(Q461/100000)*E461</f>
        <v>101.9919522</v>
      </c>
      <c r="S461" s="19">
        <v>2.57</v>
      </c>
      <c r="T461" s="11">
        <f t="shared" ref="T461:T462" si="1384">(S461/100000)*E461</f>
        <v>256.9797227</v>
      </c>
      <c r="U461" s="14">
        <f t="shared" si="1375"/>
        <v>1.499493</v>
      </c>
      <c r="V461" s="14">
        <f t="shared" si="1376"/>
        <v>0.915858</v>
      </c>
      <c r="W461" s="14">
        <f t="shared" si="1377"/>
        <v>2.307603</v>
      </c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>
      <c r="A462" s="24" t="s">
        <v>23</v>
      </c>
      <c r="B462" s="16" t="s">
        <v>144</v>
      </c>
      <c r="C462" s="20">
        <v>2021.0</v>
      </c>
      <c r="D462" s="17">
        <f>48095+45457.5</f>
        <v>93552.5</v>
      </c>
      <c r="E462" s="18">
        <v>9630932.0</v>
      </c>
      <c r="F462" s="19">
        <v>0.7</v>
      </c>
      <c r="G462" s="10">
        <f t="shared" si="1"/>
        <v>67.416524</v>
      </c>
      <c r="H462" s="19">
        <v>0.47</v>
      </c>
      <c r="I462" s="8">
        <f t="shared" si="2"/>
        <v>45.2653804</v>
      </c>
      <c r="J462" s="19">
        <v>0.96</v>
      </c>
      <c r="K462" s="11">
        <f t="shared" si="3"/>
        <v>92.4569472</v>
      </c>
      <c r="L462" s="11">
        <f t="shared" si="13"/>
        <v>72.06277117</v>
      </c>
      <c r="M462" s="12">
        <f>(I462/D462)*100000</f>
        <v>48.3850035</v>
      </c>
      <c r="N462" s="11">
        <f>(K462/D462)*100000</f>
        <v>98.82894332</v>
      </c>
      <c r="O462" s="19">
        <v>1.16</v>
      </c>
      <c r="P462" s="8">
        <f t="shared" si="1382"/>
        <v>111.7188112</v>
      </c>
      <c r="Q462" s="19">
        <v>0.7</v>
      </c>
      <c r="R462" s="8">
        <f t="shared" si="1383"/>
        <v>67.416524</v>
      </c>
      <c r="S462" s="19">
        <v>1.77</v>
      </c>
      <c r="T462" s="11">
        <f t="shared" si="1384"/>
        <v>170.4674964</v>
      </c>
      <c r="U462" s="11">
        <f>(P462/D462)*100000</f>
        <v>119.4183065</v>
      </c>
      <c r="V462" s="11">
        <f>(R462/D462)*100000</f>
        <v>72.06277117</v>
      </c>
      <c r="W462" s="11">
        <f>(T462/D462)*100000</f>
        <v>182.2158642</v>
      </c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hidden="1">
      <c r="A463" s="24" t="s">
        <v>25</v>
      </c>
      <c r="B463" s="16" t="s">
        <v>144</v>
      </c>
      <c r="C463" s="23">
        <v>2030.0</v>
      </c>
      <c r="D463" s="17">
        <f>38955+41364</f>
        <v>80319</v>
      </c>
      <c r="E463" s="10">
        <v>9330088.0</v>
      </c>
      <c r="F463" s="19">
        <v>0.7</v>
      </c>
      <c r="G463" s="10">
        <f t="shared" si="1"/>
        <v>65.310616</v>
      </c>
      <c r="H463" s="19">
        <v>0.47</v>
      </c>
      <c r="I463" s="8">
        <f t="shared" si="2"/>
        <v>43.8514136</v>
      </c>
      <c r="J463" s="19">
        <v>0.96</v>
      </c>
      <c r="K463" s="11">
        <f t="shared" si="3"/>
        <v>89.5688448</v>
      </c>
      <c r="L463" s="11">
        <f t="shared" si="13"/>
        <v>81.3140303</v>
      </c>
      <c r="M463" s="11">
        <f t="shared" ref="M463:M465" si="1385">(I463*D463)/100000</f>
        <v>35.22101689</v>
      </c>
      <c r="N463" s="11">
        <f t="shared" ref="N463:N465" si="1386">(K463*D463)/100000</f>
        <v>71.94080045</v>
      </c>
      <c r="O463" s="19">
        <v>1.16</v>
      </c>
      <c r="P463" s="19"/>
      <c r="Q463" s="19">
        <v>0.7</v>
      </c>
      <c r="R463" s="19"/>
      <c r="S463" s="19">
        <v>1.77</v>
      </c>
      <c r="T463" s="14"/>
      <c r="U463" s="14">
        <f t="shared" ref="U463:U465" si="1387">(O463*D463)/100000</f>
        <v>0.9317004</v>
      </c>
      <c r="V463" s="14">
        <f t="shared" ref="V463:V465" si="1388">(Q463*D463)/100000</f>
        <v>0.562233</v>
      </c>
      <c r="W463" s="14">
        <f t="shared" ref="W463:W465" si="1389">(S463*D463)/100000</f>
        <v>1.4216463</v>
      </c>
      <c r="X463" s="13"/>
      <c r="Y463" s="13"/>
      <c r="Z463" s="13" t="str">
        <f t="shared" ref="Z463:Z464" si="1390">ROUND(F463, 0) &amp; " (" &amp; ROUND(H463, 0) &amp; "-" &amp; ROUND(J463, 0) &amp; ")"</f>
        <v>1 (0-1)</v>
      </c>
      <c r="AA463" s="13" t="str">
        <f t="shared" ref="AA463:AA464" si="1391">ROUND(L463, 0) &amp; " (" &amp; ROUND(M463, 0) &amp; "-" &amp; ROUND(N463, 0) &amp; ")"</f>
        <v>81 (35-72)</v>
      </c>
      <c r="AB463" s="13" t="str">
        <f t="shared" ref="AB463:AB464" si="1392">ROUND(O463, 0) &amp; " (" &amp; ROUND(Q463, 0) &amp; "-" &amp; ROUND(S463, 0) &amp; ")"</f>
        <v>1 (1-2)</v>
      </c>
      <c r="AC463" s="13" t="str">
        <f t="shared" ref="AC463:AC464" si="1393">ROUND(U463, 0) &amp; " (" &amp; ROUND(V463, 0) &amp; "-" &amp; ROUND(W463, 0) &amp; ")"</f>
        <v>1 (1-1)</v>
      </c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hidden="1">
      <c r="A464" s="24" t="s">
        <v>27</v>
      </c>
      <c r="B464" s="16" t="s">
        <v>144</v>
      </c>
      <c r="C464" s="23">
        <v>2040.0</v>
      </c>
      <c r="D464" s="17">
        <f>38409+40816</f>
        <v>79225</v>
      </c>
      <c r="E464" s="10">
        <v>8939672.0</v>
      </c>
      <c r="F464" s="19">
        <v>0.7</v>
      </c>
      <c r="G464" s="10">
        <f t="shared" si="1"/>
        <v>62.577704</v>
      </c>
      <c r="H464" s="19">
        <v>0.47</v>
      </c>
      <c r="I464" s="8">
        <f t="shared" si="2"/>
        <v>42.0164584</v>
      </c>
      <c r="J464" s="19">
        <v>0.96</v>
      </c>
      <c r="K464" s="11">
        <f t="shared" si="3"/>
        <v>85.8208512</v>
      </c>
      <c r="L464" s="11">
        <f t="shared" si="13"/>
        <v>78.98731966</v>
      </c>
      <c r="M464" s="11">
        <f t="shared" si="1385"/>
        <v>33.28753917</v>
      </c>
      <c r="N464" s="11">
        <f t="shared" si="1386"/>
        <v>67.99156936</v>
      </c>
      <c r="O464" s="19">
        <v>1.16</v>
      </c>
      <c r="P464" s="19"/>
      <c r="Q464" s="19">
        <v>0.7</v>
      </c>
      <c r="R464" s="19"/>
      <c r="S464" s="19">
        <v>1.77</v>
      </c>
      <c r="T464" s="14"/>
      <c r="U464" s="14">
        <f t="shared" si="1387"/>
        <v>0.91901</v>
      </c>
      <c r="V464" s="14">
        <f t="shared" si="1388"/>
        <v>0.554575</v>
      </c>
      <c r="W464" s="14">
        <f t="shared" si="1389"/>
        <v>1.4022825</v>
      </c>
      <c r="X464" s="13"/>
      <c r="Y464" s="13"/>
      <c r="Z464" s="13" t="str">
        <f t="shared" si="1390"/>
        <v>1 (0-1)</v>
      </c>
      <c r="AA464" s="13" t="str">
        <f t="shared" si="1391"/>
        <v>79 (33-68)</v>
      </c>
      <c r="AB464" s="13" t="str">
        <f t="shared" si="1392"/>
        <v>1 (1-2)</v>
      </c>
      <c r="AC464" s="13" t="str">
        <f t="shared" si="1393"/>
        <v>1 (1-1)</v>
      </c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hidden="1">
      <c r="A465" s="24" t="s">
        <v>29</v>
      </c>
      <c r="B465" s="16" t="s">
        <v>144</v>
      </c>
      <c r="C465" s="23">
        <v>2050.0</v>
      </c>
      <c r="D465" s="17">
        <f>38037+40424</f>
        <v>78461</v>
      </c>
      <c r="E465" s="10">
        <v>8621509.0</v>
      </c>
      <c r="F465" s="19">
        <v>0.7</v>
      </c>
      <c r="G465" s="10">
        <f t="shared" si="1"/>
        <v>60.350563</v>
      </c>
      <c r="H465" s="19">
        <v>0.47</v>
      </c>
      <c r="I465" s="8">
        <f t="shared" si="2"/>
        <v>40.5210923</v>
      </c>
      <c r="J465" s="19">
        <v>0.96</v>
      </c>
      <c r="K465" s="11">
        <f t="shared" si="3"/>
        <v>82.7664864</v>
      </c>
      <c r="L465" s="11">
        <f t="shared" si="13"/>
        <v>76.91791208</v>
      </c>
      <c r="M465" s="11">
        <f t="shared" si="1385"/>
        <v>31.79325423</v>
      </c>
      <c r="N465" s="11">
        <f t="shared" si="1386"/>
        <v>64.93941289</v>
      </c>
      <c r="O465" s="19">
        <v>1.16</v>
      </c>
      <c r="P465" s="8">
        <f t="shared" ref="P465:P466" si="1394">(O465/100000)*E465</f>
        <v>100.0095044</v>
      </c>
      <c r="Q465" s="19">
        <v>0.7</v>
      </c>
      <c r="R465" s="8">
        <f t="shared" ref="R465:R466" si="1395">(Q465/100000)*E465</f>
        <v>60.350563</v>
      </c>
      <c r="S465" s="19">
        <v>1.77</v>
      </c>
      <c r="T465" s="11">
        <f t="shared" ref="T465:T466" si="1396">(S465/100000)*E465</f>
        <v>152.6007093</v>
      </c>
      <c r="U465" s="14">
        <f t="shared" si="1387"/>
        <v>0.9101476</v>
      </c>
      <c r="V465" s="14">
        <f t="shared" si="1388"/>
        <v>0.549227</v>
      </c>
      <c r="W465" s="14">
        <f t="shared" si="1389"/>
        <v>1.3887597</v>
      </c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>
      <c r="A466" s="24" t="s">
        <v>23</v>
      </c>
      <c r="B466" s="16" t="s">
        <v>145</v>
      </c>
      <c r="C466" s="20">
        <v>2021.0</v>
      </c>
      <c r="D466" s="17">
        <f>3633+3382</f>
        <v>7015</v>
      </c>
      <c r="E466" s="18">
        <v>625053.0</v>
      </c>
      <c r="F466" s="19">
        <v>1.28</v>
      </c>
      <c r="G466" s="10">
        <f t="shared" si="1"/>
        <v>8.0006784</v>
      </c>
      <c r="H466" s="19">
        <v>0.89</v>
      </c>
      <c r="I466" s="8">
        <f t="shared" si="2"/>
        <v>5.5629717</v>
      </c>
      <c r="J466" s="19">
        <v>1.73</v>
      </c>
      <c r="K466" s="11">
        <f t="shared" si="3"/>
        <v>10.8134169</v>
      </c>
      <c r="L466" s="11">
        <f t="shared" si="13"/>
        <v>114.0510107</v>
      </c>
      <c r="M466" s="12">
        <f>(I466/D466)*100000</f>
        <v>79.30109337</v>
      </c>
      <c r="N466" s="11">
        <f>(K466/D466)*100000</f>
        <v>154.1470691</v>
      </c>
      <c r="O466" s="19">
        <v>2.15</v>
      </c>
      <c r="P466" s="8">
        <f t="shared" si="1394"/>
        <v>13.4386395</v>
      </c>
      <c r="Q466" s="19">
        <v>1.33</v>
      </c>
      <c r="R466" s="8">
        <f t="shared" si="1395"/>
        <v>8.3132049</v>
      </c>
      <c r="S466" s="19">
        <v>3.36</v>
      </c>
      <c r="T466" s="11">
        <f t="shared" si="1396"/>
        <v>21.0017808</v>
      </c>
      <c r="U466" s="11">
        <f>(P466/D466)*100000</f>
        <v>191.570057</v>
      </c>
      <c r="V466" s="11">
        <f>(R466/D466)*100000</f>
        <v>118.5061283</v>
      </c>
      <c r="W466" s="11">
        <f>(T466/D466)*100000</f>
        <v>299.3839031</v>
      </c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hidden="1">
      <c r="A467" s="24" t="s">
        <v>25</v>
      </c>
      <c r="B467" s="16" t="s">
        <v>145</v>
      </c>
      <c r="C467" s="23">
        <v>2030.0</v>
      </c>
      <c r="D467" s="17">
        <f>3043+3233</f>
        <v>6276</v>
      </c>
      <c r="E467" s="10">
        <v>597537.0</v>
      </c>
      <c r="F467" s="19">
        <v>1.28</v>
      </c>
      <c r="G467" s="10">
        <f t="shared" si="1"/>
        <v>7.6484736</v>
      </c>
      <c r="H467" s="19">
        <v>0.89</v>
      </c>
      <c r="I467" s="8">
        <f t="shared" si="2"/>
        <v>5.3180793</v>
      </c>
      <c r="J467" s="19">
        <v>1.73</v>
      </c>
      <c r="K467" s="11">
        <f t="shared" si="3"/>
        <v>10.3373901</v>
      </c>
      <c r="L467" s="11">
        <f t="shared" si="13"/>
        <v>121.8686042</v>
      </c>
      <c r="M467" s="11">
        <f t="shared" ref="M467:M469" si="1397">(I467*D467)/100000</f>
        <v>0.3337626569</v>
      </c>
      <c r="N467" s="11">
        <f t="shared" ref="N467:N469" si="1398">(K467*D467)/100000</f>
        <v>0.6487746027</v>
      </c>
      <c r="O467" s="19">
        <v>2.15</v>
      </c>
      <c r="P467" s="19"/>
      <c r="Q467" s="19">
        <v>1.33</v>
      </c>
      <c r="R467" s="19"/>
      <c r="S467" s="19">
        <v>3.36</v>
      </c>
      <c r="T467" s="14"/>
      <c r="U467" s="14">
        <f t="shared" ref="U467:U469" si="1399">(O467*D467)/100000</f>
        <v>0.134934</v>
      </c>
      <c r="V467" s="14">
        <f t="shared" ref="V467:V469" si="1400">(Q467*D467)/100000</f>
        <v>0.0834708</v>
      </c>
      <c r="W467" s="14">
        <f t="shared" ref="W467:W469" si="1401">(S467*D467)/100000</f>
        <v>0.2108736</v>
      </c>
      <c r="X467" s="13"/>
      <c r="Y467" s="13"/>
      <c r="Z467" s="13" t="str">
        <f t="shared" ref="Z467:Z468" si="1402">ROUND(F467, 0) &amp; " (" &amp; ROUND(H467, 0) &amp; "-" &amp; ROUND(J467, 0) &amp; ")"</f>
        <v>1 (1-2)</v>
      </c>
      <c r="AA467" s="13" t="str">
        <f t="shared" ref="AA467:AA468" si="1403">ROUND(L467, 0) &amp; " (" &amp; ROUND(M467, 0) &amp; "-" &amp; ROUND(N467, 0) &amp; ")"</f>
        <v>122 (0-1)</v>
      </c>
      <c r="AB467" s="13" t="str">
        <f t="shared" ref="AB467:AB468" si="1404">ROUND(O467, 0) &amp; " (" &amp; ROUND(Q467, 0) &amp; "-" &amp; ROUND(S467, 0) &amp; ")"</f>
        <v>2 (1-3)</v>
      </c>
      <c r="AC467" s="13" t="str">
        <f t="shared" ref="AC467:AC468" si="1405">ROUND(U467, 0) &amp; " (" &amp; ROUND(V467, 0) &amp; "-" &amp; ROUND(W467, 0) &amp; ")"</f>
        <v>0 (0-0)</v>
      </c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hidden="1">
      <c r="A468" s="24" t="s">
        <v>27</v>
      </c>
      <c r="B468" s="16" t="s">
        <v>145</v>
      </c>
      <c r="C468" s="23">
        <v>2040.0</v>
      </c>
      <c r="D468" s="17">
        <f>2764+2927</f>
        <v>5691</v>
      </c>
      <c r="E468" s="10">
        <v>558361.0</v>
      </c>
      <c r="F468" s="19">
        <v>1.28</v>
      </c>
      <c r="G468" s="10">
        <f t="shared" si="1"/>
        <v>7.1470208</v>
      </c>
      <c r="H468" s="19">
        <v>0.89</v>
      </c>
      <c r="I468" s="8">
        <f t="shared" si="2"/>
        <v>4.9694129</v>
      </c>
      <c r="J468" s="19">
        <v>1.73</v>
      </c>
      <c r="K468" s="11">
        <f t="shared" si="3"/>
        <v>9.6596453</v>
      </c>
      <c r="L468" s="11">
        <f t="shared" si="13"/>
        <v>125.5846213</v>
      </c>
      <c r="M468" s="11">
        <f t="shared" si="1397"/>
        <v>0.2828092881</v>
      </c>
      <c r="N468" s="11">
        <f t="shared" si="1398"/>
        <v>0.549730414</v>
      </c>
      <c r="O468" s="19">
        <v>2.15</v>
      </c>
      <c r="P468" s="19"/>
      <c r="Q468" s="19">
        <v>1.33</v>
      </c>
      <c r="R468" s="19"/>
      <c r="S468" s="19">
        <v>3.36</v>
      </c>
      <c r="T468" s="14"/>
      <c r="U468" s="14">
        <f t="shared" si="1399"/>
        <v>0.1223565</v>
      </c>
      <c r="V468" s="14">
        <f t="shared" si="1400"/>
        <v>0.0756903</v>
      </c>
      <c r="W468" s="14">
        <f t="shared" si="1401"/>
        <v>0.1912176</v>
      </c>
      <c r="X468" s="13"/>
      <c r="Y468" s="13"/>
      <c r="Z468" s="13" t="str">
        <f t="shared" si="1402"/>
        <v>1 (1-2)</v>
      </c>
      <c r="AA468" s="13" t="str">
        <f t="shared" si="1403"/>
        <v>126 (0-1)</v>
      </c>
      <c r="AB468" s="13" t="str">
        <f t="shared" si="1404"/>
        <v>2 (1-3)</v>
      </c>
      <c r="AC468" s="13" t="str">
        <f t="shared" si="1405"/>
        <v>0 (0-0)</v>
      </c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hidden="1">
      <c r="A469" s="24" t="s">
        <v>29</v>
      </c>
      <c r="B469" s="16" t="s">
        <v>145</v>
      </c>
      <c r="C469" s="23">
        <v>2050.0</v>
      </c>
      <c r="D469" s="17">
        <f>2447+2589</f>
        <v>5036</v>
      </c>
      <c r="E469" s="10">
        <v>517470.0</v>
      </c>
      <c r="F469" s="19">
        <v>1.28</v>
      </c>
      <c r="G469" s="10">
        <f t="shared" si="1"/>
        <v>6.623616</v>
      </c>
      <c r="H469" s="19">
        <v>0.89</v>
      </c>
      <c r="I469" s="8">
        <f t="shared" si="2"/>
        <v>4.605483</v>
      </c>
      <c r="J469" s="19">
        <v>1.73</v>
      </c>
      <c r="K469" s="11">
        <f t="shared" si="3"/>
        <v>8.952231</v>
      </c>
      <c r="L469" s="11">
        <f t="shared" si="13"/>
        <v>131.5253376</v>
      </c>
      <c r="M469" s="11">
        <f t="shared" si="1397"/>
        <v>0.2319321239</v>
      </c>
      <c r="N469" s="11">
        <f t="shared" si="1398"/>
        <v>0.4508343532</v>
      </c>
      <c r="O469" s="19">
        <v>2.15</v>
      </c>
      <c r="P469" s="8">
        <f t="shared" ref="P469:P470" si="1406">(O469/100000)*E469</f>
        <v>11.125605</v>
      </c>
      <c r="Q469" s="19">
        <v>1.33</v>
      </c>
      <c r="R469" s="8">
        <f t="shared" ref="R469:R470" si="1407">(Q469/100000)*E469</f>
        <v>6.882351</v>
      </c>
      <c r="S469" s="19">
        <v>3.36</v>
      </c>
      <c r="T469" s="11">
        <f t="shared" ref="T469:T470" si="1408">(S469/100000)*E469</f>
        <v>17.386992</v>
      </c>
      <c r="U469" s="14">
        <f t="shared" si="1399"/>
        <v>0.108274</v>
      </c>
      <c r="V469" s="14">
        <f t="shared" si="1400"/>
        <v>0.0669788</v>
      </c>
      <c r="W469" s="14">
        <f t="shared" si="1401"/>
        <v>0.1692096</v>
      </c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>
      <c r="A470" s="24" t="s">
        <v>23</v>
      </c>
      <c r="B470" s="16" t="s">
        <v>146</v>
      </c>
      <c r="C470" s="20">
        <v>2021.0</v>
      </c>
      <c r="D470" s="17">
        <f>10035.5+9312</f>
        <v>19347.5</v>
      </c>
      <c r="E470" s="18">
        <v>1837114.0</v>
      </c>
      <c r="F470" s="19">
        <v>1.02</v>
      </c>
      <c r="G470" s="10">
        <f t="shared" si="1"/>
        <v>18.7385628</v>
      </c>
      <c r="H470" s="19">
        <v>0.71</v>
      </c>
      <c r="I470" s="8">
        <f t="shared" si="2"/>
        <v>13.0435094</v>
      </c>
      <c r="J470" s="19">
        <v>1.37</v>
      </c>
      <c r="K470" s="11">
        <f t="shared" si="3"/>
        <v>25.1684618</v>
      </c>
      <c r="L470" s="11">
        <f t="shared" si="13"/>
        <v>96.85263109</v>
      </c>
      <c r="M470" s="12">
        <f>(I470/D470)*100000</f>
        <v>67.41702752</v>
      </c>
      <c r="N470" s="11">
        <f>(K470/D470)*100000</f>
        <v>130.0863771</v>
      </c>
      <c r="O470" s="19">
        <v>2.07</v>
      </c>
      <c r="P470" s="8">
        <f t="shared" si="1406"/>
        <v>38.0282598</v>
      </c>
      <c r="Q470" s="19">
        <v>1.29</v>
      </c>
      <c r="R470" s="8">
        <f t="shared" si="1407"/>
        <v>23.6987706</v>
      </c>
      <c r="S470" s="19">
        <v>3.17</v>
      </c>
      <c r="T470" s="11">
        <f t="shared" si="1408"/>
        <v>58.2365138</v>
      </c>
      <c r="U470" s="11">
        <f>(P470/D470)*100000</f>
        <v>196.553869</v>
      </c>
      <c r="V470" s="11">
        <f>(R470/D470)*100000</f>
        <v>122.4900923</v>
      </c>
      <c r="W470" s="11">
        <f>(T470/D470)*100000</f>
        <v>301.0027849</v>
      </c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hidden="1">
      <c r="A471" s="24" t="s">
        <v>25</v>
      </c>
      <c r="B471" s="16" t="s">
        <v>146</v>
      </c>
      <c r="C471" s="23">
        <v>2030.0</v>
      </c>
      <c r="D471" s="17">
        <f>7242+7784</f>
        <v>15026</v>
      </c>
      <c r="E471" s="10">
        <v>1731405.0</v>
      </c>
      <c r="F471" s="19">
        <v>1.02</v>
      </c>
      <c r="G471" s="10">
        <f t="shared" si="1"/>
        <v>17.660331</v>
      </c>
      <c r="H471" s="19">
        <v>0.71</v>
      </c>
      <c r="I471" s="8">
        <f t="shared" si="2"/>
        <v>12.2929755</v>
      </c>
      <c r="J471" s="19">
        <v>1.37</v>
      </c>
      <c r="K471" s="11">
        <f t="shared" si="3"/>
        <v>23.7202485</v>
      </c>
      <c r="L471" s="11">
        <f t="shared" si="13"/>
        <v>117.5318182</v>
      </c>
      <c r="M471" s="11">
        <f t="shared" ref="M471:M473" si="1409">(I471*D471)/100000</f>
        <v>1.847142499</v>
      </c>
      <c r="N471" s="11">
        <f t="shared" ref="N471:N473" si="1410">(K471*D471)/100000</f>
        <v>3.56420454</v>
      </c>
      <c r="O471" s="19">
        <v>2.07</v>
      </c>
      <c r="P471" s="19"/>
      <c r="Q471" s="19">
        <v>1.29</v>
      </c>
      <c r="R471" s="19"/>
      <c r="S471" s="19">
        <v>3.17</v>
      </c>
      <c r="T471" s="14"/>
      <c r="U471" s="14">
        <f t="shared" ref="U471:U473" si="1411">(O471*D471)/100000</f>
        <v>0.3110382</v>
      </c>
      <c r="V471" s="14">
        <f t="shared" ref="V471:V473" si="1412">(Q471*D471)/100000</f>
        <v>0.1938354</v>
      </c>
      <c r="W471" s="14">
        <f t="shared" ref="W471:W473" si="1413">(S471*D471)/100000</f>
        <v>0.4763242</v>
      </c>
      <c r="X471" s="13"/>
      <c r="Y471" s="13"/>
      <c r="Z471" s="13" t="str">
        <f t="shared" ref="Z471:Z472" si="1414">ROUND(F471, 0) &amp; " (" &amp; ROUND(H471, 0) &amp; "-" &amp; ROUND(J471, 0) &amp; ")"</f>
        <v>1 (1-1)</v>
      </c>
      <c r="AA471" s="13" t="str">
        <f t="shared" ref="AA471:AA472" si="1415">ROUND(L471, 0) &amp; " (" &amp; ROUND(M471, 0) &amp; "-" &amp; ROUND(N471, 0) &amp; ")"</f>
        <v>118 (2-4)</v>
      </c>
      <c r="AB471" s="13" t="str">
        <f t="shared" ref="AB471:AB472" si="1416">ROUND(O471, 0) &amp; " (" &amp; ROUND(Q471, 0) &amp; "-" &amp; ROUND(S471, 0) &amp; ")"</f>
        <v>2 (1-3)</v>
      </c>
      <c r="AC471" s="13" t="str">
        <f t="shared" ref="AC471:AC472" si="1417">ROUND(U471, 0) &amp; " (" &amp; ROUND(V471, 0) &amp; "-" &amp; ROUND(W471, 0) &amp; ")"</f>
        <v>0 (0-0)</v>
      </c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hidden="1">
      <c r="A472" s="24" t="s">
        <v>27</v>
      </c>
      <c r="B472" s="16" t="s">
        <v>146</v>
      </c>
      <c r="C472" s="23">
        <v>2040.0</v>
      </c>
      <c r="D472" s="17">
        <f>6754+7252</f>
        <v>14006</v>
      </c>
      <c r="E472" s="10">
        <v>1609807.0</v>
      </c>
      <c r="F472" s="19">
        <v>1.02</v>
      </c>
      <c r="G472" s="10">
        <f t="shared" si="1"/>
        <v>16.4200314</v>
      </c>
      <c r="H472" s="19">
        <v>0.71</v>
      </c>
      <c r="I472" s="8">
        <f t="shared" si="2"/>
        <v>11.4296297</v>
      </c>
      <c r="J472" s="19">
        <v>1.37</v>
      </c>
      <c r="K472" s="11">
        <f t="shared" si="3"/>
        <v>22.0543559</v>
      </c>
      <c r="L472" s="11">
        <f t="shared" si="13"/>
        <v>117.2356947</v>
      </c>
      <c r="M472" s="11">
        <f t="shared" si="1409"/>
        <v>1.600833936</v>
      </c>
      <c r="N472" s="11">
        <f t="shared" si="1410"/>
        <v>3.088933087</v>
      </c>
      <c r="O472" s="19">
        <v>2.07</v>
      </c>
      <c r="P472" s="19"/>
      <c r="Q472" s="19">
        <v>1.29</v>
      </c>
      <c r="R472" s="19"/>
      <c r="S472" s="19">
        <v>3.17</v>
      </c>
      <c r="T472" s="14"/>
      <c r="U472" s="14">
        <f t="shared" si="1411"/>
        <v>0.2899242</v>
      </c>
      <c r="V472" s="14">
        <f t="shared" si="1412"/>
        <v>0.1806774</v>
      </c>
      <c r="W472" s="14">
        <f t="shared" si="1413"/>
        <v>0.4439902</v>
      </c>
      <c r="X472" s="13"/>
      <c r="Y472" s="13"/>
      <c r="Z472" s="13" t="str">
        <f t="shared" si="1414"/>
        <v>1 (1-1)</v>
      </c>
      <c r="AA472" s="13" t="str">
        <f t="shared" si="1415"/>
        <v>117 (2-3)</v>
      </c>
      <c r="AB472" s="13" t="str">
        <f t="shared" si="1416"/>
        <v>2 (1-3)</v>
      </c>
      <c r="AC472" s="13" t="str">
        <f t="shared" si="1417"/>
        <v>0 (0-0)</v>
      </c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hidden="1">
      <c r="A473" s="24" t="s">
        <v>29</v>
      </c>
      <c r="B473" s="16" t="s">
        <v>146</v>
      </c>
      <c r="C473" s="23">
        <v>2050.0</v>
      </c>
      <c r="D473" s="17">
        <f>5990+6430</f>
        <v>12420</v>
      </c>
      <c r="E473" s="10">
        <v>1483089.0</v>
      </c>
      <c r="F473" s="19">
        <v>1.02</v>
      </c>
      <c r="G473" s="10">
        <f t="shared" si="1"/>
        <v>15.1275078</v>
      </c>
      <c r="H473" s="19">
        <v>0.71</v>
      </c>
      <c r="I473" s="8">
        <f t="shared" si="2"/>
        <v>10.5299319</v>
      </c>
      <c r="J473" s="19">
        <v>1.37</v>
      </c>
      <c r="K473" s="11">
        <f t="shared" si="3"/>
        <v>20.3183193</v>
      </c>
      <c r="L473" s="11">
        <f t="shared" si="13"/>
        <v>121.7995797</v>
      </c>
      <c r="M473" s="11">
        <f t="shared" si="1409"/>
        <v>1.307817542</v>
      </c>
      <c r="N473" s="11">
        <f t="shared" si="1410"/>
        <v>2.523535257</v>
      </c>
      <c r="O473" s="19">
        <v>2.07</v>
      </c>
      <c r="P473" s="8">
        <f t="shared" ref="P473:P474" si="1418">(O473/100000)*E473</f>
        <v>30.6999423</v>
      </c>
      <c r="Q473" s="19">
        <v>1.29</v>
      </c>
      <c r="R473" s="8">
        <f t="shared" ref="R473:R474" si="1419">(Q473/100000)*E473</f>
        <v>19.1318481</v>
      </c>
      <c r="S473" s="19">
        <v>3.17</v>
      </c>
      <c r="T473" s="11">
        <f t="shared" ref="T473:T474" si="1420">(S473/100000)*E473</f>
        <v>47.0139213</v>
      </c>
      <c r="U473" s="14">
        <f t="shared" si="1411"/>
        <v>0.257094</v>
      </c>
      <c r="V473" s="14">
        <f t="shared" si="1412"/>
        <v>0.160218</v>
      </c>
      <c r="W473" s="14">
        <f t="shared" si="1413"/>
        <v>0.393714</v>
      </c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>
      <c r="A474" s="24" t="s">
        <v>23</v>
      </c>
      <c r="B474" s="16" t="s">
        <v>147</v>
      </c>
      <c r="C474" s="20">
        <v>2021.0</v>
      </c>
      <c r="D474" s="17">
        <f>177954+168157</f>
        <v>346111</v>
      </c>
      <c r="E474" s="18">
        <v>3.6981559E7</v>
      </c>
      <c r="F474" s="19">
        <v>0.78</v>
      </c>
      <c r="G474" s="10">
        <f t="shared" si="1"/>
        <v>288.4561602</v>
      </c>
      <c r="H474" s="19">
        <v>0.56</v>
      </c>
      <c r="I474" s="8">
        <f t="shared" si="2"/>
        <v>207.0967304</v>
      </c>
      <c r="J474" s="19">
        <v>1.02</v>
      </c>
      <c r="K474" s="11">
        <f t="shared" si="3"/>
        <v>377.2119018</v>
      </c>
      <c r="L474" s="11">
        <f t="shared" si="13"/>
        <v>83.34209551</v>
      </c>
      <c r="M474" s="12">
        <f>(I474/D474)*100000</f>
        <v>59.83535062</v>
      </c>
      <c r="N474" s="11">
        <f>(K474/D474)*100000</f>
        <v>108.9858172</v>
      </c>
      <c r="O474" s="19">
        <v>1.18</v>
      </c>
      <c r="P474" s="8">
        <f t="shared" si="1418"/>
        <v>436.3823962</v>
      </c>
      <c r="Q474" s="19">
        <v>0.71</v>
      </c>
      <c r="R474" s="8">
        <f t="shared" si="1419"/>
        <v>262.5690689</v>
      </c>
      <c r="S474" s="19">
        <v>1.8</v>
      </c>
      <c r="T474" s="11">
        <f t="shared" si="1420"/>
        <v>665.668062</v>
      </c>
      <c r="U474" s="11">
        <f>(P474/D474)*100000</f>
        <v>126.0816317</v>
      </c>
      <c r="V474" s="11">
        <f>(R474/D474)*100000</f>
        <v>75.86267668</v>
      </c>
      <c r="W474" s="11">
        <f>(T474/D474)*100000</f>
        <v>192.3279127</v>
      </c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hidden="1">
      <c r="A475" s="24" t="s">
        <v>25</v>
      </c>
      <c r="B475" s="16" t="s">
        <v>147</v>
      </c>
      <c r="C475" s="23">
        <v>2030.0</v>
      </c>
      <c r="D475" s="17">
        <f>126335+134122</f>
        <v>260457</v>
      </c>
      <c r="E475" s="10">
        <v>3.5371608E7</v>
      </c>
      <c r="F475" s="19">
        <v>0.78</v>
      </c>
      <c r="G475" s="10">
        <f t="shared" si="1"/>
        <v>275.8985424</v>
      </c>
      <c r="H475" s="19">
        <v>0.56</v>
      </c>
      <c r="I475" s="8">
        <f t="shared" si="2"/>
        <v>198.0810048</v>
      </c>
      <c r="J475" s="19">
        <v>1.02</v>
      </c>
      <c r="K475" s="11">
        <f t="shared" si="3"/>
        <v>360.7904016</v>
      </c>
      <c r="L475" s="11">
        <f t="shared" si="13"/>
        <v>105.9286341</v>
      </c>
      <c r="M475" s="11">
        <f t="shared" ref="M475:M477" si="1421">(I475*D475)/100000</f>
        <v>515.9158427</v>
      </c>
      <c r="N475" s="11">
        <f t="shared" ref="N475:N477" si="1422">(K475*D475)/100000</f>
        <v>939.7038563</v>
      </c>
      <c r="O475" s="19">
        <v>1.18</v>
      </c>
      <c r="P475" s="19"/>
      <c r="Q475" s="19">
        <v>0.71</v>
      </c>
      <c r="R475" s="19"/>
      <c r="S475" s="19">
        <v>1.8</v>
      </c>
      <c r="T475" s="14"/>
      <c r="U475" s="14">
        <f t="shared" ref="U475:U477" si="1423">(O475*D475)/100000</f>
        <v>3.0733926</v>
      </c>
      <c r="V475" s="14">
        <f t="shared" ref="V475:V477" si="1424">(Q475*D475)/100000</f>
        <v>1.8492447</v>
      </c>
      <c r="W475" s="14">
        <f t="shared" ref="W475:W477" si="1425">(S475*D475)/100000</f>
        <v>4.688226</v>
      </c>
      <c r="X475" s="13"/>
      <c r="Y475" s="13"/>
      <c r="Z475" s="13" t="str">
        <f t="shared" ref="Z475:Z476" si="1426">ROUND(F475, 0) &amp; " (" &amp; ROUND(H475, 0) &amp; "-" &amp; ROUND(J475, 0) &amp; ")"</f>
        <v>1 (1-1)</v>
      </c>
      <c r="AA475" s="13" t="str">
        <f t="shared" ref="AA475:AA476" si="1427">ROUND(L475, 0) &amp; " (" &amp; ROUND(M475, 0) &amp; "-" &amp; ROUND(N475, 0) &amp; ")"</f>
        <v>106 (516-940)</v>
      </c>
      <c r="AB475" s="13" t="str">
        <f t="shared" ref="AB475:AB476" si="1428">ROUND(O475, 0) &amp; " (" &amp; ROUND(Q475, 0) &amp; "-" &amp; ROUND(S475, 0) &amp; ")"</f>
        <v>1 (1-2)</v>
      </c>
      <c r="AC475" s="13" t="str">
        <f t="shared" ref="AC475:AC476" si="1429">ROUND(U475, 0) &amp; " (" &amp; ROUND(V475, 0) &amp; "-" &amp; ROUND(W475, 0) &amp; ")"</f>
        <v>3 (2-5)</v>
      </c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hidden="1">
      <c r="A476" s="24" t="s">
        <v>27</v>
      </c>
      <c r="B476" s="16" t="s">
        <v>147</v>
      </c>
      <c r="C476" s="23">
        <v>2040.0</v>
      </c>
      <c r="D476" s="17">
        <f>124647+132442</f>
        <v>257089</v>
      </c>
      <c r="E476" s="10">
        <v>3.3293704E7</v>
      </c>
      <c r="F476" s="19">
        <v>0.78</v>
      </c>
      <c r="G476" s="10">
        <f t="shared" si="1"/>
        <v>259.6908912</v>
      </c>
      <c r="H476" s="19">
        <v>0.56</v>
      </c>
      <c r="I476" s="8">
        <f t="shared" si="2"/>
        <v>186.4447424</v>
      </c>
      <c r="J476" s="19">
        <v>1.02</v>
      </c>
      <c r="K476" s="11">
        <f t="shared" si="3"/>
        <v>339.5957808</v>
      </c>
      <c r="L476" s="11">
        <f t="shared" si="13"/>
        <v>101.0120585</v>
      </c>
      <c r="M476" s="11">
        <f t="shared" si="1421"/>
        <v>479.3289238</v>
      </c>
      <c r="N476" s="11">
        <f t="shared" si="1422"/>
        <v>873.0633969</v>
      </c>
      <c r="O476" s="19">
        <v>1.18</v>
      </c>
      <c r="P476" s="19"/>
      <c r="Q476" s="19">
        <v>0.71</v>
      </c>
      <c r="R476" s="19"/>
      <c r="S476" s="19">
        <v>1.8</v>
      </c>
      <c r="T476" s="14"/>
      <c r="U476" s="14">
        <f t="shared" si="1423"/>
        <v>3.0336502</v>
      </c>
      <c r="V476" s="14">
        <f t="shared" si="1424"/>
        <v>1.8253319</v>
      </c>
      <c r="W476" s="14">
        <f t="shared" si="1425"/>
        <v>4.627602</v>
      </c>
      <c r="X476" s="13"/>
      <c r="Y476" s="13"/>
      <c r="Z476" s="13" t="str">
        <f t="shared" si="1426"/>
        <v>1 (1-1)</v>
      </c>
      <c r="AA476" s="13" t="str">
        <f t="shared" si="1427"/>
        <v>101 (479-873)</v>
      </c>
      <c r="AB476" s="13" t="str">
        <f t="shared" si="1428"/>
        <v>1 (1-2)</v>
      </c>
      <c r="AC476" s="13" t="str">
        <f t="shared" si="1429"/>
        <v>3 (2-5)</v>
      </c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hidden="1">
      <c r="A477" s="24" t="s">
        <v>29</v>
      </c>
      <c r="B477" s="16" t="s">
        <v>147</v>
      </c>
      <c r="C477" s="23">
        <v>2050.0</v>
      </c>
      <c r="D477" s="17">
        <f>114830+122037</f>
        <v>236867</v>
      </c>
      <c r="E477" s="10">
        <v>3.1140384E7</v>
      </c>
      <c r="F477" s="19">
        <v>0.78</v>
      </c>
      <c r="G477" s="10">
        <f t="shared" si="1"/>
        <v>242.8949952</v>
      </c>
      <c r="H477" s="19">
        <v>0.56</v>
      </c>
      <c r="I477" s="8">
        <f t="shared" si="2"/>
        <v>174.3861504</v>
      </c>
      <c r="J477" s="19">
        <v>1.02</v>
      </c>
      <c r="K477" s="11">
        <f t="shared" si="3"/>
        <v>317.6319168</v>
      </c>
      <c r="L477" s="11">
        <f t="shared" si="13"/>
        <v>102.544886</v>
      </c>
      <c r="M477" s="11">
        <f t="shared" si="1421"/>
        <v>413.0632429</v>
      </c>
      <c r="N477" s="11">
        <f t="shared" si="1422"/>
        <v>752.3651924</v>
      </c>
      <c r="O477" s="19">
        <v>1.18</v>
      </c>
      <c r="P477" s="8">
        <f t="shared" ref="P477:P478" si="1430">(O477/100000)*E477</f>
        <v>367.4565312</v>
      </c>
      <c r="Q477" s="19">
        <v>0.71</v>
      </c>
      <c r="R477" s="8">
        <f t="shared" ref="R477:R478" si="1431">(Q477/100000)*E477</f>
        <v>221.0967264</v>
      </c>
      <c r="S477" s="19">
        <v>1.8</v>
      </c>
      <c r="T477" s="11">
        <f t="shared" ref="T477:T478" si="1432">(S477/100000)*E477</f>
        <v>560.526912</v>
      </c>
      <c r="U477" s="14">
        <f t="shared" si="1423"/>
        <v>2.7950306</v>
      </c>
      <c r="V477" s="14">
        <f t="shared" si="1424"/>
        <v>1.6817557</v>
      </c>
      <c r="W477" s="14">
        <f t="shared" si="1425"/>
        <v>4.263606</v>
      </c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>
      <c r="A478" s="24" t="s">
        <v>23</v>
      </c>
      <c r="B478" s="16" t="s">
        <v>148</v>
      </c>
      <c r="C478" s="20">
        <v>2021.0</v>
      </c>
      <c r="D478" s="17">
        <f>96363+91231.5</f>
        <v>187594.5</v>
      </c>
      <c r="E478" s="18">
        <v>1.9122059E7</v>
      </c>
      <c r="F478" s="19">
        <v>1.7</v>
      </c>
      <c r="G478" s="10">
        <f t="shared" si="1"/>
        <v>325.075003</v>
      </c>
      <c r="H478" s="19">
        <v>1.16</v>
      </c>
      <c r="I478" s="8">
        <f t="shared" si="2"/>
        <v>221.8158844</v>
      </c>
      <c r="J478" s="19">
        <v>2.27</v>
      </c>
      <c r="K478" s="11">
        <f t="shared" si="3"/>
        <v>434.0707393</v>
      </c>
      <c r="L478" s="11">
        <f t="shared" si="13"/>
        <v>173.2859988</v>
      </c>
      <c r="M478" s="12">
        <f>(I478/D478)*100000</f>
        <v>118.2422109</v>
      </c>
      <c r="N478" s="11">
        <f>(K478/D478)*100000</f>
        <v>231.3877749</v>
      </c>
      <c r="O478" s="19">
        <v>2.59</v>
      </c>
      <c r="P478" s="8">
        <f t="shared" si="1430"/>
        <v>495.2613281</v>
      </c>
      <c r="Q478" s="19">
        <v>1.6</v>
      </c>
      <c r="R478" s="8">
        <f t="shared" si="1431"/>
        <v>305.952944</v>
      </c>
      <c r="S478" s="19">
        <v>3.95</v>
      </c>
      <c r="T478" s="11">
        <f t="shared" si="1432"/>
        <v>755.3213305</v>
      </c>
      <c r="U478" s="11">
        <f>(P478/D478)*100000</f>
        <v>264.0063158</v>
      </c>
      <c r="V478" s="11">
        <f>(R478/D478)*100000</f>
        <v>163.0927047</v>
      </c>
      <c r="W478" s="11">
        <f>(T478/D478)*100000</f>
        <v>402.6351148</v>
      </c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hidden="1">
      <c r="A479" s="24" t="s">
        <v>25</v>
      </c>
      <c r="B479" s="16" t="s">
        <v>148</v>
      </c>
      <c r="C479" s="23">
        <v>2030.0</v>
      </c>
      <c r="D479" s="17">
        <f>81877+86452</f>
        <v>168329</v>
      </c>
      <c r="E479" s="10">
        <v>1.8425064E7</v>
      </c>
      <c r="F479" s="19">
        <v>1.7</v>
      </c>
      <c r="G479" s="10">
        <f t="shared" si="1"/>
        <v>313.226088</v>
      </c>
      <c r="H479" s="19">
        <v>1.16</v>
      </c>
      <c r="I479" s="8">
        <f t="shared" si="2"/>
        <v>213.7307424</v>
      </c>
      <c r="J479" s="19">
        <v>2.27</v>
      </c>
      <c r="K479" s="11">
        <f t="shared" si="3"/>
        <v>418.2489528</v>
      </c>
      <c r="L479" s="11">
        <f t="shared" si="13"/>
        <v>186.0796939</v>
      </c>
      <c r="M479" s="11">
        <f t="shared" ref="M479:M481" si="1433">(I479*D479)/100000</f>
        <v>359.7708214</v>
      </c>
      <c r="N479" s="11">
        <f t="shared" ref="N479:N481" si="1434">(K479*D479)/100000</f>
        <v>704.0342798</v>
      </c>
      <c r="O479" s="19">
        <v>2.59</v>
      </c>
      <c r="P479" s="19"/>
      <c r="Q479" s="19">
        <v>1.6</v>
      </c>
      <c r="R479" s="19"/>
      <c r="S479" s="19">
        <v>3.95</v>
      </c>
      <c r="T479" s="14"/>
      <c r="U479" s="14">
        <f t="shared" ref="U479:U481" si="1435">(O479*D479)/100000</f>
        <v>4.3597211</v>
      </c>
      <c r="V479" s="14">
        <f t="shared" ref="V479:V481" si="1436">(Q479*D479)/100000</f>
        <v>2.693264</v>
      </c>
      <c r="W479" s="14">
        <f t="shared" ref="W479:W481" si="1437">(S479*D479)/100000</f>
        <v>6.6489955</v>
      </c>
      <c r="X479" s="13"/>
      <c r="Y479" s="13"/>
      <c r="Z479" s="13" t="str">
        <f t="shared" ref="Z479:Z480" si="1438">ROUND(F479, 0) &amp; " (" &amp; ROUND(H479, 0) &amp; "-" &amp; ROUND(J479, 0) &amp; ")"</f>
        <v>2 (1-2)</v>
      </c>
      <c r="AA479" s="13" t="str">
        <f t="shared" ref="AA479:AA480" si="1439">ROUND(L479, 0) &amp; " (" &amp; ROUND(M479, 0) &amp; "-" &amp; ROUND(N479, 0) &amp; ")"</f>
        <v>186 (360-704)</v>
      </c>
      <c r="AB479" s="13" t="str">
        <f t="shared" ref="AB479:AB480" si="1440">ROUND(O479, 0) &amp; " (" &amp; ROUND(Q479, 0) &amp; "-" &amp; ROUND(S479, 0) &amp; ")"</f>
        <v>3 (2-4)</v>
      </c>
      <c r="AC479" s="13" t="str">
        <f t="shared" ref="AC479:AC480" si="1441">ROUND(U479, 0) &amp; " (" &amp; ROUND(V479, 0) &amp; "-" &amp; ROUND(W479, 0) &amp; ")"</f>
        <v>4 (3-7)</v>
      </c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hidden="1">
      <c r="A480" s="24" t="s">
        <v>27</v>
      </c>
      <c r="B480" s="16" t="s">
        <v>148</v>
      </c>
      <c r="C480" s="23">
        <v>2040.0</v>
      </c>
      <c r="D480" s="17">
        <f>78390+82840</f>
        <v>161230</v>
      </c>
      <c r="E480" s="10">
        <v>1.7218644E7</v>
      </c>
      <c r="F480" s="19">
        <v>1.7</v>
      </c>
      <c r="G480" s="10">
        <f t="shared" si="1"/>
        <v>292.716948</v>
      </c>
      <c r="H480" s="19">
        <v>1.16</v>
      </c>
      <c r="I480" s="8">
        <f t="shared" si="2"/>
        <v>199.7362704</v>
      </c>
      <c r="J480" s="19">
        <v>2.27</v>
      </c>
      <c r="K480" s="11">
        <f t="shared" si="3"/>
        <v>390.8632188</v>
      </c>
      <c r="L480" s="11">
        <f t="shared" si="13"/>
        <v>181.5524084</v>
      </c>
      <c r="M480" s="11">
        <f t="shared" si="1433"/>
        <v>322.0347888</v>
      </c>
      <c r="N480" s="11">
        <f t="shared" si="1434"/>
        <v>630.1887677</v>
      </c>
      <c r="O480" s="19">
        <v>2.59</v>
      </c>
      <c r="P480" s="19"/>
      <c r="Q480" s="19">
        <v>1.6</v>
      </c>
      <c r="R480" s="19"/>
      <c r="S480" s="19">
        <v>3.95</v>
      </c>
      <c r="T480" s="14"/>
      <c r="U480" s="14">
        <f t="shared" si="1435"/>
        <v>4.175857</v>
      </c>
      <c r="V480" s="14">
        <f t="shared" si="1436"/>
        <v>2.57968</v>
      </c>
      <c r="W480" s="14">
        <f t="shared" si="1437"/>
        <v>6.368585</v>
      </c>
      <c r="X480" s="13"/>
      <c r="Y480" s="13"/>
      <c r="Z480" s="13" t="str">
        <f t="shared" si="1438"/>
        <v>2 (1-2)</v>
      </c>
      <c r="AA480" s="13" t="str">
        <f t="shared" si="1439"/>
        <v>182 (322-630)</v>
      </c>
      <c r="AB480" s="13" t="str">
        <f t="shared" si="1440"/>
        <v>3 (2-4)</v>
      </c>
      <c r="AC480" s="13" t="str">
        <f t="shared" si="1441"/>
        <v>4 (3-6)</v>
      </c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hidden="1">
      <c r="A481" s="24" t="s">
        <v>29</v>
      </c>
      <c r="B481" s="16" t="s">
        <v>148</v>
      </c>
      <c r="C481" s="23">
        <v>2050.0</v>
      </c>
      <c r="D481" s="17">
        <f>71233+75304</f>
        <v>146537</v>
      </c>
      <c r="E481" s="10">
        <v>1.6060403E7</v>
      </c>
      <c r="F481" s="19">
        <v>1.7</v>
      </c>
      <c r="G481" s="10">
        <f t="shared" si="1"/>
        <v>273.026851</v>
      </c>
      <c r="H481" s="19">
        <v>1.16</v>
      </c>
      <c r="I481" s="8">
        <f t="shared" si="2"/>
        <v>186.3006748</v>
      </c>
      <c r="J481" s="19">
        <v>2.27</v>
      </c>
      <c r="K481" s="11">
        <f t="shared" si="3"/>
        <v>364.5711481</v>
      </c>
      <c r="L481" s="11">
        <f t="shared" si="13"/>
        <v>186.3193944</v>
      </c>
      <c r="M481" s="11">
        <f t="shared" si="1433"/>
        <v>272.9994198</v>
      </c>
      <c r="N481" s="11">
        <f t="shared" si="1434"/>
        <v>534.2316233</v>
      </c>
      <c r="O481" s="19">
        <v>2.59</v>
      </c>
      <c r="P481" s="8">
        <f t="shared" ref="P481:P482" si="1442">(O481/100000)*E481</f>
        <v>415.9644377</v>
      </c>
      <c r="Q481" s="19">
        <v>1.6</v>
      </c>
      <c r="R481" s="8">
        <f t="shared" ref="R481:R482" si="1443">(Q481/100000)*E481</f>
        <v>256.966448</v>
      </c>
      <c r="S481" s="19">
        <v>3.95</v>
      </c>
      <c r="T481" s="11">
        <f t="shared" ref="T481:T482" si="1444">(S481/100000)*E481</f>
        <v>634.3859185</v>
      </c>
      <c r="U481" s="14">
        <f t="shared" si="1435"/>
        <v>3.7953083</v>
      </c>
      <c r="V481" s="14">
        <f t="shared" si="1436"/>
        <v>2.344592</v>
      </c>
      <c r="W481" s="14">
        <f t="shared" si="1437"/>
        <v>5.7882115</v>
      </c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>
      <c r="A482" s="24" t="s">
        <v>23</v>
      </c>
      <c r="B482" s="16" t="s">
        <v>149</v>
      </c>
      <c r="C482" s="20">
        <v>2021.0</v>
      </c>
      <c r="D482" s="17">
        <f>31617+31086.5</f>
        <v>62703.5</v>
      </c>
      <c r="E482" s="18">
        <v>6834326.0</v>
      </c>
      <c r="F482" s="19">
        <v>0.74</v>
      </c>
      <c r="G482" s="10">
        <f t="shared" si="1"/>
        <v>50.5740124</v>
      </c>
      <c r="H482" s="19">
        <v>0.47</v>
      </c>
      <c r="I482" s="8">
        <f t="shared" si="2"/>
        <v>32.1213322</v>
      </c>
      <c r="J482" s="19">
        <v>1.01</v>
      </c>
      <c r="K482" s="11">
        <f t="shared" si="3"/>
        <v>69.0266926</v>
      </c>
      <c r="L482" s="11">
        <f t="shared" si="13"/>
        <v>80.65580454</v>
      </c>
      <c r="M482" s="12">
        <f>(I482/D482)*100000</f>
        <v>51.22733532</v>
      </c>
      <c r="N482" s="11">
        <f>(K482/D482)*100000</f>
        <v>110.0842738</v>
      </c>
      <c r="O482" s="19">
        <v>1.67</v>
      </c>
      <c r="P482" s="8">
        <f t="shared" si="1442"/>
        <v>114.1332442</v>
      </c>
      <c r="Q482" s="19">
        <v>1.02</v>
      </c>
      <c r="R482" s="8">
        <f t="shared" si="1443"/>
        <v>69.7101252</v>
      </c>
      <c r="S482" s="19">
        <v>2.64</v>
      </c>
      <c r="T482" s="11">
        <f t="shared" si="1444"/>
        <v>180.4262064</v>
      </c>
      <c r="U482" s="11">
        <f>(P482/D482)*100000</f>
        <v>182.0205319</v>
      </c>
      <c r="V482" s="11">
        <f>(R482/D482)*100000</f>
        <v>111.1742171</v>
      </c>
      <c r="W482" s="11">
        <f>(T482/D482)*100000</f>
        <v>287.7450324</v>
      </c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hidden="1">
      <c r="A483" s="24" t="s">
        <v>25</v>
      </c>
      <c r="B483" s="16" t="s">
        <v>149</v>
      </c>
      <c r="C483" s="23">
        <v>2030.0</v>
      </c>
      <c r="D483" s="17">
        <f>26255+28057</f>
        <v>54312</v>
      </c>
      <c r="E483" s="10">
        <v>6314609.0</v>
      </c>
      <c r="F483" s="19">
        <v>0.74</v>
      </c>
      <c r="G483" s="10">
        <f t="shared" si="1"/>
        <v>46.7281066</v>
      </c>
      <c r="H483" s="19">
        <v>0.47</v>
      </c>
      <c r="I483" s="8">
        <f t="shared" si="2"/>
        <v>29.6786623</v>
      </c>
      <c r="J483" s="19">
        <v>1.01</v>
      </c>
      <c r="K483" s="11">
        <f t="shared" si="3"/>
        <v>63.7775509</v>
      </c>
      <c r="L483" s="11">
        <f t="shared" si="13"/>
        <v>86.03643136</v>
      </c>
      <c r="M483" s="11">
        <f t="shared" ref="M483:M485" si="1445">(I483*D483)/100000</f>
        <v>16.11907507</v>
      </c>
      <c r="N483" s="11">
        <f t="shared" ref="N483:N485" si="1446">(K483*D483)/100000</f>
        <v>34.63886344</v>
      </c>
      <c r="O483" s="19">
        <v>1.67</v>
      </c>
      <c r="P483" s="19"/>
      <c r="Q483" s="19">
        <v>1.02</v>
      </c>
      <c r="R483" s="19"/>
      <c r="S483" s="19">
        <v>2.64</v>
      </c>
      <c r="T483" s="14"/>
      <c r="U483" s="14">
        <f t="shared" ref="U483:U485" si="1447">(O483*D483)/100000</f>
        <v>0.9070104</v>
      </c>
      <c r="V483" s="14">
        <f t="shared" ref="V483:V485" si="1448">(Q483*D483)/100000</f>
        <v>0.5539824</v>
      </c>
      <c r="W483" s="14">
        <f t="shared" ref="W483:W485" si="1449">(S483*D483)/100000</f>
        <v>1.4338368</v>
      </c>
      <c r="X483" s="13"/>
      <c r="Y483" s="13"/>
      <c r="Z483" s="13" t="str">
        <f t="shared" ref="Z483:Z484" si="1450">ROUND(F483, 0) &amp; " (" &amp; ROUND(H483, 0) &amp; "-" &amp; ROUND(J483, 0) &amp; ")"</f>
        <v>1 (0-1)</v>
      </c>
      <c r="AA483" s="13" t="str">
        <f t="shared" ref="AA483:AA484" si="1451">ROUND(L483, 0) &amp; " (" &amp; ROUND(M483, 0) &amp; "-" &amp; ROUND(N483, 0) &amp; ")"</f>
        <v>86 (16-35)</v>
      </c>
      <c r="AB483" s="13" t="str">
        <f t="shared" ref="AB483:AB484" si="1452">ROUND(O483, 0) &amp; " (" &amp; ROUND(Q483, 0) &amp; "-" &amp; ROUND(S483, 0) &amp; ")"</f>
        <v>2 (1-3)</v>
      </c>
      <c r="AC483" s="13" t="str">
        <f t="shared" ref="AC483:AC484" si="1453">ROUND(U483, 0) &amp; " (" &amp; ROUND(V483, 0) &amp; "-" &amp; ROUND(W483, 0) &amp; ")"</f>
        <v>1 (1-1)</v>
      </c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hidden="1">
      <c r="A484" s="24" t="s">
        <v>27</v>
      </c>
      <c r="B484" s="16" t="s">
        <v>149</v>
      </c>
      <c r="C484" s="23">
        <v>2040.0</v>
      </c>
      <c r="D484" s="17">
        <f>23983+25647</f>
        <v>49630</v>
      </c>
      <c r="E484" s="10">
        <v>5835505.0</v>
      </c>
      <c r="F484" s="19">
        <v>0.74</v>
      </c>
      <c r="G484" s="10">
        <f t="shared" si="1"/>
        <v>43.182737</v>
      </c>
      <c r="H484" s="19">
        <v>0.47</v>
      </c>
      <c r="I484" s="8">
        <f t="shared" si="2"/>
        <v>27.4268735</v>
      </c>
      <c r="J484" s="19">
        <v>1.01</v>
      </c>
      <c r="K484" s="11">
        <f t="shared" si="3"/>
        <v>58.9386005</v>
      </c>
      <c r="L484" s="11">
        <f t="shared" si="13"/>
        <v>87.00934314</v>
      </c>
      <c r="M484" s="11">
        <f t="shared" si="1445"/>
        <v>13.61195732</v>
      </c>
      <c r="N484" s="11">
        <f t="shared" si="1446"/>
        <v>29.25122743</v>
      </c>
      <c r="O484" s="19">
        <v>1.67</v>
      </c>
      <c r="P484" s="19"/>
      <c r="Q484" s="19">
        <v>1.02</v>
      </c>
      <c r="R484" s="19"/>
      <c r="S484" s="19">
        <v>2.64</v>
      </c>
      <c r="T484" s="14"/>
      <c r="U484" s="14">
        <f t="shared" si="1447"/>
        <v>0.828821</v>
      </c>
      <c r="V484" s="14">
        <f t="shared" si="1448"/>
        <v>0.506226</v>
      </c>
      <c r="W484" s="14">
        <f t="shared" si="1449"/>
        <v>1.310232</v>
      </c>
      <c r="X484" s="13"/>
      <c r="Y484" s="13"/>
      <c r="Z484" s="13" t="str">
        <f t="shared" si="1450"/>
        <v>1 (0-1)</v>
      </c>
      <c r="AA484" s="13" t="str">
        <f t="shared" si="1451"/>
        <v>87 (14-29)</v>
      </c>
      <c r="AB484" s="13" t="str">
        <f t="shared" si="1452"/>
        <v>2 (1-3)</v>
      </c>
      <c r="AC484" s="13" t="str">
        <f t="shared" si="1453"/>
        <v>1 (1-1)</v>
      </c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hidden="1">
      <c r="A485" s="24" t="s">
        <v>29</v>
      </c>
      <c r="B485" s="16" t="s">
        <v>149</v>
      </c>
      <c r="C485" s="23">
        <v>2050.0</v>
      </c>
      <c r="D485" s="17">
        <f>22326+23871</f>
        <v>46197</v>
      </c>
      <c r="E485" s="10">
        <v>5404517.0</v>
      </c>
      <c r="F485" s="19">
        <v>0.74</v>
      </c>
      <c r="G485" s="10">
        <f t="shared" si="1"/>
        <v>39.9934258</v>
      </c>
      <c r="H485" s="19">
        <v>0.47</v>
      </c>
      <c r="I485" s="8">
        <f t="shared" si="2"/>
        <v>25.4012299</v>
      </c>
      <c r="J485" s="19">
        <v>1.01</v>
      </c>
      <c r="K485" s="11">
        <f t="shared" si="3"/>
        <v>54.5856217</v>
      </c>
      <c r="L485" s="11">
        <f t="shared" si="13"/>
        <v>86.57147823</v>
      </c>
      <c r="M485" s="11">
        <f t="shared" si="1445"/>
        <v>11.73460618</v>
      </c>
      <c r="N485" s="11">
        <f t="shared" si="1446"/>
        <v>25.21691966</v>
      </c>
      <c r="O485" s="19">
        <v>1.67</v>
      </c>
      <c r="P485" s="8">
        <f t="shared" ref="P485:P486" si="1454">(O485/100000)*E485</f>
        <v>90.2554339</v>
      </c>
      <c r="Q485" s="19">
        <v>1.02</v>
      </c>
      <c r="R485" s="8">
        <f t="shared" ref="R485:R486" si="1455">(Q485/100000)*E485</f>
        <v>55.1260734</v>
      </c>
      <c r="S485" s="19">
        <v>2.64</v>
      </c>
      <c r="T485" s="11">
        <f t="shared" ref="T485:T486" si="1456">(S485/100000)*E485</f>
        <v>142.6792488</v>
      </c>
      <c r="U485" s="14">
        <f t="shared" si="1447"/>
        <v>0.7714899</v>
      </c>
      <c r="V485" s="14">
        <f t="shared" si="1448"/>
        <v>0.4712094</v>
      </c>
      <c r="W485" s="14">
        <f t="shared" si="1449"/>
        <v>1.2196008</v>
      </c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>
      <c r="A486" s="24" t="s">
        <v>23</v>
      </c>
      <c r="B486" s="16" t="s">
        <v>150</v>
      </c>
      <c r="C486" s="20">
        <v>2021.0</v>
      </c>
      <c r="D486" s="17">
        <f>28953+27499</f>
        <v>56452</v>
      </c>
      <c r="E486" s="18">
        <v>5447247.0</v>
      </c>
      <c r="F486" s="19">
        <v>0.97</v>
      </c>
      <c r="G486" s="10">
        <f t="shared" si="1"/>
        <v>52.8382959</v>
      </c>
      <c r="H486" s="19">
        <v>0.65</v>
      </c>
      <c r="I486" s="8">
        <f t="shared" si="2"/>
        <v>35.4071055</v>
      </c>
      <c r="J486" s="19">
        <v>1.34</v>
      </c>
      <c r="K486" s="11">
        <f t="shared" si="3"/>
        <v>72.9931098</v>
      </c>
      <c r="L486" s="11">
        <f t="shared" si="13"/>
        <v>93.5986252</v>
      </c>
      <c r="M486" s="12">
        <f>(I486/D486)*100000</f>
        <v>62.72072823</v>
      </c>
      <c r="N486" s="11">
        <f>(K486/D486)*100000</f>
        <v>129.3011936</v>
      </c>
      <c r="O486" s="19">
        <v>1.43</v>
      </c>
      <c r="P486" s="8">
        <f t="shared" si="1454"/>
        <v>77.8956321</v>
      </c>
      <c r="Q486" s="19">
        <v>0.88</v>
      </c>
      <c r="R486" s="8">
        <f t="shared" si="1455"/>
        <v>47.9357736</v>
      </c>
      <c r="S486" s="19">
        <v>2.22</v>
      </c>
      <c r="T486" s="11">
        <f t="shared" si="1456"/>
        <v>120.9288834</v>
      </c>
      <c r="U486" s="11">
        <f>(P486/D486)*100000</f>
        <v>137.9856021</v>
      </c>
      <c r="V486" s="11">
        <f>(R486/D486)*100000</f>
        <v>84.91421668</v>
      </c>
      <c r="W486" s="11">
        <f>(T486/D486)*100000</f>
        <v>214.2154103</v>
      </c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hidden="1">
      <c r="A487" s="24" t="s">
        <v>25</v>
      </c>
      <c r="B487" s="16" t="s">
        <v>150</v>
      </c>
      <c r="C487" s="23">
        <v>2030.0</v>
      </c>
      <c r="D487" s="17">
        <f>21757+22960</f>
        <v>44717</v>
      </c>
      <c r="E487" s="10">
        <v>5323378.0</v>
      </c>
      <c r="F487" s="19">
        <v>0.97</v>
      </c>
      <c r="G487" s="10">
        <f t="shared" si="1"/>
        <v>51.6367666</v>
      </c>
      <c r="H487" s="19">
        <v>0.65</v>
      </c>
      <c r="I487" s="8">
        <f t="shared" si="2"/>
        <v>34.601957</v>
      </c>
      <c r="J487" s="19">
        <v>1.34</v>
      </c>
      <c r="K487" s="11">
        <f t="shared" si="3"/>
        <v>71.3332652</v>
      </c>
      <c r="L487" s="11">
        <f t="shared" si="13"/>
        <v>115.474577</v>
      </c>
      <c r="M487" s="11">
        <f t="shared" ref="M487:M489" si="1457">(I487*D487)/100000</f>
        <v>15.47295711</v>
      </c>
      <c r="N487" s="11">
        <f t="shared" ref="N487:N489" si="1458">(K487*D487)/100000</f>
        <v>31.8980962</v>
      </c>
      <c r="O487" s="19">
        <v>1.43</v>
      </c>
      <c r="P487" s="19"/>
      <c r="Q487" s="19">
        <v>0.88</v>
      </c>
      <c r="R487" s="19"/>
      <c r="S487" s="19">
        <v>2.22</v>
      </c>
      <c r="T487" s="14"/>
      <c r="U487" s="14">
        <f t="shared" ref="U487:U489" si="1459">(O487*D487)/100000</f>
        <v>0.6394531</v>
      </c>
      <c r="V487" s="14">
        <f t="shared" ref="V487:V489" si="1460">(Q487*D487)/100000</f>
        <v>0.3935096</v>
      </c>
      <c r="W487" s="14">
        <f t="shared" ref="W487:W489" si="1461">(S487*D487)/100000</f>
        <v>0.9927174</v>
      </c>
      <c r="X487" s="13"/>
      <c r="Y487" s="13"/>
      <c r="Z487" s="13" t="str">
        <f t="shared" ref="Z487:Z488" si="1462">ROUND(F487, 0) &amp; " (" &amp; ROUND(H487, 0) &amp; "-" &amp; ROUND(J487, 0) &amp; ")"</f>
        <v>1 (1-1)</v>
      </c>
      <c r="AA487" s="13" t="str">
        <f t="shared" ref="AA487:AA488" si="1463">ROUND(L487, 0) &amp; " (" &amp; ROUND(M487, 0) &amp; "-" &amp; ROUND(N487, 0) &amp; ")"</f>
        <v>115 (15-32)</v>
      </c>
      <c r="AB487" s="13" t="str">
        <f t="shared" ref="AB487:AB488" si="1464">ROUND(O487, 0) &amp; " (" &amp; ROUND(Q487, 0) &amp; "-" &amp; ROUND(S487, 0) &amp; ")"</f>
        <v>1 (1-2)</v>
      </c>
      <c r="AC487" s="13" t="str">
        <f t="shared" ref="AC487:AC488" si="1465">ROUND(U487, 0) &amp; " (" &amp; ROUND(V487, 0) &amp; "-" &amp; ROUND(W487, 0) &amp; ")"</f>
        <v>1 (0-1)</v>
      </c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hidden="1">
      <c r="A488" s="24" t="s">
        <v>27</v>
      </c>
      <c r="B488" s="16" t="s">
        <v>150</v>
      </c>
      <c r="C488" s="23">
        <v>2040.0</v>
      </c>
      <c r="D488" s="17">
        <f>20984+22162</f>
        <v>43146</v>
      </c>
      <c r="E488" s="10">
        <v>5102848.0</v>
      </c>
      <c r="F488" s="19">
        <v>0.97</v>
      </c>
      <c r="G488" s="10">
        <f t="shared" si="1"/>
        <v>49.4976256</v>
      </c>
      <c r="H488" s="19">
        <v>0.65</v>
      </c>
      <c r="I488" s="8">
        <f t="shared" si="2"/>
        <v>33.168512</v>
      </c>
      <c r="J488" s="19">
        <v>1.34</v>
      </c>
      <c r="K488" s="11">
        <f t="shared" si="3"/>
        <v>68.3781632</v>
      </c>
      <c r="L488" s="11">
        <f t="shared" si="13"/>
        <v>114.7212386</v>
      </c>
      <c r="M488" s="11">
        <f t="shared" si="1457"/>
        <v>14.31088619</v>
      </c>
      <c r="N488" s="11">
        <f t="shared" si="1458"/>
        <v>29.50244229</v>
      </c>
      <c r="O488" s="19">
        <v>1.43</v>
      </c>
      <c r="P488" s="19"/>
      <c r="Q488" s="19">
        <v>0.88</v>
      </c>
      <c r="R488" s="19"/>
      <c r="S488" s="19">
        <v>2.22</v>
      </c>
      <c r="T488" s="14"/>
      <c r="U488" s="14">
        <f t="shared" si="1459"/>
        <v>0.6169878</v>
      </c>
      <c r="V488" s="14">
        <f t="shared" si="1460"/>
        <v>0.3796848</v>
      </c>
      <c r="W488" s="14">
        <f t="shared" si="1461"/>
        <v>0.9578412</v>
      </c>
      <c r="X488" s="13"/>
      <c r="Y488" s="13"/>
      <c r="Z488" s="13" t="str">
        <f t="shared" si="1462"/>
        <v>1 (1-1)</v>
      </c>
      <c r="AA488" s="13" t="str">
        <f t="shared" si="1463"/>
        <v>115 (14-30)</v>
      </c>
      <c r="AB488" s="13" t="str">
        <f t="shared" si="1464"/>
        <v>1 (1-2)</v>
      </c>
      <c r="AC488" s="13" t="str">
        <f t="shared" si="1465"/>
        <v>1 (0-1)</v>
      </c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hidden="1">
      <c r="A489" s="24" t="s">
        <v>29</v>
      </c>
      <c r="B489" s="16" t="s">
        <v>150</v>
      </c>
      <c r="C489" s="23">
        <v>2050.0</v>
      </c>
      <c r="D489" s="17">
        <f>20700+21868</f>
        <v>42568</v>
      </c>
      <c r="E489" s="10">
        <v>4858202.0</v>
      </c>
      <c r="F489" s="19">
        <v>0.97</v>
      </c>
      <c r="G489" s="10">
        <f t="shared" si="1"/>
        <v>47.1245594</v>
      </c>
      <c r="H489" s="19">
        <v>0.65</v>
      </c>
      <c r="I489" s="8">
        <f t="shared" si="2"/>
        <v>31.578313</v>
      </c>
      <c r="J489" s="19">
        <v>1.34</v>
      </c>
      <c r="K489" s="11">
        <f t="shared" si="3"/>
        <v>65.0999068</v>
      </c>
      <c r="L489" s="11">
        <f t="shared" si="13"/>
        <v>110.7041895</v>
      </c>
      <c r="M489" s="11">
        <f t="shared" si="1457"/>
        <v>13.44225628</v>
      </c>
      <c r="N489" s="11">
        <f t="shared" si="1458"/>
        <v>27.71172833</v>
      </c>
      <c r="O489" s="19">
        <v>1.43</v>
      </c>
      <c r="P489" s="8">
        <f t="shared" ref="P489:P490" si="1466">(O489/100000)*E489</f>
        <v>69.4722886</v>
      </c>
      <c r="Q489" s="19">
        <v>0.88</v>
      </c>
      <c r="R489" s="8">
        <f t="shared" ref="R489:R490" si="1467">(Q489/100000)*E489</f>
        <v>42.7521776</v>
      </c>
      <c r="S489" s="19">
        <v>2.22</v>
      </c>
      <c r="T489" s="11">
        <f t="shared" ref="T489:T490" si="1468">(S489/100000)*E489</f>
        <v>107.8520844</v>
      </c>
      <c r="U489" s="14">
        <f t="shared" si="1459"/>
        <v>0.6087224</v>
      </c>
      <c r="V489" s="14">
        <f t="shared" si="1460"/>
        <v>0.3745984</v>
      </c>
      <c r="W489" s="14">
        <f t="shared" si="1461"/>
        <v>0.9450096</v>
      </c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>
      <c r="A490" s="24" t="s">
        <v>23</v>
      </c>
      <c r="B490" s="16" t="s">
        <v>151</v>
      </c>
      <c r="C490" s="20">
        <v>2021.0</v>
      </c>
      <c r="D490" s="17">
        <f>9891+9327</f>
        <v>19218</v>
      </c>
      <c r="E490" s="18">
        <v>2108079.0</v>
      </c>
      <c r="F490" s="19">
        <v>0.97</v>
      </c>
      <c r="G490" s="10">
        <f t="shared" si="1"/>
        <v>20.4483663</v>
      </c>
      <c r="H490" s="19">
        <v>0.65</v>
      </c>
      <c r="I490" s="8">
        <f t="shared" si="2"/>
        <v>13.7025135</v>
      </c>
      <c r="J490" s="19">
        <v>1.34</v>
      </c>
      <c r="K490" s="11">
        <f t="shared" si="3"/>
        <v>28.2482586</v>
      </c>
      <c r="L490" s="11">
        <f t="shared" si="13"/>
        <v>106.4021558</v>
      </c>
      <c r="M490" s="12">
        <f>(I490/D490)*100000</f>
        <v>71.30041367</v>
      </c>
      <c r="N490" s="11">
        <f>(K490/D490)*100000</f>
        <v>146.9885451</v>
      </c>
      <c r="O490" s="19">
        <v>1.43</v>
      </c>
      <c r="P490" s="8">
        <f t="shared" si="1466"/>
        <v>30.1455297</v>
      </c>
      <c r="Q490" s="19">
        <v>0.88</v>
      </c>
      <c r="R490" s="8">
        <f t="shared" si="1467"/>
        <v>18.5510952</v>
      </c>
      <c r="S490" s="19">
        <v>2.22</v>
      </c>
      <c r="T490" s="11">
        <f t="shared" si="1468"/>
        <v>46.7993538</v>
      </c>
      <c r="U490" s="11">
        <f>(P490/D490)*100000</f>
        <v>156.8609101</v>
      </c>
      <c r="V490" s="11">
        <f>(R490/D490)*100000</f>
        <v>96.52979082</v>
      </c>
      <c r="W490" s="11">
        <f>(T490/D490)*100000</f>
        <v>243.5183359</v>
      </c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hidden="1">
      <c r="A491" s="24" t="s">
        <v>25</v>
      </c>
      <c r="B491" s="16" t="s">
        <v>151</v>
      </c>
      <c r="C491" s="23">
        <v>2030.0</v>
      </c>
      <c r="D491" s="17">
        <f>7895+8414</f>
        <v>16309</v>
      </c>
      <c r="E491" s="10">
        <v>2103982.0</v>
      </c>
      <c r="F491" s="19">
        <v>0.97</v>
      </c>
      <c r="G491" s="10">
        <f t="shared" si="1"/>
        <v>20.4086254</v>
      </c>
      <c r="H491" s="19">
        <v>0.65</v>
      </c>
      <c r="I491" s="8">
        <f t="shared" si="2"/>
        <v>13.675883</v>
      </c>
      <c r="J491" s="19">
        <v>1.34</v>
      </c>
      <c r="K491" s="11">
        <f t="shared" si="3"/>
        <v>28.1933588</v>
      </c>
      <c r="L491" s="11">
        <f t="shared" si="13"/>
        <v>125.1371966</v>
      </c>
      <c r="M491" s="11">
        <f t="shared" ref="M491:M493" si="1469">(I491*D491)/100000</f>
        <v>2.230399758</v>
      </c>
      <c r="N491" s="11">
        <f t="shared" ref="N491:N493" si="1470">(K491*D491)/100000</f>
        <v>4.598054887</v>
      </c>
      <c r="O491" s="19">
        <v>1.43</v>
      </c>
      <c r="P491" s="19"/>
      <c r="Q491" s="19">
        <v>0.88</v>
      </c>
      <c r="R491" s="19"/>
      <c r="S491" s="19">
        <v>2.22</v>
      </c>
      <c r="T491" s="14"/>
      <c r="U491" s="14">
        <f t="shared" ref="U491:U493" si="1471">(O491*D491)/100000</f>
        <v>0.2332187</v>
      </c>
      <c r="V491" s="14">
        <f t="shared" ref="V491:V493" si="1472">(Q491*D491)/100000</f>
        <v>0.1435192</v>
      </c>
      <c r="W491" s="14">
        <f t="shared" ref="W491:W493" si="1473">(S491*D491)/100000</f>
        <v>0.3620598</v>
      </c>
      <c r="X491" s="13"/>
      <c r="Y491" s="13"/>
      <c r="Z491" s="13" t="str">
        <f t="shared" ref="Z491:Z492" si="1474">ROUND(F491, 0) &amp; " (" &amp; ROUND(H491, 0) &amp; "-" &amp; ROUND(J491, 0) &amp; ")"</f>
        <v>1 (1-1)</v>
      </c>
      <c r="AA491" s="13" t="str">
        <f t="shared" ref="AA491:AA492" si="1475">ROUND(L491, 0) &amp; " (" &amp; ROUND(M491, 0) &amp; "-" &amp; ROUND(N491, 0) &amp; ")"</f>
        <v>125 (2-5)</v>
      </c>
      <c r="AB491" s="13" t="str">
        <f t="shared" ref="AB491:AB492" si="1476">ROUND(O491, 0) &amp; " (" &amp; ROUND(Q491, 0) &amp; "-" &amp; ROUND(S491, 0) &amp; ")"</f>
        <v>1 (1-2)</v>
      </c>
      <c r="AC491" s="13" t="str">
        <f t="shared" ref="AC491:AC492" si="1477">ROUND(U491, 0) &amp; " (" &amp; ROUND(V491, 0) &amp; "-" &amp; ROUND(W491, 0) &amp; ")"</f>
        <v>0 (0-0)</v>
      </c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hidden="1">
      <c r="A492" s="24" t="s">
        <v>27</v>
      </c>
      <c r="B492" s="16" t="s">
        <v>151</v>
      </c>
      <c r="C492" s="23">
        <v>2040.0</v>
      </c>
      <c r="D492" s="17">
        <f>8615+9167</f>
        <v>17782</v>
      </c>
      <c r="E492" s="10">
        <v>2043473.0</v>
      </c>
      <c r="F492" s="19">
        <v>0.97</v>
      </c>
      <c r="G492" s="10">
        <f t="shared" si="1"/>
        <v>19.8216881</v>
      </c>
      <c r="H492" s="19">
        <v>0.65</v>
      </c>
      <c r="I492" s="8">
        <f t="shared" si="2"/>
        <v>13.2825745</v>
      </c>
      <c r="J492" s="19">
        <v>1.34</v>
      </c>
      <c r="K492" s="11">
        <f t="shared" si="3"/>
        <v>27.3825382</v>
      </c>
      <c r="L492" s="11">
        <f t="shared" si="13"/>
        <v>111.4705213</v>
      </c>
      <c r="M492" s="11">
        <f t="shared" si="1469"/>
        <v>2.361907398</v>
      </c>
      <c r="N492" s="11">
        <f t="shared" si="1470"/>
        <v>4.869162943</v>
      </c>
      <c r="O492" s="19">
        <v>1.43</v>
      </c>
      <c r="P492" s="19"/>
      <c r="Q492" s="19">
        <v>0.88</v>
      </c>
      <c r="R492" s="19"/>
      <c r="S492" s="19">
        <v>2.22</v>
      </c>
      <c r="T492" s="14"/>
      <c r="U492" s="14">
        <f t="shared" si="1471"/>
        <v>0.2542826</v>
      </c>
      <c r="V492" s="14">
        <f t="shared" si="1472"/>
        <v>0.1564816</v>
      </c>
      <c r="W492" s="14">
        <f t="shared" si="1473"/>
        <v>0.3947604</v>
      </c>
      <c r="X492" s="13"/>
      <c r="Y492" s="13"/>
      <c r="Z492" s="13" t="str">
        <f t="shared" si="1474"/>
        <v>1 (1-1)</v>
      </c>
      <c r="AA492" s="13" t="str">
        <f t="shared" si="1475"/>
        <v>111 (2-5)</v>
      </c>
      <c r="AB492" s="13" t="str">
        <f t="shared" si="1476"/>
        <v>1 (1-2)</v>
      </c>
      <c r="AC492" s="13" t="str">
        <f t="shared" si="1477"/>
        <v>0 (0-0)</v>
      </c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hidden="1">
      <c r="A493" s="24" t="s">
        <v>29</v>
      </c>
      <c r="B493" s="16" t="s">
        <v>151</v>
      </c>
      <c r="C493" s="23">
        <v>2050.0</v>
      </c>
      <c r="D493" s="17">
        <f>8303+8833</f>
        <v>17136</v>
      </c>
      <c r="E493" s="10">
        <v>1974934.0</v>
      </c>
      <c r="F493" s="19">
        <v>0.97</v>
      </c>
      <c r="G493" s="10">
        <f t="shared" si="1"/>
        <v>19.1568598</v>
      </c>
      <c r="H493" s="19">
        <v>0.65</v>
      </c>
      <c r="I493" s="8">
        <f t="shared" si="2"/>
        <v>12.837071</v>
      </c>
      <c r="J493" s="19">
        <v>1.34</v>
      </c>
      <c r="K493" s="11">
        <f t="shared" si="3"/>
        <v>26.4641156</v>
      </c>
      <c r="L493" s="11">
        <f t="shared" si="13"/>
        <v>111.7930661</v>
      </c>
      <c r="M493" s="11">
        <f t="shared" si="1469"/>
        <v>2.199760487</v>
      </c>
      <c r="N493" s="11">
        <f t="shared" si="1470"/>
        <v>4.534890849</v>
      </c>
      <c r="O493" s="19">
        <v>1.43</v>
      </c>
      <c r="P493" s="8">
        <f t="shared" ref="P493:P494" si="1478">(O493/100000)*E493</f>
        <v>28.2415562</v>
      </c>
      <c r="Q493" s="19">
        <v>0.88</v>
      </c>
      <c r="R493" s="8">
        <f t="shared" ref="R493:R494" si="1479">(Q493/100000)*E493</f>
        <v>17.3794192</v>
      </c>
      <c r="S493" s="19">
        <v>2.22</v>
      </c>
      <c r="T493" s="11">
        <f t="shared" ref="T493:T494" si="1480">(S493/100000)*E493</f>
        <v>43.8435348</v>
      </c>
      <c r="U493" s="14">
        <f t="shared" si="1471"/>
        <v>0.2450448</v>
      </c>
      <c r="V493" s="14">
        <f t="shared" si="1472"/>
        <v>0.1507968</v>
      </c>
      <c r="W493" s="14">
        <f t="shared" si="1473"/>
        <v>0.3804192</v>
      </c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>
      <c r="A494" s="24" t="s">
        <v>23</v>
      </c>
      <c r="B494" s="16" t="s">
        <v>152</v>
      </c>
      <c r="C494" s="20">
        <v>2021.0</v>
      </c>
      <c r="D494" s="17">
        <f>41506+39231</f>
        <v>80737</v>
      </c>
      <c r="E494" s="18">
        <v>9302585.0</v>
      </c>
      <c r="F494" s="19">
        <v>0.8</v>
      </c>
      <c r="G494" s="10">
        <f t="shared" si="1"/>
        <v>74.42068</v>
      </c>
      <c r="H494" s="19">
        <v>0.54</v>
      </c>
      <c r="I494" s="8">
        <f t="shared" si="2"/>
        <v>50.233959</v>
      </c>
      <c r="J494" s="19">
        <v>1.13</v>
      </c>
      <c r="K494" s="11">
        <f t="shared" si="3"/>
        <v>105.1192105</v>
      </c>
      <c r="L494" s="11">
        <f t="shared" si="13"/>
        <v>92.17667241</v>
      </c>
      <c r="M494" s="12">
        <f>(I494/D494)*100000</f>
        <v>62.21925387</v>
      </c>
      <c r="N494" s="11">
        <f>(K494/D494)*100000</f>
        <v>130.1995498</v>
      </c>
      <c r="O494" s="19">
        <v>1.78</v>
      </c>
      <c r="P494" s="8">
        <f t="shared" si="1478"/>
        <v>165.586013</v>
      </c>
      <c r="Q494" s="19">
        <v>1.06</v>
      </c>
      <c r="R494" s="8">
        <f t="shared" si="1479"/>
        <v>98.607401</v>
      </c>
      <c r="S494" s="19">
        <v>2.78</v>
      </c>
      <c r="T494" s="11">
        <f t="shared" si="1480"/>
        <v>258.611863</v>
      </c>
      <c r="U494" s="11">
        <f>(P494/D494)*100000</f>
        <v>205.0930961</v>
      </c>
      <c r="V494" s="11">
        <f>(R494/D494)*100000</f>
        <v>122.1340909</v>
      </c>
      <c r="W494" s="11">
        <f>(T494/D494)*100000</f>
        <v>320.3139366</v>
      </c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hidden="1">
      <c r="A495" s="24" t="s">
        <v>25</v>
      </c>
      <c r="B495" s="16" t="s">
        <v>152</v>
      </c>
      <c r="C495" s="23">
        <v>2030.0</v>
      </c>
      <c r="D495" s="17">
        <f>28493+30173</f>
        <v>58666</v>
      </c>
      <c r="E495" s="10">
        <v>8771380.0</v>
      </c>
      <c r="F495" s="19">
        <v>0.8</v>
      </c>
      <c r="G495" s="10">
        <f t="shared" si="1"/>
        <v>70.17104</v>
      </c>
      <c r="H495" s="19">
        <v>0.54</v>
      </c>
      <c r="I495" s="8">
        <f t="shared" si="2"/>
        <v>47.365452</v>
      </c>
      <c r="J495" s="19">
        <v>1.13</v>
      </c>
      <c r="K495" s="11">
        <f t="shared" si="3"/>
        <v>99.116594</v>
      </c>
      <c r="L495" s="11">
        <f t="shared" si="13"/>
        <v>119.6110865</v>
      </c>
      <c r="M495" s="11">
        <f t="shared" ref="M495:M497" si="1481">(I495*D495)/100000</f>
        <v>27.78741607</v>
      </c>
      <c r="N495" s="11">
        <f t="shared" ref="N495:N497" si="1482">(K495*D495)/100000</f>
        <v>58.14774104</v>
      </c>
      <c r="O495" s="19">
        <v>1.78</v>
      </c>
      <c r="P495" s="19"/>
      <c r="Q495" s="19">
        <v>1.06</v>
      </c>
      <c r="R495" s="19"/>
      <c r="S495" s="19">
        <v>2.78</v>
      </c>
      <c r="T495" s="14"/>
      <c r="U495" s="14">
        <f t="shared" ref="U495:U497" si="1483">(O495*D495)/100000</f>
        <v>1.0442548</v>
      </c>
      <c r="V495" s="14">
        <f t="shared" ref="V495:V497" si="1484">(Q495*D495)/100000</f>
        <v>0.6218596</v>
      </c>
      <c r="W495" s="14">
        <f t="shared" ref="W495:W497" si="1485">(S495*D495)/100000</f>
        <v>1.6309148</v>
      </c>
      <c r="X495" s="13"/>
      <c r="Y495" s="13"/>
      <c r="Z495" s="13" t="str">
        <f t="shared" ref="Z495:Z496" si="1486">ROUND(F495, 0) &amp; " (" &amp; ROUND(H495, 0) &amp; "-" &amp; ROUND(J495, 0) &amp; ")"</f>
        <v>1 (1-1)</v>
      </c>
      <c r="AA495" s="13" t="str">
        <f t="shared" ref="AA495:AA496" si="1487">ROUND(L495, 0) &amp; " (" &amp; ROUND(M495, 0) &amp; "-" &amp; ROUND(N495, 0) &amp; ")"</f>
        <v>120 (28-58)</v>
      </c>
      <c r="AB495" s="13" t="str">
        <f t="shared" ref="AB495:AB496" si="1488">ROUND(O495, 0) &amp; " (" &amp; ROUND(Q495, 0) &amp; "-" &amp; ROUND(S495, 0) &amp; ")"</f>
        <v>2 (1-3)</v>
      </c>
      <c r="AC495" s="13" t="str">
        <f t="shared" ref="AC495:AC496" si="1489">ROUND(U495, 0) &amp; " (" &amp; ROUND(V495, 0) &amp; "-" &amp; ROUND(W495, 0) &amp; ")"</f>
        <v>1 (1-2)</v>
      </c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hidden="1">
      <c r="A496" s="24" t="s">
        <v>27</v>
      </c>
      <c r="B496" s="16" t="s">
        <v>152</v>
      </c>
      <c r="C496" s="23">
        <v>2040.0</v>
      </c>
      <c r="D496" s="17">
        <f>31086+32939</f>
        <v>64025</v>
      </c>
      <c r="E496" s="10">
        <v>8121698.0</v>
      </c>
      <c r="F496" s="19">
        <v>0.8</v>
      </c>
      <c r="G496" s="10">
        <f t="shared" si="1"/>
        <v>64.973584</v>
      </c>
      <c r="H496" s="19">
        <v>0.54</v>
      </c>
      <c r="I496" s="8">
        <f t="shared" si="2"/>
        <v>43.8571692</v>
      </c>
      <c r="J496" s="19">
        <v>1.13</v>
      </c>
      <c r="K496" s="11">
        <f t="shared" si="3"/>
        <v>91.7751874</v>
      </c>
      <c r="L496" s="11">
        <f t="shared" si="13"/>
        <v>101.4815838</v>
      </c>
      <c r="M496" s="11">
        <f t="shared" si="1481"/>
        <v>28.07955258</v>
      </c>
      <c r="N496" s="11">
        <f t="shared" si="1482"/>
        <v>58.75906373</v>
      </c>
      <c r="O496" s="19">
        <v>1.78</v>
      </c>
      <c r="P496" s="19"/>
      <c r="Q496" s="19">
        <v>1.06</v>
      </c>
      <c r="R496" s="19"/>
      <c r="S496" s="19">
        <v>2.78</v>
      </c>
      <c r="T496" s="14"/>
      <c r="U496" s="14">
        <f t="shared" si="1483"/>
        <v>1.139645</v>
      </c>
      <c r="V496" s="14">
        <f t="shared" si="1484"/>
        <v>0.678665</v>
      </c>
      <c r="W496" s="14">
        <f t="shared" si="1485"/>
        <v>1.779895</v>
      </c>
      <c r="X496" s="13"/>
      <c r="Y496" s="13"/>
      <c r="Z496" s="13" t="str">
        <f t="shared" si="1486"/>
        <v>1 (1-1)</v>
      </c>
      <c r="AA496" s="13" t="str">
        <f t="shared" si="1487"/>
        <v>101 (28-59)</v>
      </c>
      <c r="AB496" s="13" t="str">
        <f t="shared" si="1488"/>
        <v>2 (1-3)</v>
      </c>
      <c r="AC496" s="13" t="str">
        <f t="shared" si="1489"/>
        <v>1 (1-2)</v>
      </c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hidden="1">
      <c r="A497" s="24" t="s">
        <v>29</v>
      </c>
      <c r="B497" s="16" t="s">
        <v>152</v>
      </c>
      <c r="C497" s="23">
        <v>2050.0</v>
      </c>
      <c r="D497" s="17">
        <f>28798+30519</f>
        <v>59317</v>
      </c>
      <c r="E497" s="10">
        <v>7503336.0</v>
      </c>
      <c r="F497" s="19">
        <v>0.8</v>
      </c>
      <c r="G497" s="10">
        <f t="shared" si="1"/>
        <v>60.026688</v>
      </c>
      <c r="H497" s="19">
        <v>0.54</v>
      </c>
      <c r="I497" s="8">
        <f t="shared" si="2"/>
        <v>40.5180144</v>
      </c>
      <c r="J497" s="19">
        <v>1.13</v>
      </c>
      <c r="K497" s="11">
        <f t="shared" si="3"/>
        <v>84.7876968</v>
      </c>
      <c r="L497" s="11">
        <f t="shared" si="13"/>
        <v>101.1964327</v>
      </c>
      <c r="M497" s="11">
        <f t="shared" si="1481"/>
        <v>24.0340706</v>
      </c>
      <c r="N497" s="11">
        <f t="shared" si="1482"/>
        <v>50.29351811</v>
      </c>
      <c r="O497" s="19">
        <v>1.78</v>
      </c>
      <c r="P497" s="8">
        <f t="shared" ref="P497:P498" si="1490">(O497/100000)*E497</f>
        <v>133.5593808</v>
      </c>
      <c r="Q497" s="19">
        <v>1.06</v>
      </c>
      <c r="R497" s="8">
        <f t="shared" ref="R497:R498" si="1491">(Q497/100000)*E497</f>
        <v>79.5353616</v>
      </c>
      <c r="S497" s="19">
        <v>2.78</v>
      </c>
      <c r="T497" s="11">
        <f t="shared" ref="T497:T498" si="1492">(S497/100000)*E497</f>
        <v>208.5927408</v>
      </c>
      <c r="U497" s="14">
        <f t="shared" si="1483"/>
        <v>1.0558426</v>
      </c>
      <c r="V497" s="14">
        <f t="shared" si="1484"/>
        <v>0.6287602</v>
      </c>
      <c r="W497" s="14">
        <f t="shared" si="1485"/>
        <v>1.6490126</v>
      </c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>
      <c r="A498" s="24" t="s">
        <v>23</v>
      </c>
      <c r="B498" s="16" t="s">
        <v>153</v>
      </c>
      <c r="C498" s="20">
        <v>2021.0</v>
      </c>
      <c r="D498" s="17">
        <f>6814+6428</f>
        <v>13242</v>
      </c>
      <c r="E498" s="18">
        <v>1330932.0</v>
      </c>
      <c r="F498" s="19">
        <v>1.43</v>
      </c>
      <c r="G498" s="10">
        <f t="shared" si="1"/>
        <v>19.0323276</v>
      </c>
      <c r="H498" s="19">
        <v>1.06</v>
      </c>
      <c r="I498" s="8">
        <f t="shared" si="2"/>
        <v>14.1078792</v>
      </c>
      <c r="J498" s="19">
        <v>1.84</v>
      </c>
      <c r="K498" s="11">
        <f t="shared" si="3"/>
        <v>24.4891488</v>
      </c>
      <c r="L498" s="11">
        <f t="shared" si="13"/>
        <v>143.7269869</v>
      </c>
      <c r="M498" s="12">
        <f>(I498/D498)*100000</f>
        <v>106.5388854</v>
      </c>
      <c r="N498" s="11">
        <f>(K498/D498)*100000</f>
        <v>184.9354237</v>
      </c>
      <c r="O498" s="19">
        <v>1.91</v>
      </c>
      <c r="P498" s="8">
        <f t="shared" si="1490"/>
        <v>25.4208012</v>
      </c>
      <c r="Q498" s="19">
        <v>1.19</v>
      </c>
      <c r="R498" s="8">
        <f t="shared" si="1491"/>
        <v>15.8380908</v>
      </c>
      <c r="S498" s="19">
        <v>2.88</v>
      </c>
      <c r="T498" s="11">
        <f t="shared" si="1492"/>
        <v>38.3308416</v>
      </c>
      <c r="U498" s="11">
        <f>(P498/D498)*100000</f>
        <v>191.9710104</v>
      </c>
      <c r="V498" s="11">
        <f>(R498/D498)*100000</f>
        <v>119.6049751</v>
      </c>
      <c r="W498" s="11">
        <f>(T498/D498)*100000</f>
        <v>289.4641414</v>
      </c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hidden="1">
      <c r="A499" s="24" t="s">
        <v>25</v>
      </c>
      <c r="B499" s="16" t="s">
        <v>153</v>
      </c>
      <c r="C499" s="23">
        <v>2030.0</v>
      </c>
      <c r="D499" s="17">
        <f>4660+4943</f>
        <v>9603</v>
      </c>
      <c r="E499" s="10">
        <v>1317983.0</v>
      </c>
      <c r="F499" s="19">
        <v>1.43</v>
      </c>
      <c r="G499" s="10">
        <f t="shared" si="1"/>
        <v>18.8471569</v>
      </c>
      <c r="H499" s="19">
        <v>1.06</v>
      </c>
      <c r="I499" s="8">
        <f t="shared" si="2"/>
        <v>13.9706198</v>
      </c>
      <c r="J499" s="19">
        <v>1.84</v>
      </c>
      <c r="K499" s="11">
        <f t="shared" si="3"/>
        <v>24.2508872</v>
      </c>
      <c r="L499" s="11">
        <f t="shared" si="13"/>
        <v>196.2632188</v>
      </c>
      <c r="M499" s="11">
        <f t="shared" ref="M499:M501" si="1493">(I499*D499)/100000</f>
        <v>1.341598619</v>
      </c>
      <c r="N499" s="11">
        <f t="shared" ref="N499:N501" si="1494">(K499*D499)/100000</f>
        <v>2.328812698</v>
      </c>
      <c r="O499" s="19">
        <v>1.91</v>
      </c>
      <c r="P499" s="19"/>
      <c r="Q499" s="19">
        <v>1.19</v>
      </c>
      <c r="R499" s="19"/>
      <c r="S499" s="19">
        <v>2.88</v>
      </c>
      <c r="T499" s="14"/>
      <c r="U499" s="14">
        <f t="shared" ref="U499:U501" si="1495">(O499*D499)/100000</f>
        <v>0.1834173</v>
      </c>
      <c r="V499" s="14">
        <f t="shared" ref="V499:V501" si="1496">(Q499*D499)/100000</f>
        <v>0.1142757</v>
      </c>
      <c r="W499" s="14">
        <f t="shared" ref="W499:W501" si="1497">(S499*D499)/100000</f>
        <v>0.2765664</v>
      </c>
      <c r="X499" s="13"/>
      <c r="Y499" s="13"/>
      <c r="Z499" s="13" t="str">
        <f t="shared" ref="Z499:Z500" si="1498">ROUND(F499, 0) &amp; " (" &amp; ROUND(H499, 0) &amp; "-" &amp; ROUND(J499, 0) &amp; ")"</f>
        <v>1 (1-2)</v>
      </c>
      <c r="AA499" s="13" t="str">
        <f t="shared" ref="AA499:AA500" si="1499">ROUND(L499, 0) &amp; " (" &amp; ROUND(M499, 0) &amp; "-" &amp; ROUND(N499, 0) &amp; ")"</f>
        <v>196 (1-2)</v>
      </c>
      <c r="AB499" s="13" t="str">
        <f t="shared" ref="AB499:AB500" si="1500">ROUND(O499, 0) &amp; " (" &amp; ROUND(Q499, 0) &amp; "-" &amp; ROUND(S499, 0) &amp; ")"</f>
        <v>2 (1-3)</v>
      </c>
      <c r="AC499" s="13" t="str">
        <f t="shared" ref="AC499:AC500" si="1501">ROUND(U499, 0) &amp; " (" &amp; ROUND(V499, 0) &amp; "-" &amp; ROUND(W499, 0) &amp; ")"</f>
        <v>0 (0-0)</v>
      </c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hidden="1">
      <c r="A500" s="24" t="s">
        <v>27</v>
      </c>
      <c r="B500" s="16" t="s">
        <v>153</v>
      </c>
      <c r="C500" s="23">
        <v>2040.0</v>
      </c>
      <c r="D500" s="17">
        <f>4996+5297</f>
        <v>10293</v>
      </c>
      <c r="E500" s="10">
        <v>1249607.0</v>
      </c>
      <c r="F500" s="19">
        <v>1.43</v>
      </c>
      <c r="G500" s="10">
        <f t="shared" si="1"/>
        <v>17.8693801</v>
      </c>
      <c r="H500" s="19">
        <v>1.06</v>
      </c>
      <c r="I500" s="8">
        <f t="shared" si="2"/>
        <v>13.2458342</v>
      </c>
      <c r="J500" s="19">
        <v>1.84</v>
      </c>
      <c r="K500" s="11">
        <f t="shared" si="3"/>
        <v>22.9927688</v>
      </c>
      <c r="L500" s="11">
        <f t="shared" si="13"/>
        <v>173.6071126</v>
      </c>
      <c r="M500" s="11">
        <f t="shared" si="1493"/>
        <v>1.363393714</v>
      </c>
      <c r="N500" s="11">
        <f t="shared" si="1494"/>
        <v>2.366645693</v>
      </c>
      <c r="O500" s="19">
        <v>1.91</v>
      </c>
      <c r="P500" s="19"/>
      <c r="Q500" s="19">
        <v>1.19</v>
      </c>
      <c r="R500" s="19"/>
      <c r="S500" s="19">
        <v>2.88</v>
      </c>
      <c r="T500" s="14"/>
      <c r="U500" s="14">
        <f t="shared" si="1495"/>
        <v>0.1965963</v>
      </c>
      <c r="V500" s="14">
        <f t="shared" si="1496"/>
        <v>0.1224867</v>
      </c>
      <c r="W500" s="14">
        <f t="shared" si="1497"/>
        <v>0.2964384</v>
      </c>
      <c r="X500" s="13"/>
      <c r="Y500" s="13"/>
      <c r="Z500" s="13" t="str">
        <f t="shared" si="1498"/>
        <v>1 (1-2)</v>
      </c>
      <c r="AA500" s="13" t="str">
        <f t="shared" si="1499"/>
        <v>174 (1-2)</v>
      </c>
      <c r="AB500" s="13" t="str">
        <f t="shared" si="1500"/>
        <v>2 (1-3)</v>
      </c>
      <c r="AC500" s="13" t="str">
        <f t="shared" si="1501"/>
        <v>0 (0-0)</v>
      </c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hidden="1">
      <c r="A501" s="24" t="s">
        <v>29</v>
      </c>
      <c r="B501" s="16" t="s">
        <v>153</v>
      </c>
      <c r="C501" s="23">
        <v>2050.0</v>
      </c>
      <c r="D501" s="17">
        <f>4790+5079</f>
        <v>9869</v>
      </c>
      <c r="E501" s="10">
        <v>1186244.0</v>
      </c>
      <c r="F501" s="19">
        <v>1.43</v>
      </c>
      <c r="G501" s="10">
        <f t="shared" si="1"/>
        <v>16.9632892</v>
      </c>
      <c r="H501" s="19">
        <v>1.06</v>
      </c>
      <c r="I501" s="8">
        <f t="shared" si="2"/>
        <v>12.5741864</v>
      </c>
      <c r="J501" s="19">
        <v>1.84</v>
      </c>
      <c r="K501" s="11">
        <f t="shared" si="3"/>
        <v>21.8268896</v>
      </c>
      <c r="L501" s="11">
        <f t="shared" si="13"/>
        <v>171.88458</v>
      </c>
      <c r="M501" s="11">
        <f t="shared" si="1493"/>
        <v>1.240946456</v>
      </c>
      <c r="N501" s="11">
        <f t="shared" si="1494"/>
        <v>2.154095735</v>
      </c>
      <c r="O501" s="19">
        <v>1.91</v>
      </c>
      <c r="P501" s="8">
        <f t="shared" ref="P501:P502" si="1502">(O501/100000)*E501</f>
        <v>22.6572604</v>
      </c>
      <c r="Q501" s="19">
        <v>1.19</v>
      </c>
      <c r="R501" s="8">
        <f t="shared" ref="R501:R502" si="1503">(Q501/100000)*E501</f>
        <v>14.1163036</v>
      </c>
      <c r="S501" s="19">
        <v>2.88</v>
      </c>
      <c r="T501" s="11">
        <f t="shared" ref="T501:T502" si="1504">(S501/100000)*E501</f>
        <v>34.1638272</v>
      </c>
      <c r="U501" s="14">
        <f t="shared" si="1495"/>
        <v>0.1884979</v>
      </c>
      <c r="V501" s="14">
        <f t="shared" si="1496"/>
        <v>0.1174411</v>
      </c>
      <c r="W501" s="14">
        <f t="shared" si="1497"/>
        <v>0.2842272</v>
      </c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>
      <c r="A502" s="24" t="s">
        <v>23</v>
      </c>
      <c r="B502" s="16" t="s">
        <v>154</v>
      </c>
      <c r="C502" s="20">
        <v>2021.0</v>
      </c>
      <c r="D502" s="17">
        <f>9016+8461.5</f>
        <v>17477.5</v>
      </c>
      <c r="E502" s="18">
        <v>1884490.0</v>
      </c>
      <c r="F502" s="19">
        <v>0.78</v>
      </c>
      <c r="G502" s="10">
        <f t="shared" si="1"/>
        <v>14.699022</v>
      </c>
      <c r="H502" s="19">
        <v>0.5</v>
      </c>
      <c r="I502" s="8">
        <f t="shared" si="2"/>
        <v>9.42245</v>
      </c>
      <c r="J502" s="19">
        <v>1.09</v>
      </c>
      <c r="K502" s="11">
        <f t="shared" si="3"/>
        <v>20.540941</v>
      </c>
      <c r="L502" s="11">
        <f t="shared" si="13"/>
        <v>84.10254327</v>
      </c>
      <c r="M502" s="12">
        <f>(I502/D502)*100000</f>
        <v>53.91188671</v>
      </c>
      <c r="N502" s="11">
        <f>(K502/D502)*100000</f>
        <v>117.527913</v>
      </c>
      <c r="O502" s="19">
        <v>1.75</v>
      </c>
      <c r="P502" s="8">
        <f t="shared" si="1502"/>
        <v>32.978575</v>
      </c>
      <c r="Q502" s="19">
        <v>1.06</v>
      </c>
      <c r="R502" s="8">
        <f t="shared" si="1503"/>
        <v>19.975594</v>
      </c>
      <c r="S502" s="19">
        <v>2.67</v>
      </c>
      <c r="T502" s="11">
        <f t="shared" si="1504"/>
        <v>50.315883</v>
      </c>
      <c r="U502" s="11">
        <f>(P502/D502)*100000</f>
        <v>188.6916035</v>
      </c>
      <c r="V502" s="11">
        <f>(R502/D502)*100000</f>
        <v>114.2931998</v>
      </c>
      <c r="W502" s="11">
        <f>(T502/D502)*100000</f>
        <v>287.889475</v>
      </c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hidden="1">
      <c r="A503" s="24" t="s">
        <v>25</v>
      </c>
      <c r="B503" s="16" t="s">
        <v>154</v>
      </c>
      <c r="C503" s="23">
        <v>2030.0</v>
      </c>
      <c r="D503" s="17">
        <f>6123+6490</f>
        <v>12613</v>
      </c>
      <c r="E503" s="10">
        <v>1769756.0</v>
      </c>
      <c r="F503" s="19">
        <v>0.78</v>
      </c>
      <c r="G503" s="10">
        <f t="shared" si="1"/>
        <v>13.8040968</v>
      </c>
      <c r="H503" s="19">
        <v>0.5</v>
      </c>
      <c r="I503" s="8">
        <f t="shared" si="2"/>
        <v>8.84878</v>
      </c>
      <c r="J503" s="19">
        <v>1.09</v>
      </c>
      <c r="K503" s="11">
        <f t="shared" si="3"/>
        <v>19.2903404</v>
      </c>
      <c r="L503" s="11">
        <f t="shared" si="13"/>
        <v>109.443406</v>
      </c>
      <c r="M503" s="11">
        <f t="shared" ref="M503:M505" si="1505">(I503*D503)/100000</f>
        <v>1.116096621</v>
      </c>
      <c r="N503" s="11">
        <f t="shared" ref="N503:N505" si="1506">(K503*D503)/100000</f>
        <v>2.433090635</v>
      </c>
      <c r="O503" s="19">
        <v>1.75</v>
      </c>
      <c r="P503" s="19"/>
      <c r="Q503" s="19">
        <v>1.06</v>
      </c>
      <c r="R503" s="19"/>
      <c r="S503" s="19">
        <v>2.67</v>
      </c>
      <c r="T503" s="14"/>
      <c r="U503" s="14">
        <f t="shared" ref="U503:U505" si="1507">(O503*D503)/100000</f>
        <v>0.2207275</v>
      </c>
      <c r="V503" s="14">
        <f t="shared" ref="V503:V505" si="1508">(Q503*D503)/100000</f>
        <v>0.1336978</v>
      </c>
      <c r="W503" s="14">
        <f t="shared" ref="W503:W505" si="1509">(S503*D503)/100000</f>
        <v>0.3367671</v>
      </c>
      <c r="X503" s="13"/>
      <c r="Y503" s="13"/>
      <c r="Z503" s="13" t="str">
        <f t="shared" ref="Z503:Z504" si="1510">ROUND(F503, 0) &amp; " (" &amp; ROUND(H503, 0) &amp; "-" &amp; ROUND(J503, 0) &amp; ")"</f>
        <v>1 (1-1)</v>
      </c>
      <c r="AA503" s="13" t="str">
        <f t="shared" ref="AA503:AA504" si="1511">ROUND(L503, 0) &amp; " (" &amp; ROUND(M503, 0) &amp; "-" &amp; ROUND(N503, 0) &amp; ")"</f>
        <v>109 (1-2)</v>
      </c>
      <c r="AB503" s="13" t="str">
        <f t="shared" ref="AB503:AB504" si="1512">ROUND(O503, 0) &amp; " (" &amp; ROUND(Q503, 0) &amp; "-" &amp; ROUND(S503, 0) &amp; ")"</f>
        <v>2 (1-3)</v>
      </c>
      <c r="AC503" s="13" t="str">
        <f t="shared" ref="AC503:AC504" si="1513">ROUND(U503, 0) &amp; " (" &amp; ROUND(V503, 0) &amp; "-" &amp; ROUND(W503, 0) &amp; ")"</f>
        <v>0 (0-0)</v>
      </c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hidden="1">
      <c r="A504" s="24" t="s">
        <v>27</v>
      </c>
      <c r="B504" s="16" t="s">
        <v>154</v>
      </c>
      <c r="C504" s="23">
        <v>2040.0</v>
      </c>
      <c r="D504" s="17">
        <f>6394+6765</f>
        <v>13159</v>
      </c>
      <c r="E504" s="10">
        <v>1632918.0</v>
      </c>
      <c r="F504" s="19">
        <v>0.78</v>
      </c>
      <c r="G504" s="10">
        <f t="shared" si="1"/>
        <v>12.7367604</v>
      </c>
      <c r="H504" s="19">
        <v>0.5</v>
      </c>
      <c r="I504" s="8">
        <f t="shared" si="2"/>
        <v>8.16459</v>
      </c>
      <c r="J504" s="19">
        <v>1.09</v>
      </c>
      <c r="K504" s="11">
        <f t="shared" si="3"/>
        <v>17.7988062</v>
      </c>
      <c r="L504" s="11">
        <f t="shared" si="13"/>
        <v>96.79124858</v>
      </c>
      <c r="M504" s="11">
        <f t="shared" si="1505"/>
        <v>1.074378398</v>
      </c>
      <c r="N504" s="11">
        <f t="shared" si="1506"/>
        <v>2.342144908</v>
      </c>
      <c r="O504" s="19">
        <v>1.75</v>
      </c>
      <c r="P504" s="19"/>
      <c r="Q504" s="19">
        <v>1.06</v>
      </c>
      <c r="R504" s="19"/>
      <c r="S504" s="19">
        <v>2.67</v>
      </c>
      <c r="T504" s="14"/>
      <c r="U504" s="14">
        <f t="shared" si="1507"/>
        <v>0.2302825</v>
      </c>
      <c r="V504" s="14">
        <f t="shared" si="1508"/>
        <v>0.1394854</v>
      </c>
      <c r="W504" s="14">
        <f t="shared" si="1509"/>
        <v>0.3513453</v>
      </c>
      <c r="X504" s="13"/>
      <c r="Y504" s="13"/>
      <c r="Z504" s="13" t="str">
        <f t="shared" si="1510"/>
        <v>1 (1-1)</v>
      </c>
      <c r="AA504" s="13" t="str">
        <f t="shared" si="1511"/>
        <v>97 (1-2)</v>
      </c>
      <c r="AB504" s="13" t="str">
        <f t="shared" si="1512"/>
        <v>2 (1-3)</v>
      </c>
      <c r="AC504" s="13" t="str">
        <f t="shared" si="1513"/>
        <v>0 (0-0)</v>
      </c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hidden="1">
      <c r="A505" s="24" t="s">
        <v>29</v>
      </c>
      <c r="B505" s="16" t="s">
        <v>154</v>
      </c>
      <c r="C505" s="23">
        <v>2050.0</v>
      </c>
      <c r="D505" s="17">
        <f>5992+6337</f>
        <v>12329</v>
      </c>
      <c r="E505" s="10">
        <v>1504663.0</v>
      </c>
      <c r="F505" s="19">
        <v>0.78</v>
      </c>
      <c r="G505" s="10">
        <f t="shared" si="1"/>
        <v>11.7363714</v>
      </c>
      <c r="H505" s="19">
        <v>0.5</v>
      </c>
      <c r="I505" s="8">
        <f t="shared" si="2"/>
        <v>7.523315</v>
      </c>
      <c r="J505" s="19">
        <v>1.09</v>
      </c>
      <c r="K505" s="11">
        <f t="shared" si="3"/>
        <v>16.4008267</v>
      </c>
      <c r="L505" s="11">
        <f t="shared" si="13"/>
        <v>95.19321437</v>
      </c>
      <c r="M505" s="11">
        <f t="shared" si="1505"/>
        <v>0.9275495064</v>
      </c>
      <c r="N505" s="11">
        <f t="shared" si="1506"/>
        <v>2.022057924</v>
      </c>
      <c r="O505" s="19">
        <v>1.75</v>
      </c>
      <c r="P505" s="8">
        <f t="shared" ref="P505:P506" si="1514">(O505/100000)*E505</f>
        <v>26.3316025</v>
      </c>
      <c r="Q505" s="19">
        <v>1.06</v>
      </c>
      <c r="R505" s="8">
        <f t="shared" ref="R505:R506" si="1515">(Q505/100000)*E505</f>
        <v>15.9494278</v>
      </c>
      <c r="S505" s="19">
        <v>2.67</v>
      </c>
      <c r="T505" s="11">
        <f t="shared" ref="T505:T506" si="1516">(S505/100000)*E505</f>
        <v>40.1745021</v>
      </c>
      <c r="U505" s="14">
        <f t="shared" si="1507"/>
        <v>0.2157575</v>
      </c>
      <c r="V505" s="14">
        <f t="shared" si="1508"/>
        <v>0.1306874</v>
      </c>
      <c r="W505" s="14">
        <f t="shared" si="1509"/>
        <v>0.3291843</v>
      </c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>
      <c r="A506" s="24" t="s">
        <v>23</v>
      </c>
      <c r="B506" s="16" t="s">
        <v>155</v>
      </c>
      <c r="C506" s="20">
        <v>2021.0</v>
      </c>
      <c r="D506" s="17">
        <f>12453+11714.5</f>
        <v>24167.5</v>
      </c>
      <c r="E506" s="18">
        <v>2808380.0</v>
      </c>
      <c r="F506" s="19">
        <v>0.86</v>
      </c>
      <c r="G506" s="10">
        <f t="shared" si="1"/>
        <v>24.152068</v>
      </c>
      <c r="H506" s="19">
        <v>0.53</v>
      </c>
      <c r="I506" s="8">
        <f t="shared" si="2"/>
        <v>14.884414</v>
      </c>
      <c r="J506" s="19">
        <v>1.23</v>
      </c>
      <c r="K506" s="11">
        <f t="shared" si="3"/>
        <v>34.543074</v>
      </c>
      <c r="L506" s="11">
        <f t="shared" si="13"/>
        <v>99.93614565</v>
      </c>
      <c r="M506" s="12">
        <f>(I506/D506)*100000</f>
        <v>61.58855488</v>
      </c>
      <c r="N506" s="11">
        <f>(K506/D506)*100000</f>
        <v>142.9319292</v>
      </c>
      <c r="O506" s="19">
        <v>1.96</v>
      </c>
      <c r="P506" s="8">
        <f t="shared" si="1514"/>
        <v>55.044248</v>
      </c>
      <c r="Q506" s="19">
        <v>1.17</v>
      </c>
      <c r="R506" s="8">
        <f t="shared" si="1515"/>
        <v>32.858046</v>
      </c>
      <c r="S506" s="19">
        <v>3.13</v>
      </c>
      <c r="T506" s="11">
        <f t="shared" si="1516"/>
        <v>87.902294</v>
      </c>
      <c r="U506" s="11">
        <f>(P506/D506)*100000</f>
        <v>227.7614482</v>
      </c>
      <c r="V506" s="11">
        <f>(R506/D506)*100000</f>
        <v>135.95964</v>
      </c>
      <c r="W506" s="11">
        <f>(T506/D506)*100000</f>
        <v>363.7210882</v>
      </c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hidden="1">
      <c r="A507" s="24" t="s">
        <v>25</v>
      </c>
      <c r="B507" s="16" t="s">
        <v>155</v>
      </c>
      <c r="C507" s="23">
        <v>2030.0</v>
      </c>
      <c r="D507" s="17">
        <f>10274+9749</f>
        <v>20023</v>
      </c>
      <c r="E507" s="10">
        <v>2732009.0</v>
      </c>
      <c r="F507" s="19">
        <v>0.86</v>
      </c>
      <c r="G507" s="10">
        <f t="shared" si="1"/>
        <v>23.4952774</v>
      </c>
      <c r="H507" s="19">
        <v>0.53</v>
      </c>
      <c r="I507" s="8">
        <f t="shared" si="2"/>
        <v>14.4796477</v>
      </c>
      <c r="J507" s="19">
        <v>1.23</v>
      </c>
      <c r="K507" s="11">
        <f t="shared" si="3"/>
        <v>33.6037107</v>
      </c>
      <c r="L507" s="11">
        <f t="shared" si="13"/>
        <v>117.3414443</v>
      </c>
      <c r="M507" s="11">
        <f t="shared" ref="M507:M509" si="1517">(I507*D507)/100000</f>
        <v>2.899259859</v>
      </c>
      <c r="N507" s="11">
        <f t="shared" ref="N507:N509" si="1518">(K507*D507)/100000</f>
        <v>6.728470993</v>
      </c>
      <c r="O507" s="19">
        <v>1.96</v>
      </c>
      <c r="P507" s="19"/>
      <c r="Q507" s="19">
        <v>1.17</v>
      </c>
      <c r="R507" s="19"/>
      <c r="S507" s="19">
        <v>3.13</v>
      </c>
      <c r="T507" s="14"/>
      <c r="U507" s="14">
        <f t="shared" ref="U507:U509" si="1519">(O507*D507)/100000</f>
        <v>0.3924508</v>
      </c>
      <c r="V507" s="14">
        <f t="shared" ref="V507:V509" si="1520">(Q507*D507)/100000</f>
        <v>0.2342691</v>
      </c>
      <c r="W507" s="14">
        <f t="shared" ref="W507:W509" si="1521">(S507*D507)/100000</f>
        <v>0.6267199</v>
      </c>
      <c r="X507" s="13"/>
      <c r="Y507" s="13"/>
      <c r="Z507" s="13" t="str">
        <f t="shared" ref="Z507:Z508" si="1522">ROUND(F507, 0) &amp; " (" &amp; ROUND(H507, 0) &amp; "-" &amp; ROUND(J507, 0) &amp; ")"</f>
        <v>1 (1-1)</v>
      </c>
      <c r="AA507" s="13" t="str">
        <f t="shared" ref="AA507:AA508" si="1523">ROUND(L507, 0) &amp; " (" &amp; ROUND(M507, 0) &amp; "-" &amp; ROUND(N507, 0) &amp; ")"</f>
        <v>117 (3-7)</v>
      </c>
      <c r="AB507" s="13" t="str">
        <f t="shared" ref="AB507:AB508" si="1524">ROUND(O507, 0) &amp; " (" &amp; ROUND(Q507, 0) &amp; "-" &amp; ROUND(S507, 0) &amp; ")"</f>
        <v>2 (1-3)</v>
      </c>
      <c r="AC507" s="13" t="str">
        <f t="shared" ref="AC507:AC508" si="1525">ROUND(U507, 0) &amp; " (" &amp; ROUND(V507, 0) &amp; "-" &amp; ROUND(W507, 0) &amp; ")"</f>
        <v>0 (0-1)</v>
      </c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hidden="1">
      <c r="A508" s="24" t="s">
        <v>27</v>
      </c>
      <c r="B508" s="16" t="s">
        <v>155</v>
      </c>
      <c r="C508" s="23">
        <v>2040.0</v>
      </c>
      <c r="D508" s="17">
        <f>9011+8549</f>
        <v>17560</v>
      </c>
      <c r="E508" s="10">
        <v>2505844.0</v>
      </c>
      <c r="F508" s="19">
        <v>0.86</v>
      </c>
      <c r="G508" s="10">
        <f t="shared" si="1"/>
        <v>21.5502584</v>
      </c>
      <c r="H508" s="19">
        <v>0.53</v>
      </c>
      <c r="I508" s="8">
        <f t="shared" si="2"/>
        <v>13.2809732</v>
      </c>
      <c r="J508" s="19">
        <v>1.23</v>
      </c>
      <c r="K508" s="11">
        <f t="shared" si="3"/>
        <v>30.8218812</v>
      </c>
      <c r="L508" s="11">
        <f t="shared" si="13"/>
        <v>122.7235672</v>
      </c>
      <c r="M508" s="11">
        <f t="shared" si="1517"/>
        <v>2.332138894</v>
      </c>
      <c r="N508" s="11">
        <f t="shared" si="1518"/>
        <v>5.412322339</v>
      </c>
      <c r="O508" s="19">
        <v>1.96</v>
      </c>
      <c r="P508" s="19"/>
      <c r="Q508" s="19">
        <v>1.17</v>
      </c>
      <c r="R508" s="19"/>
      <c r="S508" s="19">
        <v>3.13</v>
      </c>
      <c r="T508" s="14"/>
      <c r="U508" s="14">
        <f t="shared" si="1519"/>
        <v>0.344176</v>
      </c>
      <c r="V508" s="14">
        <f t="shared" si="1520"/>
        <v>0.205452</v>
      </c>
      <c r="W508" s="14">
        <f t="shared" si="1521"/>
        <v>0.549628</v>
      </c>
      <c r="X508" s="13"/>
      <c r="Y508" s="13"/>
      <c r="Z508" s="13" t="str">
        <f t="shared" si="1522"/>
        <v>1 (1-1)</v>
      </c>
      <c r="AA508" s="13" t="str">
        <f t="shared" si="1523"/>
        <v>123 (2-5)</v>
      </c>
      <c r="AB508" s="13" t="str">
        <f t="shared" si="1524"/>
        <v>2 (1-3)</v>
      </c>
      <c r="AC508" s="13" t="str">
        <f t="shared" si="1525"/>
        <v>0 (0-1)</v>
      </c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hidden="1">
      <c r="A509" s="24" t="s">
        <v>29</v>
      </c>
      <c r="B509" s="16" t="s">
        <v>155</v>
      </c>
      <c r="C509" s="23">
        <v>2050.0</v>
      </c>
      <c r="D509" s="17">
        <f>8368+7939</f>
        <v>16307</v>
      </c>
      <c r="E509" s="10">
        <v>2272618.0</v>
      </c>
      <c r="F509" s="19">
        <v>0.86</v>
      </c>
      <c r="G509" s="10">
        <f t="shared" si="1"/>
        <v>19.5445148</v>
      </c>
      <c r="H509" s="19">
        <v>0.53</v>
      </c>
      <c r="I509" s="8">
        <f t="shared" si="2"/>
        <v>12.0448754</v>
      </c>
      <c r="J509" s="19">
        <v>1.23</v>
      </c>
      <c r="K509" s="11">
        <f t="shared" si="3"/>
        <v>27.9532014</v>
      </c>
      <c r="L509" s="11">
        <f t="shared" si="13"/>
        <v>119.8535279</v>
      </c>
      <c r="M509" s="11">
        <f t="shared" si="1517"/>
        <v>1.964157831</v>
      </c>
      <c r="N509" s="11">
        <f t="shared" si="1518"/>
        <v>4.558328552</v>
      </c>
      <c r="O509" s="19">
        <v>1.96</v>
      </c>
      <c r="P509" s="8">
        <f t="shared" ref="P509:P510" si="1526">(O509/100000)*E509</f>
        <v>44.5433128</v>
      </c>
      <c r="Q509" s="19">
        <v>1.17</v>
      </c>
      <c r="R509" s="8">
        <f t="shared" ref="R509:R510" si="1527">(Q509/100000)*E509</f>
        <v>26.5896306</v>
      </c>
      <c r="S509" s="19">
        <v>3.13</v>
      </c>
      <c r="T509" s="11">
        <f t="shared" ref="T509:T510" si="1528">(S509/100000)*E509</f>
        <v>71.1329434</v>
      </c>
      <c r="U509" s="14">
        <f t="shared" si="1519"/>
        <v>0.3196172</v>
      </c>
      <c r="V509" s="14">
        <f t="shared" si="1520"/>
        <v>0.1907919</v>
      </c>
      <c r="W509" s="14">
        <f t="shared" si="1521"/>
        <v>0.5104091</v>
      </c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>
      <c r="A510" s="24" t="s">
        <v>23</v>
      </c>
      <c r="B510" s="16" t="s">
        <v>156</v>
      </c>
      <c r="C510" s="20">
        <v>2021.0</v>
      </c>
      <c r="D510" s="17">
        <f>18032.5+16999</f>
        <v>35031.5</v>
      </c>
      <c r="E510" s="18">
        <v>2595809.0</v>
      </c>
      <c r="F510" s="19">
        <v>0.62</v>
      </c>
      <c r="G510" s="10">
        <f t="shared" si="1"/>
        <v>16.0940158</v>
      </c>
      <c r="H510" s="19">
        <v>0.39</v>
      </c>
      <c r="I510" s="8">
        <f t="shared" si="2"/>
        <v>10.1236551</v>
      </c>
      <c r="J510" s="19">
        <v>0.88</v>
      </c>
      <c r="K510" s="11">
        <f t="shared" si="3"/>
        <v>22.8431192</v>
      </c>
      <c r="L510" s="11">
        <f t="shared" si="13"/>
        <v>45.94155489</v>
      </c>
      <c r="M510" s="12">
        <f>(I510/D510)*100000</f>
        <v>28.89872001</v>
      </c>
      <c r="N510" s="11">
        <f>(K510/D510)*100000</f>
        <v>65.20736823</v>
      </c>
      <c r="O510" s="19">
        <v>1.8</v>
      </c>
      <c r="P510" s="8">
        <f t="shared" si="1526"/>
        <v>46.724562</v>
      </c>
      <c r="Q510" s="19">
        <v>1.14</v>
      </c>
      <c r="R510" s="8">
        <f t="shared" si="1527"/>
        <v>29.5922226</v>
      </c>
      <c r="S510" s="19">
        <v>2.76</v>
      </c>
      <c r="T510" s="11">
        <f t="shared" si="1528"/>
        <v>71.6443284</v>
      </c>
      <c r="U510" s="11">
        <f>(P510/D510)*100000</f>
        <v>133.3787077</v>
      </c>
      <c r="V510" s="11">
        <f>(R510/D510)*100000</f>
        <v>84.47318157</v>
      </c>
      <c r="W510" s="11">
        <f>(T510/D510)*100000</f>
        <v>204.5140185</v>
      </c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hidden="1">
      <c r="A511" s="24" t="s">
        <v>25</v>
      </c>
      <c r="B511" s="16" t="s">
        <v>156</v>
      </c>
      <c r="C511" s="23">
        <v>2030.0</v>
      </c>
      <c r="D511" s="17">
        <f>14169+13361</f>
        <v>27530</v>
      </c>
      <c r="E511" s="10">
        <v>2226373.0</v>
      </c>
      <c r="F511" s="19">
        <v>0.62</v>
      </c>
      <c r="G511" s="10">
        <f t="shared" si="1"/>
        <v>13.8035126</v>
      </c>
      <c r="H511" s="19">
        <v>0.39</v>
      </c>
      <c r="I511" s="8">
        <f t="shared" si="2"/>
        <v>8.6828547</v>
      </c>
      <c r="J511" s="19">
        <v>0.88</v>
      </c>
      <c r="K511" s="11">
        <f t="shared" si="3"/>
        <v>19.5920824</v>
      </c>
      <c r="L511" s="11">
        <f t="shared" si="13"/>
        <v>50.13989321</v>
      </c>
      <c r="M511" s="11">
        <f t="shared" ref="M511:M513" si="1529">(I511*D511)/100000</f>
        <v>2.390389899</v>
      </c>
      <c r="N511" s="11">
        <f t="shared" ref="N511:N513" si="1530">(K511*D511)/100000</f>
        <v>5.393700285</v>
      </c>
      <c r="O511" s="19">
        <v>1.8</v>
      </c>
      <c r="P511" s="19"/>
      <c r="Q511" s="19">
        <v>1.14</v>
      </c>
      <c r="R511" s="19"/>
      <c r="S511" s="19">
        <v>2.76</v>
      </c>
      <c r="T511" s="14"/>
      <c r="U511" s="14">
        <f t="shared" ref="U511:U513" si="1531">(O511*D511)/100000</f>
        <v>0.49554</v>
      </c>
      <c r="V511" s="14">
        <f t="shared" ref="V511:V513" si="1532">(Q511*D511)/100000</f>
        <v>0.313842</v>
      </c>
      <c r="W511" s="14">
        <f t="shared" ref="W511:W513" si="1533">(S511*D511)/100000</f>
        <v>0.759828</v>
      </c>
      <c r="X511" s="13"/>
      <c r="Y511" s="13"/>
      <c r="Z511" s="13" t="str">
        <f t="shared" ref="Z511:Z512" si="1534">ROUND(F511, 0) &amp; " (" &amp; ROUND(H511, 0) &amp; "-" &amp; ROUND(J511, 0) &amp; ")"</f>
        <v>1 (0-1)</v>
      </c>
      <c r="AA511" s="13" t="str">
        <f t="shared" ref="AA511:AA512" si="1535">ROUND(L511, 0) &amp; " (" &amp; ROUND(M511, 0) &amp; "-" &amp; ROUND(N511, 0) &amp; ")"</f>
        <v>50 (2-5)</v>
      </c>
      <c r="AB511" s="13" t="str">
        <f t="shared" ref="AB511:AB512" si="1536">ROUND(O511, 0) &amp; " (" &amp; ROUND(Q511, 0) &amp; "-" &amp; ROUND(S511, 0) &amp; ")"</f>
        <v>2 (1-3)</v>
      </c>
      <c r="AC511" s="13" t="str">
        <f t="shared" ref="AC511:AC512" si="1537">ROUND(U511, 0) &amp; " (" &amp; ROUND(V511, 0) &amp; "-" &amp; ROUND(W511, 0) &amp; ")"</f>
        <v>0 (0-1)</v>
      </c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hidden="1">
      <c r="A512" s="24" t="s">
        <v>27</v>
      </c>
      <c r="B512" s="16" t="s">
        <v>156</v>
      </c>
      <c r="C512" s="23">
        <v>2040.0</v>
      </c>
      <c r="D512" s="17">
        <f>14113+13315</f>
        <v>27428</v>
      </c>
      <c r="E512" s="10">
        <v>1979878.0</v>
      </c>
      <c r="F512" s="19">
        <v>0.62</v>
      </c>
      <c r="G512" s="10">
        <f t="shared" si="1"/>
        <v>12.2752436</v>
      </c>
      <c r="H512" s="19">
        <v>0.39</v>
      </c>
      <c r="I512" s="8">
        <f t="shared" si="2"/>
        <v>7.7215242</v>
      </c>
      <c r="J512" s="19">
        <v>0.88</v>
      </c>
      <c r="K512" s="11">
        <f t="shared" si="3"/>
        <v>17.4229264</v>
      </c>
      <c r="L512" s="11">
        <f t="shared" si="13"/>
        <v>44.75442468</v>
      </c>
      <c r="M512" s="11">
        <f t="shared" si="1529"/>
        <v>2.117859658</v>
      </c>
      <c r="N512" s="11">
        <f t="shared" si="1530"/>
        <v>4.778760253</v>
      </c>
      <c r="O512" s="19">
        <v>1.8</v>
      </c>
      <c r="P512" s="19"/>
      <c r="Q512" s="19">
        <v>1.14</v>
      </c>
      <c r="R512" s="19"/>
      <c r="S512" s="19">
        <v>2.76</v>
      </c>
      <c r="T512" s="14"/>
      <c r="U512" s="14">
        <f t="shared" si="1531"/>
        <v>0.493704</v>
      </c>
      <c r="V512" s="14">
        <f t="shared" si="1532"/>
        <v>0.3126792</v>
      </c>
      <c r="W512" s="14">
        <f t="shared" si="1533"/>
        <v>0.7570128</v>
      </c>
      <c r="X512" s="13"/>
      <c r="Y512" s="13"/>
      <c r="Z512" s="13" t="str">
        <f t="shared" si="1534"/>
        <v>1 (0-1)</v>
      </c>
      <c r="AA512" s="13" t="str">
        <f t="shared" si="1535"/>
        <v>45 (2-5)</v>
      </c>
      <c r="AB512" s="13" t="str">
        <f t="shared" si="1536"/>
        <v>2 (1-3)</v>
      </c>
      <c r="AC512" s="13" t="str">
        <f t="shared" si="1537"/>
        <v>0 (0-1)</v>
      </c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hidden="1">
      <c r="A513" s="24" t="s">
        <v>29</v>
      </c>
      <c r="B513" s="16" t="s">
        <v>156</v>
      </c>
      <c r="C513" s="23">
        <v>2050.0</v>
      </c>
      <c r="D513" s="17">
        <f>13206+12458</f>
        <v>25664</v>
      </c>
      <c r="E513" s="10">
        <v>1786889.0</v>
      </c>
      <c r="F513" s="19">
        <v>0.62</v>
      </c>
      <c r="G513" s="10">
        <f t="shared" si="1"/>
        <v>11.0787118</v>
      </c>
      <c r="H513" s="19">
        <v>0.39</v>
      </c>
      <c r="I513" s="8">
        <f t="shared" si="2"/>
        <v>6.9688671</v>
      </c>
      <c r="J513" s="19">
        <v>0.88</v>
      </c>
      <c r="K513" s="11">
        <f t="shared" si="3"/>
        <v>15.7246232</v>
      </c>
      <c r="L513" s="11">
        <f t="shared" si="13"/>
        <v>43.16829723</v>
      </c>
      <c r="M513" s="11">
        <f t="shared" si="1529"/>
        <v>1.788490053</v>
      </c>
      <c r="N513" s="11">
        <f t="shared" si="1530"/>
        <v>4.035567298</v>
      </c>
      <c r="O513" s="19">
        <v>1.8</v>
      </c>
      <c r="P513" s="8">
        <f t="shared" ref="P513:P514" si="1538">(O513/100000)*E513</f>
        <v>32.164002</v>
      </c>
      <c r="Q513" s="19">
        <v>1.14</v>
      </c>
      <c r="R513" s="8">
        <f t="shared" ref="R513:R514" si="1539">(Q513/100000)*E513</f>
        <v>20.3705346</v>
      </c>
      <c r="S513" s="19">
        <v>2.76</v>
      </c>
      <c r="T513" s="11">
        <f t="shared" ref="T513:T514" si="1540">(S513/100000)*E513</f>
        <v>49.3181364</v>
      </c>
      <c r="U513" s="14">
        <f t="shared" si="1531"/>
        <v>0.461952</v>
      </c>
      <c r="V513" s="14">
        <f t="shared" si="1532"/>
        <v>0.2925696</v>
      </c>
      <c r="W513" s="14">
        <f t="shared" si="1533"/>
        <v>0.7083264</v>
      </c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>
      <c r="A514" s="24" t="s">
        <v>23</v>
      </c>
      <c r="B514" s="16" t="s">
        <v>157</v>
      </c>
      <c r="C514" s="20">
        <v>2021.0</v>
      </c>
      <c r="D514" s="17">
        <f>739429.5+700055.5</f>
        <v>1439485</v>
      </c>
      <c r="E514" s="18">
        <v>1.44746762E8</v>
      </c>
      <c r="F514" s="19">
        <v>0.8</v>
      </c>
      <c r="G514" s="10">
        <f t="shared" si="1"/>
        <v>1157.974096</v>
      </c>
      <c r="H514" s="19">
        <v>0.55</v>
      </c>
      <c r="I514" s="8">
        <f t="shared" si="2"/>
        <v>796.107191</v>
      </c>
      <c r="J514" s="19">
        <v>1.07</v>
      </c>
      <c r="K514" s="11">
        <f t="shared" si="3"/>
        <v>1548.790353</v>
      </c>
      <c r="L514" s="11">
        <f t="shared" si="13"/>
        <v>80.44363755</v>
      </c>
      <c r="M514" s="12">
        <f>(I514/D514)*100000</f>
        <v>55.30500082</v>
      </c>
      <c r="N514" s="11">
        <f>(K514/D514)*100000</f>
        <v>107.5933652</v>
      </c>
      <c r="O514" s="19">
        <v>1.68</v>
      </c>
      <c r="P514" s="8">
        <f t="shared" si="1538"/>
        <v>2431.745602</v>
      </c>
      <c r="Q514" s="19">
        <v>1.05</v>
      </c>
      <c r="R514" s="8">
        <f t="shared" si="1539"/>
        <v>1519.841001</v>
      </c>
      <c r="S514" s="19">
        <v>2.56</v>
      </c>
      <c r="T514" s="11">
        <f t="shared" si="1540"/>
        <v>3705.517107</v>
      </c>
      <c r="U514" s="11">
        <f>(P514/D514)*100000</f>
        <v>168.9316389</v>
      </c>
      <c r="V514" s="11">
        <f>(R514/D514)*100000</f>
        <v>105.5822743</v>
      </c>
      <c r="W514" s="11">
        <f>(T514/D514)*100000</f>
        <v>257.4196402</v>
      </c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hidden="1">
      <c r="A515" s="24" t="s">
        <v>25</v>
      </c>
      <c r="B515" s="16" t="s">
        <v>157</v>
      </c>
      <c r="C515" s="23">
        <v>2030.0</v>
      </c>
      <c r="D515" s="17">
        <f>610618+579394</f>
        <v>1190012</v>
      </c>
      <c r="E515" s="10">
        <v>1.4138296E8</v>
      </c>
      <c r="F515" s="19">
        <v>0.8</v>
      </c>
      <c r="G515" s="10">
        <f t="shared" si="1"/>
        <v>1131.06368</v>
      </c>
      <c r="H515" s="19">
        <v>0.55</v>
      </c>
      <c r="I515" s="8">
        <f t="shared" si="2"/>
        <v>777.60628</v>
      </c>
      <c r="J515" s="19">
        <v>1.07</v>
      </c>
      <c r="K515" s="11">
        <f t="shared" si="3"/>
        <v>1512.797672</v>
      </c>
      <c r="L515" s="11">
        <f t="shared" si="13"/>
        <v>95.04640962</v>
      </c>
      <c r="M515" s="11">
        <f t="shared" ref="M515:M517" si="1541">(I515*D515)/100000</f>
        <v>9253.608045</v>
      </c>
      <c r="N515" s="11">
        <f t="shared" ref="N515:N517" si="1542">(K515*D515)/100000</f>
        <v>18002.47383</v>
      </c>
      <c r="O515" s="19">
        <v>1.68</v>
      </c>
      <c r="P515" s="19"/>
      <c r="Q515" s="19">
        <v>1.05</v>
      </c>
      <c r="R515" s="19"/>
      <c r="S515" s="19">
        <v>2.56</v>
      </c>
      <c r="T515" s="14"/>
      <c r="U515" s="14">
        <f t="shared" ref="U515:U517" si="1543">(O515*D515)/100000</f>
        <v>19.9922016</v>
      </c>
      <c r="V515" s="14">
        <f t="shared" ref="V515:V517" si="1544">(Q515*D515)/100000</f>
        <v>12.495126</v>
      </c>
      <c r="W515" s="14">
        <f t="shared" ref="W515:W517" si="1545">(S515*D515)/100000</f>
        <v>30.4643072</v>
      </c>
      <c r="X515" s="13"/>
      <c r="Y515" s="13"/>
      <c r="Z515" s="13" t="str">
        <f t="shared" ref="Z515:Z516" si="1546">ROUND(F515, 0) &amp; " (" &amp; ROUND(H515, 0) &amp; "-" &amp; ROUND(J515, 0) &amp; ")"</f>
        <v>1 (1-1)</v>
      </c>
      <c r="AA515" s="13" t="str">
        <f t="shared" ref="AA515:AA516" si="1547">ROUND(L515, 0) &amp; " (" &amp; ROUND(M515, 0) &amp; "-" &amp; ROUND(N515, 0) &amp; ")"</f>
        <v>95 (9254-18002)</v>
      </c>
      <c r="AB515" s="13" t="str">
        <f t="shared" ref="AB515:AB516" si="1548">ROUND(O515, 0) &amp; " (" &amp; ROUND(Q515, 0) &amp; "-" &amp; ROUND(S515, 0) &amp; ")"</f>
        <v>2 (1-3)</v>
      </c>
      <c r="AC515" s="13" t="str">
        <f t="shared" ref="AC515:AC516" si="1549">ROUND(U515, 0) &amp; " (" &amp; ROUND(V515, 0) &amp; "-" &amp; ROUND(W515, 0) &amp; ")"</f>
        <v>20 (12-30)</v>
      </c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hidden="1">
      <c r="A516" s="24" t="s">
        <v>27</v>
      </c>
      <c r="B516" s="16" t="s">
        <v>157</v>
      </c>
      <c r="C516" s="23">
        <v>2040.0</v>
      </c>
      <c r="D516" s="17">
        <f>700152+664261</f>
        <v>1364413</v>
      </c>
      <c r="E516" s="10">
        <v>1.382136E8</v>
      </c>
      <c r="F516" s="19">
        <v>0.8</v>
      </c>
      <c r="G516" s="10">
        <f t="shared" si="1"/>
        <v>1105.7088</v>
      </c>
      <c r="H516" s="19">
        <v>0.55</v>
      </c>
      <c r="I516" s="8">
        <f t="shared" si="2"/>
        <v>760.1748</v>
      </c>
      <c r="J516" s="19">
        <v>1.07</v>
      </c>
      <c r="K516" s="11">
        <f t="shared" si="3"/>
        <v>1478.88552</v>
      </c>
      <c r="L516" s="11">
        <f t="shared" si="13"/>
        <v>81.0391575</v>
      </c>
      <c r="M516" s="11">
        <f t="shared" si="1541"/>
        <v>10371.92379</v>
      </c>
      <c r="N516" s="11">
        <f t="shared" si="1542"/>
        <v>20178.10629</v>
      </c>
      <c r="O516" s="19">
        <v>1.68</v>
      </c>
      <c r="P516" s="19"/>
      <c r="Q516" s="19">
        <v>1.05</v>
      </c>
      <c r="R516" s="19"/>
      <c r="S516" s="19">
        <v>2.56</v>
      </c>
      <c r="T516" s="14"/>
      <c r="U516" s="14">
        <f t="shared" si="1543"/>
        <v>22.9221384</v>
      </c>
      <c r="V516" s="14">
        <f t="shared" si="1544"/>
        <v>14.3263365</v>
      </c>
      <c r="W516" s="14">
        <f t="shared" si="1545"/>
        <v>34.9289728</v>
      </c>
      <c r="X516" s="13"/>
      <c r="Y516" s="13"/>
      <c r="Z516" s="13" t="str">
        <f t="shared" si="1546"/>
        <v>1 (1-1)</v>
      </c>
      <c r="AA516" s="13" t="str">
        <f t="shared" si="1547"/>
        <v>81 (10372-20178)</v>
      </c>
      <c r="AB516" s="13" t="str">
        <f t="shared" si="1548"/>
        <v>2 (1-3)</v>
      </c>
      <c r="AC516" s="13" t="str">
        <f t="shared" si="1549"/>
        <v>23 (14-35)</v>
      </c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</row>
    <row r="517" hidden="1">
      <c r="A517" s="24" t="s">
        <v>29</v>
      </c>
      <c r="B517" s="16" t="s">
        <v>157</v>
      </c>
      <c r="C517" s="23">
        <v>2050.0</v>
      </c>
      <c r="D517" s="17">
        <f>709372+672631</f>
        <v>1382003</v>
      </c>
      <c r="E517" s="10">
        <v>1.36801152E8</v>
      </c>
      <c r="F517" s="19">
        <v>0.8</v>
      </c>
      <c r="G517" s="10">
        <f t="shared" si="1"/>
        <v>1094.409216</v>
      </c>
      <c r="H517" s="19">
        <v>0.55</v>
      </c>
      <c r="I517" s="8">
        <f t="shared" si="2"/>
        <v>752.406336</v>
      </c>
      <c r="J517" s="19">
        <v>1.07</v>
      </c>
      <c r="K517" s="11">
        <f t="shared" si="3"/>
        <v>1463.772326</v>
      </c>
      <c r="L517" s="11">
        <f t="shared" si="13"/>
        <v>79.19007527</v>
      </c>
      <c r="M517" s="11">
        <f t="shared" si="1541"/>
        <v>10398.27814</v>
      </c>
      <c r="N517" s="11">
        <f t="shared" si="1542"/>
        <v>20229.37746</v>
      </c>
      <c r="O517" s="19">
        <v>1.68</v>
      </c>
      <c r="P517" s="8">
        <f t="shared" ref="P517:P518" si="1550">(O517/100000)*E517</f>
        <v>2298.259354</v>
      </c>
      <c r="Q517" s="19">
        <v>1.05</v>
      </c>
      <c r="R517" s="8">
        <f t="shared" ref="R517:R518" si="1551">(Q517/100000)*E517</f>
        <v>1436.412096</v>
      </c>
      <c r="S517" s="19">
        <v>2.56</v>
      </c>
      <c r="T517" s="11">
        <f t="shared" ref="T517:T518" si="1552">(S517/100000)*E517</f>
        <v>3502.109491</v>
      </c>
      <c r="U517" s="14">
        <f t="shared" si="1543"/>
        <v>23.2176504</v>
      </c>
      <c r="V517" s="14">
        <f t="shared" si="1544"/>
        <v>14.5110315</v>
      </c>
      <c r="W517" s="14">
        <f t="shared" si="1545"/>
        <v>35.3792768</v>
      </c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>
      <c r="A518" s="24" t="s">
        <v>23</v>
      </c>
      <c r="B518" s="16" t="s">
        <v>158</v>
      </c>
      <c r="C518" s="20">
        <v>2021.0</v>
      </c>
      <c r="D518" s="17">
        <f>165790+155897.5</f>
        <v>321687.5</v>
      </c>
      <c r="E518" s="18">
        <v>4.429864E7</v>
      </c>
      <c r="F518" s="19">
        <v>0.65</v>
      </c>
      <c r="G518" s="10">
        <f t="shared" si="1"/>
        <v>287.94116</v>
      </c>
      <c r="H518" s="19">
        <v>0.45</v>
      </c>
      <c r="I518" s="8">
        <f t="shared" si="2"/>
        <v>199.34388</v>
      </c>
      <c r="J518" s="19">
        <v>0.85</v>
      </c>
      <c r="K518" s="11">
        <f t="shared" si="3"/>
        <v>376.53844</v>
      </c>
      <c r="L518" s="11">
        <f t="shared" si="13"/>
        <v>89.50958928</v>
      </c>
      <c r="M518" s="12">
        <f>(I518/D518)*100000</f>
        <v>61.96817719</v>
      </c>
      <c r="N518" s="11">
        <f>(K518/D518)*100000</f>
        <v>117.0510014</v>
      </c>
      <c r="O518" s="19">
        <v>1.78</v>
      </c>
      <c r="P518" s="8">
        <f t="shared" si="1550"/>
        <v>788.515792</v>
      </c>
      <c r="Q518" s="19">
        <v>1.09</v>
      </c>
      <c r="R518" s="8">
        <f t="shared" si="1551"/>
        <v>482.855176</v>
      </c>
      <c r="S518" s="19">
        <v>2.83</v>
      </c>
      <c r="T518" s="11">
        <f t="shared" si="1552"/>
        <v>1253.651512</v>
      </c>
      <c r="U518" s="11">
        <f>(P518/D518)*100000</f>
        <v>245.1185676</v>
      </c>
      <c r="V518" s="11">
        <f>(R518/D518)*100000</f>
        <v>150.1006959</v>
      </c>
      <c r="W518" s="11">
        <f>(T518/D518)*100000</f>
        <v>389.710981</v>
      </c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 hidden="1">
      <c r="A519" s="24" t="s">
        <v>25</v>
      </c>
      <c r="B519" s="16" t="s">
        <v>158</v>
      </c>
      <c r="C519" s="23">
        <v>2030.0</v>
      </c>
      <c r="D519" s="17">
        <f>120647+113784</f>
        <v>234431</v>
      </c>
      <c r="E519" s="10">
        <v>3.8353853E7</v>
      </c>
      <c r="F519" s="19">
        <v>0.65</v>
      </c>
      <c r="G519" s="10">
        <f t="shared" si="1"/>
        <v>249.3000445</v>
      </c>
      <c r="H519" s="19">
        <v>0.45</v>
      </c>
      <c r="I519" s="8">
        <f t="shared" si="2"/>
        <v>172.5923385</v>
      </c>
      <c r="J519" s="19">
        <v>0.85</v>
      </c>
      <c r="K519" s="11">
        <f t="shared" si="3"/>
        <v>326.0077505</v>
      </c>
      <c r="L519" s="11">
        <f t="shared" si="13"/>
        <v>106.3426102</v>
      </c>
      <c r="M519" s="11">
        <f t="shared" ref="M519:M521" si="1553">(I519*D519)/100000</f>
        <v>404.6099451</v>
      </c>
      <c r="N519" s="11">
        <f t="shared" ref="N519:N521" si="1554">(K519*D519)/100000</f>
        <v>764.2632296</v>
      </c>
      <c r="O519" s="19">
        <v>1.78</v>
      </c>
      <c r="P519" s="19"/>
      <c r="Q519" s="19">
        <v>1.09</v>
      </c>
      <c r="R519" s="19"/>
      <c r="S519" s="19">
        <v>2.83</v>
      </c>
      <c r="T519" s="14"/>
      <c r="U519" s="14">
        <f t="shared" ref="U519:U521" si="1555">(O519*D519)/100000</f>
        <v>4.1728718</v>
      </c>
      <c r="V519" s="14">
        <f t="shared" ref="V519:V521" si="1556">(Q519*D519)/100000</f>
        <v>2.5552979</v>
      </c>
      <c r="W519" s="14">
        <f t="shared" ref="W519:W521" si="1557">(S519*D519)/100000</f>
        <v>6.6343973</v>
      </c>
      <c r="X519" s="13"/>
      <c r="Y519" s="13"/>
      <c r="Z519" s="13" t="str">
        <f t="shared" ref="Z519:Z520" si="1558">ROUND(F519, 0) &amp; " (" &amp; ROUND(H519, 0) &amp; "-" &amp; ROUND(J519, 0) &amp; ")"</f>
        <v>1 (0-1)</v>
      </c>
      <c r="AA519" s="13" t="str">
        <f t="shared" ref="AA519:AA520" si="1559">ROUND(L519, 0) &amp; " (" &amp; ROUND(M519, 0) &amp; "-" &amp; ROUND(N519, 0) &amp; ")"</f>
        <v>106 (405-764)</v>
      </c>
      <c r="AB519" s="13" t="str">
        <f t="shared" ref="AB519:AB520" si="1560">ROUND(O519, 0) &amp; " (" &amp; ROUND(Q519, 0) &amp; "-" &amp; ROUND(S519, 0) &amp; ")"</f>
        <v>2 (1-3)</v>
      </c>
      <c r="AC519" s="13" t="str">
        <f t="shared" ref="AC519:AC520" si="1561">ROUND(U519, 0) &amp; " (" &amp; ROUND(V519, 0) &amp; "-" &amp; ROUND(W519, 0) &amp; ")"</f>
        <v>4 (3-7)</v>
      </c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 hidden="1">
      <c r="A520" s="24" t="s">
        <v>27</v>
      </c>
      <c r="B520" s="16" t="s">
        <v>158</v>
      </c>
      <c r="C520" s="23">
        <v>2040.0</v>
      </c>
      <c r="D520" s="17">
        <f>116834+110232</f>
        <v>227066</v>
      </c>
      <c r="E520" s="10">
        <v>3.5270911E7</v>
      </c>
      <c r="F520" s="19">
        <v>0.65</v>
      </c>
      <c r="G520" s="10">
        <f t="shared" si="1"/>
        <v>229.2609215</v>
      </c>
      <c r="H520" s="19">
        <v>0.45</v>
      </c>
      <c r="I520" s="8">
        <f t="shared" si="2"/>
        <v>158.7190995</v>
      </c>
      <c r="J520" s="19">
        <v>0.85</v>
      </c>
      <c r="K520" s="11">
        <f t="shared" si="3"/>
        <v>299.8027435</v>
      </c>
      <c r="L520" s="11">
        <f t="shared" si="13"/>
        <v>100.9666447</v>
      </c>
      <c r="M520" s="11">
        <f t="shared" si="1553"/>
        <v>360.3971105</v>
      </c>
      <c r="N520" s="11">
        <f t="shared" si="1554"/>
        <v>680.7500976</v>
      </c>
      <c r="O520" s="19">
        <v>1.78</v>
      </c>
      <c r="P520" s="19"/>
      <c r="Q520" s="19">
        <v>1.09</v>
      </c>
      <c r="R520" s="19"/>
      <c r="S520" s="19">
        <v>2.83</v>
      </c>
      <c r="T520" s="14"/>
      <c r="U520" s="14">
        <f t="shared" si="1555"/>
        <v>4.0417748</v>
      </c>
      <c r="V520" s="14">
        <f t="shared" si="1556"/>
        <v>2.4750194</v>
      </c>
      <c r="W520" s="14">
        <f t="shared" si="1557"/>
        <v>6.4259678</v>
      </c>
      <c r="X520" s="13"/>
      <c r="Y520" s="13"/>
      <c r="Z520" s="13" t="str">
        <f t="shared" si="1558"/>
        <v>1 (0-1)</v>
      </c>
      <c r="AA520" s="13" t="str">
        <f t="shared" si="1559"/>
        <v>101 (360-681)</v>
      </c>
      <c r="AB520" s="13" t="str">
        <f t="shared" si="1560"/>
        <v>2 (1-3)</v>
      </c>
      <c r="AC520" s="13" t="str">
        <f t="shared" si="1561"/>
        <v>4 (2-6)</v>
      </c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 hidden="1">
      <c r="A521" s="24" t="s">
        <v>29</v>
      </c>
      <c r="B521" s="16" t="s">
        <v>158</v>
      </c>
      <c r="C521" s="23">
        <v>2050.0</v>
      </c>
      <c r="D521" s="17">
        <f>98343+92759</f>
        <v>191102</v>
      </c>
      <c r="E521" s="10">
        <v>3.1990132E7</v>
      </c>
      <c r="F521" s="19">
        <v>0.65</v>
      </c>
      <c r="G521" s="10">
        <f t="shared" si="1"/>
        <v>207.935858</v>
      </c>
      <c r="H521" s="19">
        <v>0.45</v>
      </c>
      <c r="I521" s="8">
        <f t="shared" si="2"/>
        <v>143.955594</v>
      </c>
      <c r="J521" s="19">
        <v>0.85</v>
      </c>
      <c r="K521" s="11">
        <f t="shared" si="3"/>
        <v>271.916122</v>
      </c>
      <c r="L521" s="11">
        <f t="shared" si="13"/>
        <v>108.808834</v>
      </c>
      <c r="M521" s="11">
        <f t="shared" si="1553"/>
        <v>275.1020192</v>
      </c>
      <c r="N521" s="11">
        <f t="shared" si="1554"/>
        <v>519.6371475</v>
      </c>
      <c r="O521" s="19">
        <v>1.78</v>
      </c>
      <c r="P521" s="8">
        <f t="shared" ref="P521:P522" si="1562">(O521/100000)*E521</f>
        <v>569.4243496</v>
      </c>
      <c r="Q521" s="19">
        <v>1.09</v>
      </c>
      <c r="R521" s="8">
        <f t="shared" ref="R521:R522" si="1563">(Q521/100000)*E521</f>
        <v>348.6924388</v>
      </c>
      <c r="S521" s="19">
        <v>2.83</v>
      </c>
      <c r="T521" s="11">
        <f t="shared" ref="T521:T522" si="1564">(S521/100000)*E521</f>
        <v>905.3207356</v>
      </c>
      <c r="U521" s="14">
        <f t="shared" si="1555"/>
        <v>3.4016156</v>
      </c>
      <c r="V521" s="14">
        <f t="shared" si="1556"/>
        <v>2.0830118</v>
      </c>
      <c r="W521" s="14">
        <f t="shared" si="1557"/>
        <v>5.4081866</v>
      </c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>
      <c r="A522" s="24" t="s">
        <v>23</v>
      </c>
      <c r="B522" s="16" t="s">
        <v>159</v>
      </c>
      <c r="C522" s="20">
        <v>2021.0</v>
      </c>
      <c r="D522" s="17">
        <f>155266+147088</f>
        <v>302354</v>
      </c>
      <c r="E522" s="18">
        <v>2.5685412E7</v>
      </c>
      <c r="F522" s="19">
        <v>1.46</v>
      </c>
      <c r="G522" s="10">
        <f t="shared" si="1"/>
        <v>375.0070152</v>
      </c>
      <c r="H522" s="19">
        <v>0.99</v>
      </c>
      <c r="I522" s="8">
        <f t="shared" si="2"/>
        <v>254.2855788</v>
      </c>
      <c r="J522" s="19">
        <v>1.98</v>
      </c>
      <c r="K522" s="11">
        <f t="shared" si="3"/>
        <v>508.5711576</v>
      </c>
      <c r="L522" s="11">
        <f t="shared" si="13"/>
        <v>124.0291232</v>
      </c>
      <c r="M522" s="12">
        <f>(I522/D522)*100000</f>
        <v>84.10193971</v>
      </c>
      <c r="N522" s="11">
        <f>(K522/D522)*100000</f>
        <v>168.2038794</v>
      </c>
      <c r="O522" s="19">
        <v>1.78</v>
      </c>
      <c r="P522" s="8">
        <f t="shared" si="1562"/>
        <v>457.2003336</v>
      </c>
      <c r="Q522" s="19">
        <v>1.13</v>
      </c>
      <c r="R522" s="8">
        <f t="shared" si="1563"/>
        <v>290.2451556</v>
      </c>
      <c r="S522" s="19">
        <v>2.71</v>
      </c>
      <c r="T522" s="11">
        <f t="shared" si="1564"/>
        <v>696.0746652</v>
      </c>
      <c r="U522" s="11">
        <f>(P522/D522)*100000</f>
        <v>151.2135886</v>
      </c>
      <c r="V522" s="11">
        <f>(R522/D522)*100000</f>
        <v>95.99514331</v>
      </c>
      <c r="W522" s="11">
        <f>(T522/D522)*100000</f>
        <v>230.218441</v>
      </c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 hidden="1">
      <c r="A523" s="24" t="s">
        <v>25</v>
      </c>
      <c r="B523" s="16" t="s">
        <v>159</v>
      </c>
      <c r="C523" s="23">
        <v>2030.0</v>
      </c>
      <c r="D523" s="17">
        <f>155024+147178</f>
        <v>302202</v>
      </c>
      <c r="E523" s="10">
        <v>2.8602332E7</v>
      </c>
      <c r="F523" s="19">
        <v>1.46</v>
      </c>
      <c r="G523" s="10">
        <f t="shared" si="1"/>
        <v>417.5940472</v>
      </c>
      <c r="H523" s="19">
        <v>0.99</v>
      </c>
      <c r="I523" s="8">
        <f t="shared" si="2"/>
        <v>283.1630868</v>
      </c>
      <c r="J523" s="19">
        <v>1.98</v>
      </c>
      <c r="K523" s="11">
        <f t="shared" si="3"/>
        <v>566.3261736</v>
      </c>
      <c r="L523" s="11">
        <f t="shared" si="13"/>
        <v>138.183747</v>
      </c>
      <c r="M523" s="11">
        <f t="shared" ref="M523:M525" si="1565">(I523*D523)/100000</f>
        <v>855.7245116</v>
      </c>
      <c r="N523" s="11">
        <f t="shared" ref="N523:N525" si="1566">(K523*D523)/100000</f>
        <v>1711.449023</v>
      </c>
      <c r="O523" s="19">
        <v>1.78</v>
      </c>
      <c r="P523" s="19"/>
      <c r="Q523" s="19">
        <v>1.13</v>
      </c>
      <c r="R523" s="19"/>
      <c r="S523" s="19">
        <v>2.71</v>
      </c>
      <c r="T523" s="14"/>
      <c r="U523" s="14">
        <f t="shared" ref="U523:U525" si="1567">(O523*D523)/100000</f>
        <v>5.3791956</v>
      </c>
      <c r="V523" s="14">
        <f t="shared" ref="V523:V525" si="1568">(Q523*D523)/100000</f>
        <v>3.4148826</v>
      </c>
      <c r="W523" s="14">
        <f t="shared" ref="W523:W525" si="1569">(S523*D523)/100000</f>
        <v>8.1896742</v>
      </c>
      <c r="X523" s="13"/>
      <c r="Y523" s="13"/>
      <c r="Z523" s="13" t="str">
        <f t="shared" ref="Z523:Z524" si="1570">ROUND(F523, 0) &amp; " (" &amp; ROUND(H523, 0) &amp; "-" &amp; ROUND(J523, 0) &amp; ")"</f>
        <v>1 (1-2)</v>
      </c>
      <c r="AA523" s="13" t="str">
        <f t="shared" ref="AA523:AA524" si="1571">ROUND(L523, 0) &amp; " (" &amp; ROUND(M523, 0) &amp; "-" &amp; ROUND(N523, 0) &amp; ")"</f>
        <v>138 (856-1711)</v>
      </c>
      <c r="AB523" s="13" t="str">
        <f t="shared" ref="AB523:AB524" si="1572">ROUND(O523, 0) &amp; " (" &amp; ROUND(Q523, 0) &amp; "-" &amp; ROUND(S523, 0) &amp; ")"</f>
        <v>2 (1-3)</v>
      </c>
      <c r="AC523" s="13" t="str">
        <f t="shared" ref="AC523:AC524" si="1573">ROUND(U523, 0) &amp; " (" &amp; ROUND(V523, 0) &amp; "-" &amp; ROUND(W523, 0) &amp; ")"</f>
        <v>5 (3-8)</v>
      </c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 hidden="1">
      <c r="A524" s="24" t="s">
        <v>27</v>
      </c>
      <c r="B524" s="16" t="s">
        <v>159</v>
      </c>
      <c r="C524" s="23">
        <v>2040.0</v>
      </c>
      <c r="D524" s="17">
        <f>161718+153653</f>
        <v>315371</v>
      </c>
      <c r="E524" s="10">
        <v>3.0677022E7</v>
      </c>
      <c r="F524" s="19">
        <v>1.46</v>
      </c>
      <c r="G524" s="10">
        <f t="shared" si="1"/>
        <v>447.8845212</v>
      </c>
      <c r="H524" s="19">
        <v>0.99</v>
      </c>
      <c r="I524" s="8">
        <f t="shared" si="2"/>
        <v>303.7025178</v>
      </c>
      <c r="J524" s="19">
        <v>1.98</v>
      </c>
      <c r="K524" s="11">
        <f t="shared" si="3"/>
        <v>607.4050356</v>
      </c>
      <c r="L524" s="11">
        <f t="shared" si="13"/>
        <v>142.0182963</v>
      </c>
      <c r="M524" s="11">
        <f t="shared" si="1565"/>
        <v>957.7896674</v>
      </c>
      <c r="N524" s="11">
        <f t="shared" si="1566"/>
        <v>1915.579335</v>
      </c>
      <c r="O524" s="19">
        <v>1.78</v>
      </c>
      <c r="P524" s="19"/>
      <c r="Q524" s="19">
        <v>1.13</v>
      </c>
      <c r="R524" s="19"/>
      <c r="S524" s="19">
        <v>2.71</v>
      </c>
      <c r="T524" s="14"/>
      <c r="U524" s="14">
        <f t="shared" si="1567"/>
        <v>5.6136038</v>
      </c>
      <c r="V524" s="14">
        <f t="shared" si="1568"/>
        <v>3.5636923</v>
      </c>
      <c r="W524" s="14">
        <f t="shared" si="1569"/>
        <v>8.5465541</v>
      </c>
      <c r="X524" s="13"/>
      <c r="Y524" s="13"/>
      <c r="Z524" s="13" t="str">
        <f t="shared" si="1570"/>
        <v>1 (1-2)</v>
      </c>
      <c r="AA524" s="13" t="str">
        <f t="shared" si="1571"/>
        <v>142 (958-1916)</v>
      </c>
      <c r="AB524" s="13" t="str">
        <f t="shared" si="1572"/>
        <v>2 (1-3)</v>
      </c>
      <c r="AC524" s="13" t="str">
        <f t="shared" si="1573"/>
        <v>6 (4-9)</v>
      </c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 hidden="1">
      <c r="A525" s="24" t="s">
        <v>29</v>
      </c>
      <c r="B525" s="16" t="s">
        <v>159</v>
      </c>
      <c r="C525" s="23">
        <v>2050.0</v>
      </c>
      <c r="D525" s="17">
        <f>172074+163553</f>
        <v>335627</v>
      </c>
      <c r="E525" s="10">
        <v>3.2798424E7</v>
      </c>
      <c r="F525" s="19">
        <v>1.46</v>
      </c>
      <c r="G525" s="10">
        <f t="shared" si="1"/>
        <v>478.8569904</v>
      </c>
      <c r="H525" s="19">
        <v>0.99</v>
      </c>
      <c r="I525" s="8">
        <f t="shared" si="2"/>
        <v>324.7043976</v>
      </c>
      <c r="J525" s="19">
        <v>1.98</v>
      </c>
      <c r="K525" s="11">
        <f t="shared" si="3"/>
        <v>649.4087952</v>
      </c>
      <c r="L525" s="11">
        <f t="shared" si="13"/>
        <v>142.6753481</v>
      </c>
      <c r="M525" s="11">
        <f t="shared" si="1565"/>
        <v>1089.795629</v>
      </c>
      <c r="N525" s="11">
        <f t="shared" si="1566"/>
        <v>2179.591257</v>
      </c>
      <c r="O525" s="19">
        <v>1.78</v>
      </c>
      <c r="P525" s="8">
        <f t="shared" ref="P525:P526" si="1574">(O525/100000)*E525</f>
        <v>583.8119472</v>
      </c>
      <c r="Q525" s="19">
        <v>1.13</v>
      </c>
      <c r="R525" s="8">
        <f t="shared" ref="R525:R526" si="1575">(Q525/100000)*E525</f>
        <v>370.6221912</v>
      </c>
      <c r="S525" s="19">
        <v>2.71</v>
      </c>
      <c r="T525" s="11">
        <f t="shared" ref="T525:T526" si="1576">(S525/100000)*E525</f>
        <v>888.8372904</v>
      </c>
      <c r="U525" s="14">
        <f t="shared" si="1567"/>
        <v>5.9741606</v>
      </c>
      <c r="V525" s="14">
        <f t="shared" si="1568"/>
        <v>3.7925851</v>
      </c>
      <c r="W525" s="14">
        <f t="shared" si="1569"/>
        <v>9.0954917</v>
      </c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>
      <c r="A526" s="24" t="s">
        <v>23</v>
      </c>
      <c r="B526" s="16" t="s">
        <v>160</v>
      </c>
      <c r="C526" s="20">
        <v>2021.0</v>
      </c>
      <c r="D526" s="17">
        <f>30367+28918</f>
        <v>59285</v>
      </c>
      <c r="E526" s="18">
        <v>5111300.0</v>
      </c>
      <c r="F526" s="19">
        <v>1.36</v>
      </c>
      <c r="G526" s="10">
        <f t="shared" si="1"/>
        <v>69.51368</v>
      </c>
      <c r="H526" s="19">
        <v>0.99</v>
      </c>
      <c r="I526" s="8">
        <f t="shared" si="2"/>
        <v>50.60187</v>
      </c>
      <c r="J526" s="19">
        <v>1.79</v>
      </c>
      <c r="K526" s="11">
        <f t="shared" si="3"/>
        <v>91.49227</v>
      </c>
      <c r="L526" s="11">
        <f t="shared" si="13"/>
        <v>117.2534031</v>
      </c>
      <c r="M526" s="12">
        <f>(I526/D526)*100000</f>
        <v>85.35358016</v>
      </c>
      <c r="N526" s="11">
        <f>(K526/D526)*100000</f>
        <v>154.3261702</v>
      </c>
      <c r="O526" s="19">
        <v>1.76</v>
      </c>
      <c r="P526" s="8">
        <f t="shared" si="1574"/>
        <v>89.95888</v>
      </c>
      <c r="Q526" s="19">
        <v>1.09</v>
      </c>
      <c r="R526" s="8">
        <f t="shared" si="1575"/>
        <v>55.71317</v>
      </c>
      <c r="S526" s="19">
        <v>2.74</v>
      </c>
      <c r="T526" s="11">
        <f t="shared" si="1576"/>
        <v>140.04962</v>
      </c>
      <c r="U526" s="11">
        <f>(P526/D526)*100000</f>
        <v>151.7396981</v>
      </c>
      <c r="V526" s="11">
        <f>(R526/D526)*100000</f>
        <v>93.97515392</v>
      </c>
      <c r="W526" s="11">
        <f>(T526/D526)*100000</f>
        <v>236.2311209</v>
      </c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 hidden="1">
      <c r="A527" s="24" t="s">
        <v>25</v>
      </c>
      <c r="B527" s="16" t="s">
        <v>160</v>
      </c>
      <c r="C527" s="23">
        <v>2030.0</v>
      </c>
      <c r="D527" s="17">
        <f>29057+27522</f>
        <v>56579</v>
      </c>
      <c r="E527" s="10">
        <v>5516696.0</v>
      </c>
      <c r="F527" s="19">
        <v>1.36</v>
      </c>
      <c r="G527" s="10">
        <f t="shared" si="1"/>
        <v>75.0270656</v>
      </c>
      <c r="H527" s="19">
        <v>0.99</v>
      </c>
      <c r="I527" s="8">
        <f t="shared" si="2"/>
        <v>54.6152904</v>
      </c>
      <c r="J527" s="19">
        <v>1.79</v>
      </c>
      <c r="K527" s="11">
        <f t="shared" si="3"/>
        <v>98.7488584</v>
      </c>
      <c r="L527" s="11">
        <f t="shared" si="13"/>
        <v>132.6058531</v>
      </c>
      <c r="M527" s="11">
        <f t="shared" ref="M527:M529" si="1577">(I527*D527)/100000</f>
        <v>30.90078516</v>
      </c>
      <c r="N527" s="11">
        <f t="shared" ref="N527:N529" si="1578">(K527*D527)/100000</f>
        <v>55.87111659</v>
      </c>
      <c r="O527" s="19">
        <v>1.76</v>
      </c>
      <c r="P527" s="19"/>
      <c r="Q527" s="19">
        <v>1.09</v>
      </c>
      <c r="R527" s="19"/>
      <c r="S527" s="19">
        <v>2.74</v>
      </c>
      <c r="T527" s="14"/>
      <c r="U527" s="14">
        <f t="shared" ref="U527:U529" si="1579">(O527*D527)/100000</f>
        <v>0.9957904</v>
      </c>
      <c r="V527" s="14">
        <f t="shared" ref="V527:V529" si="1580">(Q527*D527)/100000</f>
        <v>0.6167111</v>
      </c>
      <c r="W527" s="14">
        <f t="shared" ref="W527:W529" si="1581">(S527*D527)/100000</f>
        <v>1.5502646</v>
      </c>
      <c r="X527" s="13"/>
      <c r="Y527" s="13"/>
      <c r="Z527" s="13" t="str">
        <f t="shared" ref="Z527:Z528" si="1582">ROUND(F527, 0) &amp; " (" &amp; ROUND(H527, 0) &amp; "-" &amp; ROUND(J527, 0) &amp; ")"</f>
        <v>1 (1-2)</v>
      </c>
      <c r="AA527" s="13" t="str">
        <f t="shared" ref="AA527:AA528" si="1583">ROUND(L527, 0) &amp; " (" &amp; ROUND(M527, 0) &amp; "-" &amp; ROUND(N527, 0) &amp; ")"</f>
        <v>133 (31-56)</v>
      </c>
      <c r="AB527" s="13" t="str">
        <f t="shared" ref="AB527:AB528" si="1584">ROUND(O527, 0) &amp; " (" &amp; ROUND(Q527, 0) &amp; "-" &amp; ROUND(S527, 0) &amp; ")"</f>
        <v>2 (1-3)</v>
      </c>
      <c r="AC527" s="13" t="str">
        <f t="shared" ref="AC527:AC528" si="1585">ROUND(U527, 0) &amp; " (" &amp; ROUND(V527, 0) &amp; "-" &amp; ROUND(W527, 0) &amp; ")"</f>
        <v>1 (1-2)</v>
      </c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 hidden="1">
      <c r="A528" s="24" t="s">
        <v>27</v>
      </c>
      <c r="B528" s="16" t="s">
        <v>160</v>
      </c>
      <c r="C528" s="23">
        <v>2040.0</v>
      </c>
      <c r="D528" s="17">
        <f>29420+27847</f>
        <v>57267</v>
      </c>
      <c r="E528" s="10">
        <v>5710872.0</v>
      </c>
      <c r="F528" s="19">
        <v>1.36</v>
      </c>
      <c r="G528" s="10">
        <f t="shared" si="1"/>
        <v>77.6678592</v>
      </c>
      <c r="H528" s="19">
        <v>0.99</v>
      </c>
      <c r="I528" s="8">
        <f t="shared" si="2"/>
        <v>56.5376328</v>
      </c>
      <c r="J528" s="19">
        <v>1.79</v>
      </c>
      <c r="K528" s="11">
        <f t="shared" si="3"/>
        <v>102.2246088</v>
      </c>
      <c r="L528" s="11">
        <f t="shared" si="13"/>
        <v>135.6241102</v>
      </c>
      <c r="M528" s="11">
        <f t="shared" si="1577"/>
        <v>32.37740618</v>
      </c>
      <c r="N528" s="11">
        <f t="shared" si="1578"/>
        <v>58.54096672</v>
      </c>
      <c r="O528" s="19">
        <v>1.76</v>
      </c>
      <c r="P528" s="19"/>
      <c r="Q528" s="19">
        <v>1.09</v>
      </c>
      <c r="R528" s="19"/>
      <c r="S528" s="19">
        <v>2.74</v>
      </c>
      <c r="T528" s="14"/>
      <c r="U528" s="14">
        <f t="shared" si="1579"/>
        <v>1.0078992</v>
      </c>
      <c r="V528" s="14">
        <f t="shared" si="1580"/>
        <v>0.6242103</v>
      </c>
      <c r="W528" s="14">
        <f t="shared" si="1581"/>
        <v>1.5691158</v>
      </c>
      <c r="X528" s="13"/>
      <c r="Y528" s="13"/>
      <c r="Z528" s="13" t="str">
        <f t="shared" si="1582"/>
        <v>1 (1-2)</v>
      </c>
      <c r="AA528" s="13" t="str">
        <f t="shared" si="1583"/>
        <v>136 (32-59)</v>
      </c>
      <c r="AB528" s="13" t="str">
        <f t="shared" si="1584"/>
        <v>2 (1-3)</v>
      </c>
      <c r="AC528" s="13" t="str">
        <f t="shared" si="1585"/>
        <v>1 (1-2)</v>
      </c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 hidden="1">
      <c r="A529" s="24" t="s">
        <v>29</v>
      </c>
      <c r="B529" s="16" t="s">
        <v>160</v>
      </c>
      <c r="C529" s="23">
        <v>2050.0</v>
      </c>
      <c r="D529" s="17">
        <f>29023+27470</f>
        <v>56493</v>
      </c>
      <c r="E529" s="10">
        <v>5838680.0</v>
      </c>
      <c r="F529" s="19">
        <v>1.36</v>
      </c>
      <c r="G529" s="10">
        <f t="shared" si="1"/>
        <v>79.406048</v>
      </c>
      <c r="H529" s="19">
        <v>0.99</v>
      </c>
      <c r="I529" s="8">
        <f t="shared" si="2"/>
        <v>57.802932</v>
      </c>
      <c r="J529" s="19">
        <v>1.79</v>
      </c>
      <c r="K529" s="11">
        <f t="shared" si="3"/>
        <v>104.512372</v>
      </c>
      <c r="L529" s="11">
        <f t="shared" si="13"/>
        <v>140.5590923</v>
      </c>
      <c r="M529" s="11">
        <f t="shared" si="1577"/>
        <v>32.65461037</v>
      </c>
      <c r="N529" s="11">
        <f t="shared" si="1578"/>
        <v>59.04217431</v>
      </c>
      <c r="O529" s="19">
        <v>1.76</v>
      </c>
      <c r="P529" s="8">
        <f t="shared" ref="P529:P530" si="1586">(O529/100000)*E529</f>
        <v>102.760768</v>
      </c>
      <c r="Q529" s="19">
        <v>1.09</v>
      </c>
      <c r="R529" s="8">
        <f t="shared" ref="R529:R530" si="1587">(Q529/100000)*E529</f>
        <v>63.641612</v>
      </c>
      <c r="S529" s="19">
        <v>2.74</v>
      </c>
      <c r="T529" s="11">
        <f t="shared" ref="T529:T530" si="1588">(S529/100000)*E529</f>
        <v>159.979832</v>
      </c>
      <c r="U529" s="14">
        <f t="shared" si="1579"/>
        <v>0.9942768</v>
      </c>
      <c r="V529" s="14">
        <f t="shared" si="1580"/>
        <v>0.6157737</v>
      </c>
      <c r="W529" s="14">
        <f t="shared" si="1581"/>
        <v>1.5479082</v>
      </c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>
      <c r="A530" s="24" t="s">
        <v>23</v>
      </c>
      <c r="B530" s="16" t="s">
        <v>161</v>
      </c>
      <c r="C530" s="20">
        <v>2021.0</v>
      </c>
      <c r="D530" s="17">
        <f>3271+3032.5</f>
        <v>6303.5</v>
      </c>
      <c r="E530" s="18">
        <v>451721.0</v>
      </c>
      <c r="F530" s="19">
        <v>2.52</v>
      </c>
      <c r="G530" s="10">
        <f t="shared" si="1"/>
        <v>11.3833692</v>
      </c>
      <c r="H530" s="19">
        <v>1.72</v>
      </c>
      <c r="I530" s="8">
        <f t="shared" si="2"/>
        <v>7.7696012</v>
      </c>
      <c r="J530" s="19">
        <v>3.45</v>
      </c>
      <c r="K530" s="11">
        <f t="shared" si="3"/>
        <v>15.5843745</v>
      </c>
      <c r="L530" s="11">
        <f t="shared" si="13"/>
        <v>180.5880733</v>
      </c>
      <c r="M530" s="12">
        <f>(I530/D530)*100000</f>
        <v>123.2585262</v>
      </c>
      <c r="N530" s="11">
        <f>(K530/D530)*100000</f>
        <v>247.2336718</v>
      </c>
      <c r="O530" s="19">
        <v>2.52</v>
      </c>
      <c r="P530" s="8">
        <f t="shared" si="1586"/>
        <v>11.3833692</v>
      </c>
      <c r="Q530" s="19">
        <v>1.53</v>
      </c>
      <c r="R530" s="8">
        <f t="shared" si="1587"/>
        <v>6.9113313</v>
      </c>
      <c r="S530" s="19">
        <v>3.95</v>
      </c>
      <c r="T530" s="11">
        <f t="shared" si="1588"/>
        <v>17.8429795</v>
      </c>
      <c r="U530" s="11">
        <f>(P530/D530)*100000</f>
        <v>180.5880733</v>
      </c>
      <c r="V530" s="11">
        <f>(R530/D530)*100000</f>
        <v>109.6427588</v>
      </c>
      <c r="W530" s="11">
        <f>(T530/D530)*100000</f>
        <v>283.0646387</v>
      </c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 hidden="1">
      <c r="A531" s="24" t="s">
        <v>25</v>
      </c>
      <c r="B531" s="16" t="s">
        <v>161</v>
      </c>
      <c r="C531" s="23">
        <v>2030.0</v>
      </c>
      <c r="D531" s="17">
        <f>2943+2745</f>
        <v>5688</v>
      </c>
      <c r="E531" s="10">
        <v>482447.0</v>
      </c>
      <c r="F531" s="19">
        <v>2.52</v>
      </c>
      <c r="G531" s="10">
        <f t="shared" si="1"/>
        <v>12.1576644</v>
      </c>
      <c r="H531" s="19">
        <v>1.72</v>
      </c>
      <c r="I531" s="8">
        <f t="shared" si="2"/>
        <v>8.2980884</v>
      </c>
      <c r="J531" s="19">
        <v>3.45</v>
      </c>
      <c r="K531" s="11">
        <f t="shared" si="3"/>
        <v>16.6444215</v>
      </c>
      <c r="L531" s="11">
        <f t="shared" si="13"/>
        <v>213.7423418</v>
      </c>
      <c r="M531" s="11">
        <f t="shared" ref="M531:M533" si="1589">(I531*D531)/100000</f>
        <v>0.4719952682</v>
      </c>
      <c r="N531" s="11">
        <f t="shared" ref="N531:N533" si="1590">(K531*D531)/100000</f>
        <v>0.9467346949</v>
      </c>
      <c r="O531" s="19">
        <v>2.52</v>
      </c>
      <c r="P531" s="19"/>
      <c r="Q531" s="19">
        <v>1.53</v>
      </c>
      <c r="R531" s="19"/>
      <c r="S531" s="19">
        <v>3.95</v>
      </c>
      <c r="T531" s="14"/>
      <c r="U531" s="14">
        <f t="shared" ref="U531:U533" si="1591">(O531*D531)/100000</f>
        <v>0.1433376</v>
      </c>
      <c r="V531" s="14">
        <f t="shared" ref="V531:V533" si="1592">(Q531*D531)/100000</f>
        <v>0.0870264</v>
      </c>
      <c r="W531" s="14">
        <f t="shared" ref="W531:W533" si="1593">(S531*D531)/100000</f>
        <v>0.224676</v>
      </c>
      <c r="X531" s="13"/>
      <c r="Y531" s="13"/>
      <c r="Z531" s="13" t="str">
        <f t="shared" ref="Z531:Z532" si="1594">ROUND(F531, 0) &amp; " (" &amp; ROUND(H531, 0) &amp; "-" &amp; ROUND(J531, 0) &amp; ")"</f>
        <v>3 (2-3)</v>
      </c>
      <c r="AA531" s="13" t="str">
        <f t="shared" ref="AA531:AA532" si="1595">ROUND(L531, 0) &amp; " (" &amp; ROUND(M531, 0) &amp; "-" &amp; ROUND(N531, 0) &amp; ")"</f>
        <v>214 (0-1)</v>
      </c>
      <c r="AB531" s="13" t="str">
        <f t="shared" ref="AB531:AB532" si="1596">ROUND(O531, 0) &amp; " (" &amp; ROUND(Q531, 0) &amp; "-" &amp; ROUND(S531, 0) &amp; ")"</f>
        <v>3 (2-4)</v>
      </c>
      <c r="AC531" s="13" t="str">
        <f t="shared" ref="AC531:AC532" si="1597">ROUND(U531, 0) &amp; " (" &amp; ROUND(V531, 0) &amp; "-" &amp; ROUND(W531, 0) &amp; ")"</f>
        <v>0 (0-0)</v>
      </c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 hidden="1">
      <c r="A532" s="24" t="s">
        <v>27</v>
      </c>
      <c r="B532" s="16" t="s">
        <v>161</v>
      </c>
      <c r="C532" s="23">
        <v>2040.0</v>
      </c>
      <c r="D532" s="17">
        <f>2764+2581</f>
        <v>5345</v>
      </c>
      <c r="E532" s="10">
        <v>505976.0</v>
      </c>
      <c r="F532" s="19">
        <v>2.52</v>
      </c>
      <c r="G532" s="10">
        <f t="shared" si="1"/>
        <v>12.7505952</v>
      </c>
      <c r="H532" s="19">
        <v>1.72</v>
      </c>
      <c r="I532" s="8">
        <f t="shared" si="2"/>
        <v>8.7027872</v>
      </c>
      <c r="J532" s="19">
        <v>3.45</v>
      </c>
      <c r="K532" s="11">
        <f t="shared" si="3"/>
        <v>17.456172</v>
      </c>
      <c r="L532" s="11">
        <f t="shared" si="13"/>
        <v>238.5518279</v>
      </c>
      <c r="M532" s="11">
        <f t="shared" si="1589"/>
        <v>0.4651639758</v>
      </c>
      <c r="N532" s="11">
        <f t="shared" si="1590"/>
        <v>0.9330323934</v>
      </c>
      <c r="O532" s="19">
        <v>2.52</v>
      </c>
      <c r="P532" s="19"/>
      <c r="Q532" s="19">
        <v>1.53</v>
      </c>
      <c r="R532" s="19"/>
      <c r="S532" s="19">
        <v>3.95</v>
      </c>
      <c r="T532" s="14"/>
      <c r="U532" s="14">
        <f t="shared" si="1591"/>
        <v>0.134694</v>
      </c>
      <c r="V532" s="14">
        <f t="shared" si="1592"/>
        <v>0.0817785</v>
      </c>
      <c r="W532" s="14">
        <f t="shared" si="1593"/>
        <v>0.2111275</v>
      </c>
      <c r="X532" s="13"/>
      <c r="Y532" s="13"/>
      <c r="Z532" s="13" t="str">
        <f t="shared" si="1594"/>
        <v>3 (2-3)</v>
      </c>
      <c r="AA532" s="13" t="str">
        <f t="shared" si="1595"/>
        <v>239 (0-1)</v>
      </c>
      <c r="AB532" s="13" t="str">
        <f t="shared" si="1596"/>
        <v>3 (2-4)</v>
      </c>
      <c r="AC532" s="13" t="str">
        <f t="shared" si="1597"/>
        <v>0 (0-0)</v>
      </c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</row>
    <row r="533" hidden="1">
      <c r="A533" s="24" t="s">
        <v>29</v>
      </c>
      <c r="B533" s="16" t="s">
        <v>161</v>
      </c>
      <c r="C533" s="23">
        <v>2050.0</v>
      </c>
      <c r="D533" s="17">
        <f>2734+2554</f>
        <v>5288</v>
      </c>
      <c r="E533" s="10">
        <v>519551.0</v>
      </c>
      <c r="F533" s="19">
        <v>2.52</v>
      </c>
      <c r="G533" s="10">
        <f t="shared" si="1"/>
        <v>13.0926852</v>
      </c>
      <c r="H533" s="19">
        <v>1.72</v>
      </c>
      <c r="I533" s="8">
        <f t="shared" si="2"/>
        <v>8.9362772</v>
      </c>
      <c r="J533" s="19">
        <v>3.45</v>
      </c>
      <c r="K533" s="11">
        <f t="shared" si="3"/>
        <v>17.9245095</v>
      </c>
      <c r="L533" s="11">
        <f t="shared" si="13"/>
        <v>247.5923828</v>
      </c>
      <c r="M533" s="11">
        <f t="shared" si="1589"/>
        <v>0.4725503383</v>
      </c>
      <c r="N533" s="11">
        <f t="shared" si="1590"/>
        <v>0.9478480624</v>
      </c>
      <c r="O533" s="19">
        <v>2.52</v>
      </c>
      <c r="P533" s="8">
        <f t="shared" ref="P533:P534" si="1598">(O533/100000)*E533</f>
        <v>13.0926852</v>
      </c>
      <c r="Q533" s="19">
        <v>1.53</v>
      </c>
      <c r="R533" s="8">
        <f t="shared" ref="R533:R534" si="1599">(Q533/100000)*E533</f>
        <v>7.9491303</v>
      </c>
      <c r="S533" s="19">
        <v>3.95</v>
      </c>
      <c r="T533" s="11">
        <f t="shared" ref="T533:T534" si="1600">(S533/100000)*E533</f>
        <v>20.5222645</v>
      </c>
      <c r="U533" s="14">
        <f t="shared" si="1591"/>
        <v>0.1332576</v>
      </c>
      <c r="V533" s="14">
        <f t="shared" si="1592"/>
        <v>0.0809064</v>
      </c>
      <c r="W533" s="14">
        <f t="shared" si="1593"/>
        <v>0.208876</v>
      </c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>
      <c r="A534" s="24" t="s">
        <v>23</v>
      </c>
      <c r="B534" s="16" t="s">
        <v>162</v>
      </c>
      <c r="C534" s="20">
        <v>2021.0</v>
      </c>
      <c r="D534" s="17">
        <f>422494+401968</f>
        <v>824462</v>
      </c>
      <c r="E534" s="18">
        <v>1.25681593E8</v>
      </c>
      <c r="F534" s="19">
        <v>1.19</v>
      </c>
      <c r="G534" s="10">
        <f t="shared" si="1"/>
        <v>1495.610957</v>
      </c>
      <c r="H534" s="19">
        <v>0.79</v>
      </c>
      <c r="I534" s="8">
        <f t="shared" si="2"/>
        <v>992.8845847</v>
      </c>
      <c r="J534" s="19">
        <v>1.62</v>
      </c>
      <c r="K534" s="11">
        <f t="shared" si="3"/>
        <v>2036.041807</v>
      </c>
      <c r="L534" s="11">
        <f t="shared" si="13"/>
        <v>181.4044743</v>
      </c>
      <c r="M534" s="12">
        <f>(I534/D534)*100000</f>
        <v>120.4281804</v>
      </c>
      <c r="N534" s="11">
        <f>(K534/D534)*100000</f>
        <v>246.9539902</v>
      </c>
      <c r="O534" s="19">
        <v>2.96</v>
      </c>
      <c r="P534" s="8">
        <f t="shared" si="1598"/>
        <v>3720.175153</v>
      </c>
      <c r="Q534" s="19">
        <v>1.83</v>
      </c>
      <c r="R534" s="8">
        <f t="shared" si="1599"/>
        <v>2299.973152</v>
      </c>
      <c r="S534" s="19">
        <v>4.52</v>
      </c>
      <c r="T534" s="11">
        <f t="shared" si="1600"/>
        <v>5680.808004</v>
      </c>
      <c r="U534" s="11">
        <f>(P534/D534)*100000</f>
        <v>451.2245747</v>
      </c>
      <c r="V534" s="11">
        <f>(R534/D534)*100000</f>
        <v>278.9665445</v>
      </c>
      <c r="W534" s="11">
        <f>(T534/D534)*100000</f>
        <v>689.0321208</v>
      </c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 hidden="1">
      <c r="A535" s="24" t="s">
        <v>25</v>
      </c>
      <c r="B535" s="16" t="s">
        <v>162</v>
      </c>
      <c r="C535" s="23">
        <v>2030.0</v>
      </c>
      <c r="D535" s="17">
        <f>385102+367261</f>
        <v>752363</v>
      </c>
      <c r="E535" s="10">
        <v>1.19141136E8</v>
      </c>
      <c r="F535" s="19">
        <v>1.19</v>
      </c>
      <c r="G535" s="10">
        <f t="shared" si="1"/>
        <v>1417.779518</v>
      </c>
      <c r="H535" s="19">
        <v>0.79</v>
      </c>
      <c r="I535" s="8">
        <f t="shared" si="2"/>
        <v>941.2149744</v>
      </c>
      <c r="J535" s="19">
        <v>1.62</v>
      </c>
      <c r="K535" s="11">
        <f t="shared" si="3"/>
        <v>1930.086403</v>
      </c>
      <c r="L535" s="11">
        <f t="shared" si="13"/>
        <v>188.4435463</v>
      </c>
      <c r="M535" s="11">
        <f t="shared" ref="M535:M537" si="1601">(I535*D535)/100000</f>
        <v>7081.353218</v>
      </c>
      <c r="N535" s="11">
        <f t="shared" ref="N535:N537" si="1602">(K535*D535)/100000</f>
        <v>14521.25597</v>
      </c>
      <c r="O535" s="19">
        <v>2.96</v>
      </c>
      <c r="P535" s="19"/>
      <c r="Q535" s="19">
        <v>1.83</v>
      </c>
      <c r="R535" s="19"/>
      <c r="S535" s="19">
        <v>4.52</v>
      </c>
      <c r="T535" s="14"/>
      <c r="U535" s="14">
        <f t="shared" ref="U535:U537" si="1603">(O535*D535)/100000</f>
        <v>22.2699448</v>
      </c>
      <c r="V535" s="14">
        <f t="shared" ref="V535:V537" si="1604">(Q535*D535)/100000</f>
        <v>13.7682429</v>
      </c>
      <c r="W535" s="14">
        <f t="shared" ref="W535:W537" si="1605">(S535*D535)/100000</f>
        <v>34.0068076</v>
      </c>
      <c r="X535" s="13"/>
      <c r="Y535" s="13"/>
      <c r="Z535" s="13" t="str">
        <f t="shared" ref="Z535:Z536" si="1606">ROUND(F535, 0) &amp; " (" &amp; ROUND(H535, 0) &amp; "-" &amp; ROUND(J535, 0) &amp; ")"</f>
        <v>1 (1-2)</v>
      </c>
      <c r="AA535" s="13" t="str">
        <f t="shared" ref="AA535:AA536" si="1607">ROUND(L535, 0) &amp; " (" &amp; ROUND(M535, 0) &amp; "-" &amp; ROUND(N535, 0) &amp; ")"</f>
        <v>188 (7081-14521)</v>
      </c>
      <c r="AB535" s="13" t="str">
        <f t="shared" ref="AB535:AB536" si="1608">ROUND(O535, 0) &amp; " (" &amp; ROUND(Q535, 0) &amp; "-" &amp; ROUND(S535, 0) &amp; ")"</f>
        <v>3 (2-5)</v>
      </c>
      <c r="AC535" s="13" t="str">
        <f t="shared" ref="AC535:AC536" si="1609">ROUND(U535, 0) &amp; " (" &amp; ROUND(V535, 0) &amp; "-" &amp; ROUND(W535, 0) &amp; ")"</f>
        <v>22 (14-34)</v>
      </c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 hidden="1">
      <c r="A536" s="24" t="s">
        <v>27</v>
      </c>
      <c r="B536" s="16" t="s">
        <v>162</v>
      </c>
      <c r="C536" s="23">
        <v>2040.0</v>
      </c>
      <c r="D536" s="17">
        <f>404952+386198</f>
        <v>791150</v>
      </c>
      <c r="E536" s="10">
        <v>1.1158116E8</v>
      </c>
      <c r="F536" s="19">
        <v>1.19</v>
      </c>
      <c r="G536" s="10">
        <f t="shared" si="1"/>
        <v>1327.815804</v>
      </c>
      <c r="H536" s="19">
        <v>0.79</v>
      </c>
      <c r="I536" s="8">
        <f t="shared" si="2"/>
        <v>881.491164</v>
      </c>
      <c r="J536" s="19">
        <v>1.62</v>
      </c>
      <c r="K536" s="11">
        <f t="shared" si="3"/>
        <v>1807.614792</v>
      </c>
      <c r="L536" s="11">
        <f t="shared" si="13"/>
        <v>167.8336351</v>
      </c>
      <c r="M536" s="11">
        <f t="shared" si="1601"/>
        <v>6973.917344</v>
      </c>
      <c r="N536" s="11">
        <f t="shared" si="1602"/>
        <v>14300.94443</v>
      </c>
      <c r="O536" s="19">
        <v>2.96</v>
      </c>
      <c r="P536" s="19"/>
      <c r="Q536" s="19">
        <v>1.83</v>
      </c>
      <c r="R536" s="19"/>
      <c r="S536" s="19">
        <v>4.52</v>
      </c>
      <c r="T536" s="14"/>
      <c r="U536" s="14">
        <f t="shared" si="1603"/>
        <v>23.41804</v>
      </c>
      <c r="V536" s="14">
        <f t="shared" si="1604"/>
        <v>14.478045</v>
      </c>
      <c r="W536" s="14">
        <f t="shared" si="1605"/>
        <v>35.75998</v>
      </c>
      <c r="X536" s="13"/>
      <c r="Y536" s="13"/>
      <c r="Z536" s="13" t="str">
        <f t="shared" si="1606"/>
        <v>1 (1-2)</v>
      </c>
      <c r="AA536" s="13" t="str">
        <f t="shared" si="1607"/>
        <v>168 (6974-14301)</v>
      </c>
      <c r="AB536" s="13" t="str">
        <f t="shared" si="1608"/>
        <v>3 (2-5)</v>
      </c>
      <c r="AC536" s="13" t="str">
        <f t="shared" si="1609"/>
        <v>23 (14-36)</v>
      </c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 hidden="1">
      <c r="A537" s="24" t="s">
        <v>29</v>
      </c>
      <c r="B537" s="16" t="s">
        <v>162</v>
      </c>
      <c r="C537" s="23">
        <v>2050.0</v>
      </c>
      <c r="D537" s="17">
        <f>376549+359222</f>
        <v>735771</v>
      </c>
      <c r="E537" s="10">
        <v>1.05025984E8</v>
      </c>
      <c r="F537" s="19">
        <v>1.19</v>
      </c>
      <c r="G537" s="10">
        <f t="shared" si="1"/>
        <v>1249.80921</v>
      </c>
      <c r="H537" s="19">
        <v>0.79</v>
      </c>
      <c r="I537" s="8">
        <f t="shared" si="2"/>
        <v>829.7052736</v>
      </c>
      <c r="J537" s="19">
        <v>1.62</v>
      </c>
      <c r="K537" s="11">
        <f t="shared" si="3"/>
        <v>1701.420941</v>
      </c>
      <c r="L537" s="11">
        <f t="shared" si="13"/>
        <v>169.8638856</v>
      </c>
      <c r="M537" s="11">
        <f t="shared" si="1601"/>
        <v>6104.730789</v>
      </c>
      <c r="N537" s="11">
        <f t="shared" si="1602"/>
        <v>12518.56187</v>
      </c>
      <c r="O537" s="19">
        <v>2.96</v>
      </c>
      <c r="P537" s="8">
        <f t="shared" ref="P537:P538" si="1610">(O537/100000)*E537</f>
        <v>3108.769126</v>
      </c>
      <c r="Q537" s="19">
        <v>1.83</v>
      </c>
      <c r="R537" s="8">
        <f t="shared" ref="R537:R538" si="1611">(Q537/100000)*E537</f>
        <v>1921.975507</v>
      </c>
      <c r="S537" s="19">
        <v>4.52</v>
      </c>
      <c r="T537" s="11">
        <f t="shared" ref="T537:T538" si="1612">(S537/100000)*E537</f>
        <v>4747.174477</v>
      </c>
      <c r="U537" s="14">
        <f t="shared" si="1603"/>
        <v>21.7788216</v>
      </c>
      <c r="V537" s="14">
        <f t="shared" si="1604"/>
        <v>13.4646093</v>
      </c>
      <c r="W537" s="14">
        <f t="shared" si="1605"/>
        <v>33.2568492</v>
      </c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>
      <c r="A538" s="24" t="s">
        <v>23</v>
      </c>
      <c r="B538" s="16" t="s">
        <v>163</v>
      </c>
      <c r="C538" s="20">
        <v>2021.0</v>
      </c>
      <c r="D538" s="17">
        <f>135411.5+128125.5</f>
        <v>263537</v>
      </c>
      <c r="E538" s="18">
        <v>5.1769539E7</v>
      </c>
      <c r="F538" s="19">
        <v>1.09</v>
      </c>
      <c r="G538" s="10">
        <f t="shared" si="1"/>
        <v>564.2879751</v>
      </c>
      <c r="H538" s="19">
        <v>0.71</v>
      </c>
      <c r="I538" s="8">
        <f t="shared" si="2"/>
        <v>367.5637269</v>
      </c>
      <c r="J538" s="19">
        <v>1.5</v>
      </c>
      <c r="K538" s="11">
        <f t="shared" si="3"/>
        <v>776.543085</v>
      </c>
      <c r="L538" s="11">
        <f t="shared" si="13"/>
        <v>214.1209679</v>
      </c>
      <c r="M538" s="12">
        <f>(I538/D538)*100000</f>
        <v>139.473291</v>
      </c>
      <c r="N538" s="11">
        <f>(K538/D538)*100000</f>
        <v>294.6618824</v>
      </c>
      <c r="O538" s="19">
        <v>3.08</v>
      </c>
      <c r="P538" s="8">
        <f t="shared" si="1610"/>
        <v>1594.501801</v>
      </c>
      <c r="Q538" s="19">
        <v>1.85</v>
      </c>
      <c r="R538" s="8">
        <f t="shared" si="1611"/>
        <v>957.7364715</v>
      </c>
      <c r="S538" s="19">
        <v>4.79</v>
      </c>
      <c r="T538" s="11">
        <f t="shared" si="1612"/>
        <v>2479.760918</v>
      </c>
      <c r="U538" s="11">
        <f>(P538/D538)*100000</f>
        <v>605.0390652</v>
      </c>
      <c r="V538" s="11">
        <f>(R538/D538)*100000</f>
        <v>363.4163216</v>
      </c>
      <c r="W538" s="11">
        <f>(T538/D538)*100000</f>
        <v>940.9536111</v>
      </c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 hidden="1">
      <c r="A539" s="24" t="s">
        <v>25</v>
      </c>
      <c r="B539" s="16" t="s">
        <v>163</v>
      </c>
      <c r="C539" s="23">
        <v>2030.0</v>
      </c>
      <c r="D539" s="17">
        <f>132862+125583</f>
        <v>258445</v>
      </c>
      <c r="E539" s="10">
        <v>5.1023284E7</v>
      </c>
      <c r="F539" s="19">
        <v>1.09</v>
      </c>
      <c r="G539" s="10">
        <f t="shared" si="1"/>
        <v>556.1537956</v>
      </c>
      <c r="H539" s="19">
        <v>0.71</v>
      </c>
      <c r="I539" s="8">
        <f t="shared" si="2"/>
        <v>362.2653164</v>
      </c>
      <c r="J539" s="19">
        <v>1.5</v>
      </c>
      <c r="K539" s="11">
        <f t="shared" si="3"/>
        <v>765.34926</v>
      </c>
      <c r="L539" s="11">
        <f t="shared" si="13"/>
        <v>215.1923216</v>
      </c>
      <c r="M539" s="11">
        <f t="shared" ref="M539:M541" si="1613">(I539*D539)/100000</f>
        <v>936.256597</v>
      </c>
      <c r="N539" s="11">
        <f t="shared" ref="N539:N541" si="1614">(K539*D539)/100000</f>
        <v>1978.006895</v>
      </c>
      <c r="O539" s="19">
        <v>3.08</v>
      </c>
      <c r="P539" s="19"/>
      <c r="Q539" s="19">
        <v>1.85</v>
      </c>
      <c r="R539" s="19"/>
      <c r="S539" s="19">
        <v>4.79</v>
      </c>
      <c r="T539" s="14"/>
      <c r="U539" s="14">
        <f t="shared" ref="U539:U541" si="1615">(O539*D539)/100000</f>
        <v>7.960106</v>
      </c>
      <c r="V539" s="14">
        <f t="shared" ref="V539:V541" si="1616">(Q539*D539)/100000</f>
        <v>4.7812325</v>
      </c>
      <c r="W539" s="14">
        <f t="shared" ref="W539:W541" si="1617">(S539*D539)/100000</f>
        <v>12.3795155</v>
      </c>
      <c r="X539" s="13"/>
      <c r="Y539" s="13"/>
      <c r="Z539" s="13" t="str">
        <f t="shared" ref="Z539:Z540" si="1618">ROUND(F539, 0) &amp; " (" &amp; ROUND(H539, 0) &amp; "-" &amp; ROUND(J539, 0) &amp; ")"</f>
        <v>1 (1-2)</v>
      </c>
      <c r="AA539" s="13" t="str">
        <f t="shared" ref="AA539:AA540" si="1619">ROUND(L539, 0) &amp; " (" &amp; ROUND(M539, 0) &amp; "-" &amp; ROUND(N539, 0) &amp; ")"</f>
        <v>215 (936-1978)</v>
      </c>
      <c r="AB539" s="13" t="str">
        <f t="shared" ref="AB539:AB540" si="1620">ROUND(O539, 0) &amp; " (" &amp; ROUND(Q539, 0) &amp; "-" &amp; ROUND(S539, 0) &amp; ")"</f>
        <v>3 (2-5)</v>
      </c>
      <c r="AC539" s="13" t="str">
        <f t="shared" ref="AC539:AC540" si="1621">ROUND(U539, 0) &amp; " (" &amp; ROUND(V539, 0) &amp; "-" &amp; ROUND(W539, 0) &amp; ")"</f>
        <v>8 (5-12)</v>
      </c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 hidden="1">
      <c r="A540" s="24" t="s">
        <v>27</v>
      </c>
      <c r="B540" s="16" t="s">
        <v>163</v>
      </c>
      <c r="C540" s="23">
        <v>2040.0</v>
      </c>
      <c r="D540" s="17">
        <f>121507+114750</f>
        <v>236257</v>
      </c>
      <c r="E540" s="10">
        <v>4.8574336E7</v>
      </c>
      <c r="F540" s="19">
        <v>1.09</v>
      </c>
      <c r="G540" s="10">
        <f t="shared" si="1"/>
        <v>529.4602624</v>
      </c>
      <c r="H540" s="19">
        <v>0.71</v>
      </c>
      <c r="I540" s="8">
        <f t="shared" si="2"/>
        <v>344.8777856</v>
      </c>
      <c r="J540" s="19">
        <v>1.5</v>
      </c>
      <c r="K540" s="11">
        <f t="shared" si="3"/>
        <v>728.61504</v>
      </c>
      <c r="L540" s="11">
        <f t="shared" si="13"/>
        <v>224.1035239</v>
      </c>
      <c r="M540" s="11">
        <f t="shared" si="1613"/>
        <v>814.7979099</v>
      </c>
      <c r="N540" s="11">
        <f t="shared" si="1614"/>
        <v>1721.404035</v>
      </c>
      <c r="O540" s="19">
        <v>3.08</v>
      </c>
      <c r="P540" s="19"/>
      <c r="Q540" s="19">
        <v>1.85</v>
      </c>
      <c r="R540" s="19"/>
      <c r="S540" s="19">
        <v>4.79</v>
      </c>
      <c r="T540" s="14"/>
      <c r="U540" s="14">
        <f t="shared" si="1615"/>
        <v>7.2767156</v>
      </c>
      <c r="V540" s="14">
        <f t="shared" si="1616"/>
        <v>4.3707545</v>
      </c>
      <c r="W540" s="14">
        <f t="shared" si="1617"/>
        <v>11.3167103</v>
      </c>
      <c r="X540" s="13"/>
      <c r="Y540" s="13"/>
      <c r="Z540" s="13" t="str">
        <f t="shared" si="1618"/>
        <v>1 (1-2)</v>
      </c>
      <c r="AA540" s="13" t="str">
        <f t="shared" si="1619"/>
        <v>224 (815-1721)</v>
      </c>
      <c r="AB540" s="13" t="str">
        <f t="shared" si="1620"/>
        <v>3 (2-5)</v>
      </c>
      <c r="AC540" s="13" t="str">
        <f t="shared" si="1621"/>
        <v>7 (4-11)</v>
      </c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hidden="1">
      <c r="A541" s="24" t="s">
        <v>29</v>
      </c>
      <c r="B541" s="16" t="s">
        <v>163</v>
      </c>
      <c r="C541" s="23">
        <v>2050.0</v>
      </c>
      <c r="D541" s="17">
        <f>110538+104399</f>
        <v>214937</v>
      </c>
      <c r="E541" s="10">
        <v>4.4434192E7</v>
      </c>
      <c r="F541" s="19">
        <v>1.09</v>
      </c>
      <c r="G541" s="10">
        <f t="shared" si="1"/>
        <v>484.3326928</v>
      </c>
      <c r="H541" s="19">
        <v>0.71</v>
      </c>
      <c r="I541" s="8">
        <f t="shared" si="2"/>
        <v>315.4827632</v>
      </c>
      <c r="J541" s="19">
        <v>1.5</v>
      </c>
      <c r="K541" s="11">
        <f t="shared" si="3"/>
        <v>666.51288</v>
      </c>
      <c r="L541" s="11">
        <f t="shared" si="13"/>
        <v>225.3370489</v>
      </c>
      <c r="M541" s="11">
        <f t="shared" si="1613"/>
        <v>678.0891867</v>
      </c>
      <c r="N541" s="11">
        <f t="shared" si="1614"/>
        <v>1432.582789</v>
      </c>
      <c r="O541" s="19">
        <v>3.08</v>
      </c>
      <c r="P541" s="8">
        <f t="shared" ref="P541:P542" si="1622">(O541/100000)*E541</f>
        <v>1368.573114</v>
      </c>
      <c r="Q541" s="19">
        <v>1.85</v>
      </c>
      <c r="R541" s="8">
        <f t="shared" ref="R541:R542" si="1623">(Q541/100000)*E541</f>
        <v>822.032552</v>
      </c>
      <c r="S541" s="19">
        <v>4.79</v>
      </c>
      <c r="T541" s="11">
        <f t="shared" ref="T541:T542" si="1624">(S541/100000)*E541</f>
        <v>2128.397797</v>
      </c>
      <c r="U541" s="14">
        <f t="shared" si="1615"/>
        <v>6.6200596</v>
      </c>
      <c r="V541" s="14">
        <f t="shared" si="1616"/>
        <v>3.9763345</v>
      </c>
      <c r="W541" s="14">
        <f t="shared" si="1617"/>
        <v>10.2954823</v>
      </c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>
      <c r="A542" s="24" t="s">
        <v>23</v>
      </c>
      <c r="B542" s="16" t="s">
        <v>164</v>
      </c>
      <c r="C542" s="20">
        <v>2021.0</v>
      </c>
      <c r="D542" s="17">
        <f>22884.5+21989.5</f>
        <v>44874</v>
      </c>
      <c r="E542" s="18">
        <v>5453566.0</v>
      </c>
      <c r="F542" s="19">
        <v>1.44</v>
      </c>
      <c r="G542" s="10">
        <f t="shared" si="1"/>
        <v>78.5313504</v>
      </c>
      <c r="H542" s="19">
        <v>0.94</v>
      </c>
      <c r="I542" s="8">
        <f t="shared" si="2"/>
        <v>51.2635204</v>
      </c>
      <c r="J542" s="19">
        <v>1.99</v>
      </c>
      <c r="K542" s="11">
        <f t="shared" si="3"/>
        <v>108.5259634</v>
      </c>
      <c r="L542" s="11">
        <f t="shared" si="13"/>
        <v>175.0041235</v>
      </c>
      <c r="M542" s="12">
        <f>(I542/D542)*100000</f>
        <v>114.2388029</v>
      </c>
      <c r="N542" s="11">
        <f>(K542/D542)*100000</f>
        <v>241.8459763</v>
      </c>
      <c r="O542" s="19">
        <v>2.27</v>
      </c>
      <c r="P542" s="8">
        <f t="shared" si="1622"/>
        <v>123.7959482</v>
      </c>
      <c r="Q542" s="19">
        <v>1.4</v>
      </c>
      <c r="R542" s="8">
        <f t="shared" si="1623"/>
        <v>76.349924</v>
      </c>
      <c r="S542" s="19">
        <v>3.58</v>
      </c>
      <c r="T542" s="11">
        <f t="shared" si="1624"/>
        <v>195.2376628</v>
      </c>
      <c r="U542" s="11">
        <f>(P542/D542)*100000</f>
        <v>275.8745559</v>
      </c>
      <c r="V542" s="11">
        <f>(R542/D542)*100000</f>
        <v>170.1428979</v>
      </c>
      <c r="W542" s="11">
        <f>(T542/D542)*100000</f>
        <v>435.079696</v>
      </c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hidden="1">
      <c r="A543" s="24" t="s">
        <v>25</v>
      </c>
      <c r="B543" s="16" t="s">
        <v>164</v>
      </c>
      <c r="C543" s="23">
        <v>2030.0</v>
      </c>
      <c r="D543" s="17">
        <f>26430+24933</f>
        <v>51363</v>
      </c>
      <c r="E543" s="10">
        <v>6220949.0</v>
      </c>
      <c r="F543" s="19">
        <v>1.44</v>
      </c>
      <c r="G543" s="10">
        <f t="shared" si="1"/>
        <v>89.5816656</v>
      </c>
      <c r="H543" s="19">
        <v>0.94</v>
      </c>
      <c r="I543" s="8">
        <f t="shared" si="2"/>
        <v>58.4769206</v>
      </c>
      <c r="J543" s="19">
        <v>1.99</v>
      </c>
      <c r="K543" s="11">
        <f t="shared" si="3"/>
        <v>123.7968851</v>
      </c>
      <c r="L543" s="11">
        <f t="shared" si="13"/>
        <v>174.4089434</v>
      </c>
      <c r="M543" s="11">
        <f t="shared" ref="M543:M545" si="1625">(I543*D543)/100000</f>
        <v>30.03550073</v>
      </c>
      <c r="N543" s="11">
        <f t="shared" ref="N543:N545" si="1626">(K543*D543)/100000</f>
        <v>63.58579409</v>
      </c>
      <c r="O543" s="19">
        <v>2.27</v>
      </c>
      <c r="P543" s="19"/>
      <c r="Q543" s="19">
        <v>1.4</v>
      </c>
      <c r="R543" s="19"/>
      <c r="S543" s="19">
        <v>3.58</v>
      </c>
      <c r="T543" s="14"/>
      <c r="U543" s="14">
        <f t="shared" ref="U543:U545" si="1627">(O543*D543)/100000</f>
        <v>1.1659401</v>
      </c>
      <c r="V543" s="14">
        <f t="shared" ref="V543:V545" si="1628">(Q543*D543)/100000</f>
        <v>0.719082</v>
      </c>
      <c r="W543" s="14">
        <f t="shared" ref="W543:W545" si="1629">(S543*D543)/100000</f>
        <v>1.8387954</v>
      </c>
      <c r="X543" s="13"/>
      <c r="Y543" s="13"/>
      <c r="Z543" s="13" t="str">
        <f t="shared" ref="Z543:Z544" si="1630">ROUND(F543, 0) &amp; " (" &amp; ROUND(H543, 0) &amp; "-" &amp; ROUND(J543, 0) &amp; ")"</f>
        <v>1 (1-2)</v>
      </c>
      <c r="AA543" s="13" t="str">
        <f t="shared" ref="AA543:AA544" si="1631">ROUND(L543, 0) &amp; " (" &amp; ROUND(M543, 0) &amp; "-" &amp; ROUND(N543, 0) &amp; ")"</f>
        <v>174 (30-64)</v>
      </c>
      <c r="AB543" s="13" t="str">
        <f t="shared" ref="AB543:AB544" si="1632">ROUND(O543, 0) &amp; " (" &amp; ROUND(Q543, 0) &amp; "-" &amp; ROUND(S543, 0) &amp; ")"</f>
        <v>2 (1-4)</v>
      </c>
      <c r="AC543" s="13" t="str">
        <f t="shared" ref="AC543:AC544" si="1633">ROUND(U543, 0) &amp; " (" &amp; ROUND(V543, 0) &amp; "-" &amp; ROUND(W543, 0) &amp; ")"</f>
        <v>1 (1-2)</v>
      </c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hidden="1">
      <c r="A544" s="24" t="s">
        <v>27</v>
      </c>
      <c r="B544" s="16" t="s">
        <v>164</v>
      </c>
      <c r="C544" s="23">
        <v>2040.0</v>
      </c>
      <c r="D544" s="17">
        <f>20167+19016</f>
        <v>39183</v>
      </c>
      <c r="E544" s="10">
        <v>6352645.0</v>
      </c>
      <c r="F544" s="19">
        <v>1.44</v>
      </c>
      <c r="G544" s="10">
        <f t="shared" si="1"/>
        <v>91.478088</v>
      </c>
      <c r="H544" s="19">
        <v>0.94</v>
      </c>
      <c r="I544" s="8">
        <f t="shared" si="2"/>
        <v>59.714863</v>
      </c>
      <c r="J544" s="19">
        <v>1.99</v>
      </c>
      <c r="K544" s="11">
        <f t="shared" si="3"/>
        <v>126.4176355</v>
      </c>
      <c r="L544" s="11">
        <f t="shared" si="13"/>
        <v>233.4637164</v>
      </c>
      <c r="M544" s="11">
        <f t="shared" si="1625"/>
        <v>23.39807477</v>
      </c>
      <c r="N544" s="11">
        <f t="shared" si="1626"/>
        <v>49.53422212</v>
      </c>
      <c r="O544" s="19">
        <v>2.27</v>
      </c>
      <c r="P544" s="19"/>
      <c r="Q544" s="19">
        <v>1.4</v>
      </c>
      <c r="R544" s="19"/>
      <c r="S544" s="19">
        <v>3.58</v>
      </c>
      <c r="T544" s="14"/>
      <c r="U544" s="14">
        <f t="shared" si="1627"/>
        <v>0.8894541</v>
      </c>
      <c r="V544" s="14">
        <f t="shared" si="1628"/>
        <v>0.548562</v>
      </c>
      <c r="W544" s="14">
        <f t="shared" si="1629"/>
        <v>1.4027514</v>
      </c>
      <c r="X544" s="13"/>
      <c r="Y544" s="13"/>
      <c r="Z544" s="13" t="str">
        <f t="shared" si="1630"/>
        <v>1 (1-2)</v>
      </c>
      <c r="AA544" s="13" t="str">
        <f t="shared" si="1631"/>
        <v>233 (23-50)</v>
      </c>
      <c r="AB544" s="13" t="str">
        <f t="shared" si="1632"/>
        <v>2 (1-4)</v>
      </c>
      <c r="AC544" s="13" t="str">
        <f t="shared" si="1633"/>
        <v>1 (1-1)</v>
      </c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hidden="1">
      <c r="A545" s="24" t="s">
        <v>29</v>
      </c>
      <c r="B545" s="16" t="s">
        <v>164</v>
      </c>
      <c r="C545" s="23">
        <v>2050.0</v>
      </c>
      <c r="D545" s="17">
        <f>16481+15536</f>
        <v>32017</v>
      </c>
      <c r="E545" s="10">
        <v>6220505.0</v>
      </c>
      <c r="F545" s="19">
        <v>1.44</v>
      </c>
      <c r="G545" s="10">
        <f t="shared" si="1"/>
        <v>89.575272</v>
      </c>
      <c r="H545" s="19">
        <v>0.94</v>
      </c>
      <c r="I545" s="8">
        <f t="shared" si="2"/>
        <v>58.472747</v>
      </c>
      <c r="J545" s="19">
        <v>1.99</v>
      </c>
      <c r="K545" s="11">
        <f t="shared" si="3"/>
        <v>123.7880495</v>
      </c>
      <c r="L545" s="11">
        <f t="shared" si="13"/>
        <v>279.774095</v>
      </c>
      <c r="M545" s="11">
        <f t="shared" si="1625"/>
        <v>18.72121941</v>
      </c>
      <c r="N545" s="11">
        <f t="shared" si="1626"/>
        <v>39.63321981</v>
      </c>
      <c r="O545" s="19">
        <v>2.27</v>
      </c>
      <c r="P545" s="8">
        <f t="shared" ref="P545:P546" si="1634">(O545/100000)*E545</f>
        <v>141.2054635</v>
      </c>
      <c r="Q545" s="19">
        <v>1.4</v>
      </c>
      <c r="R545" s="8">
        <f t="shared" ref="R545:R546" si="1635">(Q545/100000)*E545</f>
        <v>87.08707</v>
      </c>
      <c r="S545" s="19">
        <v>3.58</v>
      </c>
      <c r="T545" s="11">
        <f t="shared" ref="T545:T546" si="1636">(S545/100000)*E545</f>
        <v>222.694079</v>
      </c>
      <c r="U545" s="14">
        <f t="shared" si="1627"/>
        <v>0.7267859</v>
      </c>
      <c r="V545" s="14">
        <f t="shared" si="1628"/>
        <v>0.448238</v>
      </c>
      <c r="W545" s="14">
        <f t="shared" si="1629"/>
        <v>1.1462086</v>
      </c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>
      <c r="A546" s="24" t="s">
        <v>23</v>
      </c>
      <c r="B546" s="16" t="s">
        <v>165</v>
      </c>
      <c r="C546" s="20">
        <v>2021.0</v>
      </c>
      <c r="D546" s="17">
        <f>189493+179916.5</f>
        <v>369409.5</v>
      </c>
      <c r="E546" s="18">
        <v>3.8239864E7</v>
      </c>
      <c r="F546" s="19">
        <v>0.39</v>
      </c>
      <c r="G546" s="10">
        <f t="shared" si="1"/>
        <v>149.1354696</v>
      </c>
      <c r="H546" s="19">
        <v>0.28</v>
      </c>
      <c r="I546" s="8">
        <f t="shared" si="2"/>
        <v>107.0716192</v>
      </c>
      <c r="J546" s="19">
        <v>0.54</v>
      </c>
      <c r="K546" s="11">
        <f t="shared" si="3"/>
        <v>206.4952656</v>
      </c>
      <c r="L546" s="11">
        <f t="shared" si="13"/>
        <v>40.37131411</v>
      </c>
      <c r="M546" s="12">
        <f>(I546/D546)*100000</f>
        <v>28.98453321</v>
      </c>
      <c r="N546" s="11">
        <f>(K546/D546)*100000</f>
        <v>55.89874261</v>
      </c>
      <c r="O546" s="19">
        <v>0.55</v>
      </c>
      <c r="P546" s="8">
        <f t="shared" si="1634"/>
        <v>210.319252</v>
      </c>
      <c r="Q546" s="19">
        <v>0.34</v>
      </c>
      <c r="R546" s="8">
        <f t="shared" si="1635"/>
        <v>130.0155376</v>
      </c>
      <c r="S546" s="19">
        <v>0.86</v>
      </c>
      <c r="T546" s="11">
        <f t="shared" si="1636"/>
        <v>328.8628304</v>
      </c>
      <c r="U546" s="11">
        <f>(P546/D546)*100000</f>
        <v>56.93390452</v>
      </c>
      <c r="V546" s="11">
        <f>(R546/D546)*100000</f>
        <v>35.19550461</v>
      </c>
      <c r="W546" s="11">
        <f>(T546/D546)*100000</f>
        <v>89.02392342</v>
      </c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 hidden="1">
      <c r="A547" s="24" t="s">
        <v>25</v>
      </c>
      <c r="B547" s="16" t="s">
        <v>165</v>
      </c>
      <c r="C547" s="23">
        <v>2030.0</v>
      </c>
      <c r="D547" s="17">
        <f>189434+179619</f>
        <v>369053</v>
      </c>
      <c r="E547" s="10">
        <v>4.3023604E7</v>
      </c>
      <c r="F547" s="19">
        <v>0.39</v>
      </c>
      <c r="G547" s="10">
        <f t="shared" si="1"/>
        <v>167.7920556</v>
      </c>
      <c r="H547" s="19">
        <v>0.28</v>
      </c>
      <c r="I547" s="8">
        <f t="shared" si="2"/>
        <v>120.4660912</v>
      </c>
      <c r="J547" s="19">
        <v>0.54</v>
      </c>
      <c r="K547" s="11">
        <f t="shared" si="3"/>
        <v>232.3274616</v>
      </c>
      <c r="L547" s="11">
        <f t="shared" si="13"/>
        <v>45.4655715</v>
      </c>
      <c r="M547" s="11">
        <f t="shared" ref="M547:M549" si="1637">(I547*D547)/100000</f>
        <v>444.5837236</v>
      </c>
      <c r="N547" s="11">
        <f t="shared" ref="N547:N549" si="1638">(K547*D547)/100000</f>
        <v>857.4114669</v>
      </c>
      <c r="O547" s="19">
        <v>0.55</v>
      </c>
      <c r="P547" s="19"/>
      <c r="Q547" s="19">
        <v>0.34</v>
      </c>
      <c r="R547" s="19"/>
      <c r="S547" s="19">
        <v>0.86</v>
      </c>
      <c r="T547" s="14"/>
      <c r="U547" s="14">
        <f t="shared" ref="U547:U549" si="1639">(O547*D547)/100000</f>
        <v>2.0297915</v>
      </c>
      <c r="V547" s="14">
        <f t="shared" ref="V547:V549" si="1640">(Q547*D547)/100000</f>
        <v>1.2547802</v>
      </c>
      <c r="W547" s="14">
        <f t="shared" ref="W547:W549" si="1641">(S547*D547)/100000</f>
        <v>3.1738558</v>
      </c>
      <c r="X547" s="13"/>
      <c r="Y547" s="13"/>
      <c r="Z547" s="13" t="str">
        <f t="shared" ref="Z547:Z548" si="1642">ROUND(F547, 0) &amp; " (" &amp; ROUND(H547, 0) &amp; "-" &amp; ROUND(J547, 0) &amp; ")"</f>
        <v>0 (0-1)</v>
      </c>
      <c r="AA547" s="13" t="str">
        <f t="shared" ref="AA547:AA548" si="1643">ROUND(L547, 0) &amp; " (" &amp; ROUND(M547, 0) &amp; "-" &amp; ROUND(N547, 0) &amp; ")"</f>
        <v>45 (445-857)</v>
      </c>
      <c r="AB547" s="13" t="str">
        <f t="shared" ref="AB547:AB548" si="1644">ROUND(O547, 0) &amp; " (" &amp; ROUND(Q547, 0) &amp; "-" &amp; ROUND(S547, 0) &amp; ")"</f>
        <v>1 (0-1)</v>
      </c>
      <c r="AC547" s="13" t="str">
        <f t="shared" ref="AC547:AC548" si="1645">ROUND(U547, 0) &amp; " (" &amp; ROUND(V547, 0) &amp; "-" &amp; ROUND(W547, 0) &amp; ")"</f>
        <v>2 (1-3)</v>
      </c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 hidden="1">
      <c r="A548" s="24" t="s">
        <v>27</v>
      </c>
      <c r="B548" s="16" t="s">
        <v>165</v>
      </c>
      <c r="C548" s="23">
        <v>2040.0</v>
      </c>
      <c r="D548" s="17">
        <f>194346+184112</f>
        <v>378458</v>
      </c>
      <c r="E548" s="10">
        <v>4.5059368E7</v>
      </c>
      <c r="F548" s="19">
        <v>0.39</v>
      </c>
      <c r="G548" s="10">
        <f t="shared" si="1"/>
        <v>175.7315352</v>
      </c>
      <c r="H548" s="19">
        <v>0.28</v>
      </c>
      <c r="I548" s="8">
        <f t="shared" si="2"/>
        <v>126.1662304</v>
      </c>
      <c r="J548" s="19">
        <v>0.54</v>
      </c>
      <c r="K548" s="11">
        <f t="shared" si="3"/>
        <v>243.3205872</v>
      </c>
      <c r="L548" s="11">
        <f t="shared" si="13"/>
        <v>46.43356335</v>
      </c>
      <c r="M548" s="11">
        <f t="shared" si="1637"/>
        <v>477.4861922</v>
      </c>
      <c r="N548" s="11">
        <f t="shared" si="1638"/>
        <v>920.8662279</v>
      </c>
      <c r="O548" s="19">
        <v>0.55</v>
      </c>
      <c r="P548" s="19"/>
      <c r="Q548" s="19">
        <v>0.34</v>
      </c>
      <c r="R548" s="19"/>
      <c r="S548" s="19">
        <v>0.86</v>
      </c>
      <c r="T548" s="14"/>
      <c r="U548" s="14">
        <f t="shared" si="1639"/>
        <v>2.081519</v>
      </c>
      <c r="V548" s="14">
        <f t="shared" si="1640"/>
        <v>1.2867572</v>
      </c>
      <c r="W548" s="14">
        <f t="shared" si="1641"/>
        <v>3.2547388</v>
      </c>
      <c r="X548" s="13"/>
      <c r="Y548" s="13"/>
      <c r="Z548" s="13" t="str">
        <f t="shared" si="1642"/>
        <v>0 (0-1)</v>
      </c>
      <c r="AA548" s="13" t="str">
        <f t="shared" si="1643"/>
        <v>46 (477-921)</v>
      </c>
      <c r="AB548" s="13" t="str">
        <f t="shared" si="1644"/>
        <v>1 (0-1)</v>
      </c>
      <c r="AC548" s="13" t="str">
        <f t="shared" si="1645"/>
        <v>2 (1-3)</v>
      </c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 hidden="1">
      <c r="A549" s="24" t="s">
        <v>29</v>
      </c>
      <c r="B549" s="16" t="s">
        <v>165</v>
      </c>
      <c r="C549" s="23">
        <v>2050.0</v>
      </c>
      <c r="D549" s="17">
        <f>198193+187734</f>
        <v>385927</v>
      </c>
      <c r="E549" s="10">
        <v>4.66038E7</v>
      </c>
      <c r="F549" s="19">
        <v>0.39</v>
      </c>
      <c r="G549" s="10">
        <f t="shared" si="1"/>
        <v>181.75482</v>
      </c>
      <c r="H549" s="19">
        <v>0.28</v>
      </c>
      <c r="I549" s="8">
        <f t="shared" si="2"/>
        <v>130.49064</v>
      </c>
      <c r="J549" s="19">
        <v>0.54</v>
      </c>
      <c r="K549" s="11">
        <f t="shared" si="3"/>
        <v>251.66052</v>
      </c>
      <c r="L549" s="11">
        <f t="shared" si="13"/>
        <v>47.09564762</v>
      </c>
      <c r="M549" s="11">
        <f t="shared" si="1637"/>
        <v>503.5986122</v>
      </c>
      <c r="N549" s="11">
        <f t="shared" si="1638"/>
        <v>971.225895</v>
      </c>
      <c r="O549" s="19">
        <v>0.55</v>
      </c>
      <c r="P549" s="8">
        <f t="shared" ref="P549:P550" si="1646">(O549/100000)*E549</f>
        <v>256.3209</v>
      </c>
      <c r="Q549" s="19">
        <v>0.34</v>
      </c>
      <c r="R549" s="8">
        <f t="shared" ref="R549:R550" si="1647">(Q549/100000)*E549</f>
        <v>158.45292</v>
      </c>
      <c r="S549" s="19">
        <v>0.86</v>
      </c>
      <c r="T549" s="11">
        <f t="shared" ref="T549:T550" si="1648">(S549/100000)*E549</f>
        <v>400.79268</v>
      </c>
      <c r="U549" s="14">
        <f t="shared" si="1639"/>
        <v>2.1225985</v>
      </c>
      <c r="V549" s="14">
        <f t="shared" si="1640"/>
        <v>1.3121518</v>
      </c>
      <c r="W549" s="14">
        <f t="shared" si="1641"/>
        <v>3.3189722</v>
      </c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>
      <c r="A550" s="24" t="s">
        <v>23</v>
      </c>
      <c r="B550" s="16" t="s">
        <v>166</v>
      </c>
      <c r="C550" s="20">
        <v>2021.0</v>
      </c>
      <c r="D550" s="17">
        <f>416.5+397</f>
        <v>813.5</v>
      </c>
      <c r="E550" s="18">
        <v>56653.0</v>
      </c>
      <c r="F550" s="19">
        <v>0.99</v>
      </c>
      <c r="G550" s="10">
        <f t="shared" si="1"/>
        <v>0.5608647</v>
      </c>
      <c r="H550" s="19">
        <v>0.71</v>
      </c>
      <c r="I550" s="8">
        <f t="shared" si="2"/>
        <v>0.4022363</v>
      </c>
      <c r="J550" s="19">
        <v>1.3</v>
      </c>
      <c r="K550" s="11">
        <f t="shared" si="3"/>
        <v>0.736489</v>
      </c>
      <c r="L550" s="11">
        <f t="shared" si="13"/>
        <v>68.94464659</v>
      </c>
      <c r="M550" s="12">
        <f>(I550/D550)*100000</f>
        <v>49.44515058</v>
      </c>
      <c r="N550" s="11">
        <f>(K550/D550)*100000</f>
        <v>90.53337431</v>
      </c>
      <c r="O550" s="19">
        <v>0.9</v>
      </c>
      <c r="P550" s="8">
        <f t="shared" si="1646"/>
        <v>0.509877</v>
      </c>
      <c r="Q550" s="19">
        <v>0.56</v>
      </c>
      <c r="R550" s="8">
        <f t="shared" si="1647"/>
        <v>0.3172568</v>
      </c>
      <c r="S550" s="19">
        <v>1.36</v>
      </c>
      <c r="T550" s="11">
        <f t="shared" si="1648"/>
        <v>0.7704808</v>
      </c>
      <c r="U550" s="11">
        <f>(P550/D550)*100000</f>
        <v>62.67695144</v>
      </c>
      <c r="V550" s="11">
        <f>(R550/D550)*100000</f>
        <v>38.99899201</v>
      </c>
      <c r="W550" s="11">
        <f>(T550/D550)*100000</f>
        <v>94.71183774</v>
      </c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 hidden="1">
      <c r="A551" s="24" t="s">
        <v>25</v>
      </c>
      <c r="B551" s="16" t="s">
        <v>166</v>
      </c>
      <c r="C551" s="23">
        <v>2030.0</v>
      </c>
      <c r="D551" s="17">
        <f>328+313</f>
        <v>641</v>
      </c>
      <c r="E551" s="18">
        <v>56653.0</v>
      </c>
      <c r="F551" s="19">
        <v>0.99</v>
      </c>
      <c r="G551" s="10">
        <f t="shared" si="1"/>
        <v>0.5608647</v>
      </c>
      <c r="H551" s="19">
        <v>0.71</v>
      </c>
      <c r="I551" s="8">
        <f t="shared" si="2"/>
        <v>0.4022363</v>
      </c>
      <c r="J551" s="19">
        <v>1.3</v>
      </c>
      <c r="K551" s="11">
        <f t="shared" si="3"/>
        <v>0.736489</v>
      </c>
      <c r="L551" s="11">
        <f t="shared" si="13"/>
        <v>87.49839314</v>
      </c>
      <c r="M551" s="11">
        <f t="shared" ref="M551:M553" si="1649">(I551*D551)/100000</f>
        <v>0.002578334683</v>
      </c>
      <c r="N551" s="11">
        <f t="shared" ref="N551:N553" si="1650">(K551*D551)/100000</f>
        <v>0.00472089449</v>
      </c>
      <c r="O551" s="19">
        <v>0.9</v>
      </c>
      <c r="P551" s="19"/>
      <c r="Q551" s="19">
        <v>0.56</v>
      </c>
      <c r="R551" s="19"/>
      <c r="S551" s="19">
        <v>1.36</v>
      </c>
      <c r="T551" s="14"/>
      <c r="U551" s="14">
        <f t="shared" ref="U551:U553" si="1651">(O551*D551)/100000</f>
        <v>0.005769</v>
      </c>
      <c r="V551" s="14">
        <f t="shared" ref="V551:V553" si="1652">(Q551*D551)/100000</f>
        <v>0.0035896</v>
      </c>
      <c r="W551" s="14">
        <f t="shared" ref="W551:W553" si="1653">(S551*D551)/100000</f>
        <v>0.0087176</v>
      </c>
      <c r="X551" s="13"/>
      <c r="Y551" s="13"/>
      <c r="Z551" s="13" t="str">
        <f t="shared" ref="Z551:Z552" si="1654">ROUND(F551, 0) &amp; " (" &amp; ROUND(H551, 0) &amp; "-" &amp; ROUND(J551, 0) &amp; ")"</f>
        <v>1 (1-1)</v>
      </c>
      <c r="AA551" s="13" t="str">
        <f t="shared" ref="AA551:AA552" si="1655">ROUND(L551, 0) &amp; " (" &amp; ROUND(M551, 0) &amp; "-" &amp; ROUND(N551, 0) &amp; ")"</f>
        <v>87 (0-0)</v>
      </c>
      <c r="AB551" s="13" t="str">
        <f t="shared" ref="AB551:AB552" si="1656">ROUND(O551, 0) &amp; " (" &amp; ROUND(Q551, 0) &amp; "-" &amp; ROUND(S551, 0) &amp; ")"</f>
        <v>1 (1-1)</v>
      </c>
      <c r="AC551" s="13" t="str">
        <f t="shared" ref="AC551:AC552" si="1657">ROUND(U551, 0) &amp; " (" &amp; ROUND(V551, 0) &amp; "-" &amp; ROUND(W551, 0) &amp; ")"</f>
        <v>0 (0-0)</v>
      </c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</row>
    <row r="552" hidden="1">
      <c r="A552" s="24" t="s">
        <v>27</v>
      </c>
      <c r="B552" s="16" t="s">
        <v>166</v>
      </c>
      <c r="C552" s="23">
        <v>2040.0</v>
      </c>
      <c r="D552" s="17">
        <f>298+284</f>
        <v>582</v>
      </c>
      <c r="E552" s="18">
        <v>56653.0</v>
      </c>
      <c r="F552" s="19">
        <v>0.99</v>
      </c>
      <c r="G552" s="10">
        <f t="shared" si="1"/>
        <v>0.5608647</v>
      </c>
      <c r="H552" s="19">
        <v>0.71</v>
      </c>
      <c r="I552" s="8">
        <f t="shared" si="2"/>
        <v>0.4022363</v>
      </c>
      <c r="J552" s="19">
        <v>1.3</v>
      </c>
      <c r="K552" s="11">
        <f t="shared" si="3"/>
        <v>0.736489</v>
      </c>
      <c r="L552" s="11">
        <f t="shared" si="13"/>
        <v>96.36850515</v>
      </c>
      <c r="M552" s="11">
        <f t="shared" si="1649"/>
        <v>0.002341015266</v>
      </c>
      <c r="N552" s="11">
        <f t="shared" si="1650"/>
        <v>0.00428636598</v>
      </c>
      <c r="O552" s="19">
        <v>0.9</v>
      </c>
      <c r="P552" s="19"/>
      <c r="Q552" s="19">
        <v>0.56</v>
      </c>
      <c r="R552" s="19"/>
      <c r="S552" s="19">
        <v>1.36</v>
      </c>
      <c r="T552" s="14"/>
      <c r="U552" s="14">
        <f t="shared" si="1651"/>
        <v>0.005238</v>
      </c>
      <c r="V552" s="14">
        <f t="shared" si="1652"/>
        <v>0.0032592</v>
      </c>
      <c r="W552" s="14">
        <f t="shared" si="1653"/>
        <v>0.0079152</v>
      </c>
      <c r="X552" s="13"/>
      <c r="Y552" s="13"/>
      <c r="Z552" s="13" t="str">
        <f t="shared" si="1654"/>
        <v>1 (1-1)</v>
      </c>
      <c r="AA552" s="13" t="str">
        <f t="shared" si="1655"/>
        <v>96 (0-0)</v>
      </c>
      <c r="AB552" s="13" t="str">
        <f t="shared" si="1656"/>
        <v>1 (1-1)</v>
      </c>
      <c r="AC552" s="13" t="str">
        <f t="shared" si="1657"/>
        <v>0 (0-0)</v>
      </c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</row>
    <row r="553" hidden="1">
      <c r="A553" s="24" t="s">
        <v>29</v>
      </c>
      <c r="B553" s="16" t="s">
        <v>166</v>
      </c>
      <c r="C553" s="23">
        <v>2050.0</v>
      </c>
      <c r="D553" s="17">
        <f>295+282</f>
        <v>577</v>
      </c>
      <c r="E553" s="18">
        <v>56653.0</v>
      </c>
      <c r="F553" s="19">
        <v>0.99</v>
      </c>
      <c r="G553" s="10">
        <f t="shared" si="1"/>
        <v>0.5608647</v>
      </c>
      <c r="H553" s="19">
        <v>0.71</v>
      </c>
      <c r="I553" s="8">
        <f t="shared" si="2"/>
        <v>0.4022363</v>
      </c>
      <c r="J553" s="19">
        <v>1.3</v>
      </c>
      <c r="K553" s="11">
        <f t="shared" si="3"/>
        <v>0.736489</v>
      </c>
      <c r="L553" s="11">
        <f t="shared" si="13"/>
        <v>97.20358752</v>
      </c>
      <c r="M553" s="11">
        <f t="shared" si="1649"/>
        <v>0.002320903451</v>
      </c>
      <c r="N553" s="11">
        <f t="shared" si="1650"/>
        <v>0.00424954153</v>
      </c>
      <c r="O553" s="19">
        <v>0.9</v>
      </c>
      <c r="P553" s="8">
        <f t="shared" ref="P553:P554" si="1658">(O553/100000)*E553</f>
        <v>0.509877</v>
      </c>
      <c r="Q553" s="19">
        <v>0.56</v>
      </c>
      <c r="R553" s="8">
        <f t="shared" ref="R553:R554" si="1659">(Q553/100000)*E553</f>
        <v>0.3172568</v>
      </c>
      <c r="S553" s="19">
        <v>1.36</v>
      </c>
      <c r="T553" s="11">
        <f t="shared" ref="T553:T554" si="1660">(S553/100000)*E553</f>
        <v>0.7704808</v>
      </c>
      <c r="U553" s="14">
        <f t="shared" si="1651"/>
        <v>0.005193</v>
      </c>
      <c r="V553" s="14">
        <f t="shared" si="1652"/>
        <v>0.0032312</v>
      </c>
      <c r="W553" s="14">
        <f t="shared" si="1653"/>
        <v>0.0078472</v>
      </c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>
      <c r="A554" s="24" t="s">
        <v>23</v>
      </c>
      <c r="B554" s="16" t="s">
        <v>167</v>
      </c>
      <c r="C554" s="20">
        <v>2021.0</v>
      </c>
      <c r="D554" s="17">
        <f>1865238.5+1781863.5</f>
        <v>3647102</v>
      </c>
      <c r="E554" s="18">
        <v>3.3209976E8</v>
      </c>
      <c r="F554" s="19">
        <v>0.97</v>
      </c>
      <c r="G554" s="10">
        <f t="shared" si="1"/>
        <v>3221.367672</v>
      </c>
      <c r="H554" s="19">
        <v>0.68</v>
      </c>
      <c r="I554" s="8">
        <f t="shared" si="2"/>
        <v>2258.278368</v>
      </c>
      <c r="J554" s="19">
        <v>1.28</v>
      </c>
      <c r="K554" s="11">
        <f t="shared" si="3"/>
        <v>4250.876928</v>
      </c>
      <c r="L554" s="11">
        <f t="shared" si="13"/>
        <v>88.32677759</v>
      </c>
      <c r="M554" s="12">
        <f>(I554/D554)*100000</f>
        <v>61.91980285</v>
      </c>
      <c r="N554" s="11">
        <f>(K554/D554)*100000</f>
        <v>116.554923</v>
      </c>
      <c r="O554" s="19">
        <v>1.27</v>
      </c>
      <c r="P554" s="8">
        <f t="shared" si="1658"/>
        <v>4217.666952</v>
      </c>
      <c r="Q554" s="19">
        <v>0.77</v>
      </c>
      <c r="R554" s="8">
        <f t="shared" si="1659"/>
        <v>2557.168152</v>
      </c>
      <c r="S554" s="19">
        <v>1.97</v>
      </c>
      <c r="T554" s="11">
        <f t="shared" si="1660"/>
        <v>6542.365272</v>
      </c>
      <c r="U554" s="11">
        <f>(P554/D554)*100000</f>
        <v>115.6443377</v>
      </c>
      <c r="V554" s="11">
        <f>(R554/D554)*100000</f>
        <v>70.11507087</v>
      </c>
      <c r="W554" s="11">
        <f>(T554/D554)*100000</f>
        <v>179.3853112</v>
      </c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 hidden="1">
      <c r="A555" s="24" t="s">
        <v>25</v>
      </c>
      <c r="B555" s="16" t="s">
        <v>167</v>
      </c>
      <c r="C555" s="23">
        <v>2030.0</v>
      </c>
      <c r="D555" s="17">
        <f>1911479+1818167</f>
        <v>3729646</v>
      </c>
      <c r="E555" s="10">
        <v>3.49445856E8</v>
      </c>
      <c r="F555" s="19">
        <v>0.97</v>
      </c>
      <c r="G555" s="10">
        <f t="shared" si="1"/>
        <v>3389.624803</v>
      </c>
      <c r="H555" s="19">
        <v>0.68</v>
      </c>
      <c r="I555" s="8">
        <f t="shared" si="2"/>
        <v>2376.231821</v>
      </c>
      <c r="J555" s="19">
        <v>1.28</v>
      </c>
      <c r="K555" s="11">
        <f t="shared" si="3"/>
        <v>4472.906957</v>
      </c>
      <c r="L555" s="11">
        <f t="shared" si="13"/>
        <v>90.88328499</v>
      </c>
      <c r="M555" s="11">
        <f t="shared" ref="M555:M557" si="1661">(I555*D555)/100000</f>
        <v>88625.03506</v>
      </c>
      <c r="N555" s="11">
        <f t="shared" ref="N555:N557" si="1662">(K555*D555)/100000</f>
        <v>166823.5954</v>
      </c>
      <c r="O555" s="19">
        <v>1.27</v>
      </c>
      <c r="P555" s="19"/>
      <c r="Q555" s="19">
        <v>0.77</v>
      </c>
      <c r="R555" s="19"/>
      <c r="S555" s="19">
        <v>1.97</v>
      </c>
      <c r="T555" s="14"/>
      <c r="U555" s="14">
        <f t="shared" ref="U555:U557" si="1663">(O555*D555)/100000</f>
        <v>47.3665042</v>
      </c>
      <c r="V555" s="14">
        <f t="shared" ref="V555:V557" si="1664">(Q555*D555)/100000</f>
        <v>28.7182742</v>
      </c>
      <c r="W555" s="14">
        <f t="shared" ref="W555:W557" si="1665">(S555*D555)/100000</f>
        <v>73.4740262</v>
      </c>
      <c r="X555" s="13"/>
      <c r="Y555" s="13"/>
      <c r="Z555" s="13" t="str">
        <f t="shared" ref="Z555:Z556" si="1666">ROUND(F555, 0) &amp; " (" &amp; ROUND(H555, 0) &amp; "-" &amp; ROUND(J555, 0) &amp; ")"</f>
        <v>1 (1-1)</v>
      </c>
      <c r="AA555" s="13" t="str">
        <f t="shared" ref="AA555:AA556" si="1667">ROUND(L555, 0) &amp; " (" &amp; ROUND(M555, 0) &amp; "-" &amp; ROUND(N555, 0) &amp; ")"</f>
        <v>91 (88625-166824)</v>
      </c>
      <c r="AB555" s="13" t="str">
        <f t="shared" ref="AB555:AB556" si="1668">ROUND(O555, 0) &amp; " (" &amp; ROUND(Q555, 0) &amp; "-" &amp; ROUND(S555, 0) &amp; ")"</f>
        <v>1 (1-2)</v>
      </c>
      <c r="AC555" s="13" t="str">
        <f t="shared" ref="AC555:AC556" si="1669">ROUND(U555, 0) &amp; " (" &amp; ROUND(V555, 0) &amp; "-" &amp; ROUND(W555, 0) &amp; ")"</f>
        <v>47 (29-73)</v>
      </c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</row>
    <row r="556" hidden="1">
      <c r="A556" s="24" t="s">
        <v>27</v>
      </c>
      <c r="B556" s="16" t="s">
        <v>167</v>
      </c>
      <c r="C556" s="23">
        <v>2040.0</v>
      </c>
      <c r="D556" s="17">
        <f>2022244+1922041</f>
        <v>3944285</v>
      </c>
      <c r="E556" s="10">
        <v>3.62685952E8</v>
      </c>
      <c r="F556" s="19">
        <v>0.97</v>
      </c>
      <c r="G556" s="10">
        <f t="shared" si="1"/>
        <v>3518.053734</v>
      </c>
      <c r="H556" s="19">
        <v>0.68</v>
      </c>
      <c r="I556" s="8">
        <f t="shared" si="2"/>
        <v>2466.264474</v>
      </c>
      <c r="J556" s="19">
        <v>1.28</v>
      </c>
      <c r="K556" s="11">
        <f t="shared" si="3"/>
        <v>4642.380186</v>
      </c>
      <c r="L556" s="11">
        <f t="shared" si="13"/>
        <v>89.19370011</v>
      </c>
      <c r="M556" s="11">
        <f t="shared" si="1661"/>
        <v>97276.49969</v>
      </c>
      <c r="N556" s="11">
        <f t="shared" si="1662"/>
        <v>183108.7053</v>
      </c>
      <c r="O556" s="19">
        <v>1.27</v>
      </c>
      <c r="P556" s="19"/>
      <c r="Q556" s="19">
        <v>0.77</v>
      </c>
      <c r="R556" s="19"/>
      <c r="S556" s="19">
        <v>1.97</v>
      </c>
      <c r="T556" s="14"/>
      <c r="U556" s="14">
        <f t="shared" si="1663"/>
        <v>50.0924195</v>
      </c>
      <c r="V556" s="14">
        <f t="shared" si="1664"/>
        <v>30.3709945</v>
      </c>
      <c r="W556" s="14">
        <f t="shared" si="1665"/>
        <v>77.7024145</v>
      </c>
      <c r="X556" s="13"/>
      <c r="Y556" s="13"/>
      <c r="Z556" s="13" t="str">
        <f t="shared" si="1666"/>
        <v>1 (1-1)</v>
      </c>
      <c r="AA556" s="13" t="str">
        <f t="shared" si="1667"/>
        <v>89 (97276-183109)</v>
      </c>
      <c r="AB556" s="13" t="str">
        <f t="shared" si="1668"/>
        <v>1 (1-2)</v>
      </c>
      <c r="AC556" s="13" t="str">
        <f t="shared" si="1669"/>
        <v>50 (30-78)</v>
      </c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 hidden="1">
      <c r="A557" s="24" t="s">
        <v>29</v>
      </c>
      <c r="B557" s="16" t="s">
        <v>167</v>
      </c>
      <c r="C557" s="23">
        <v>2050.0</v>
      </c>
      <c r="D557" s="17">
        <f>1958095+1859886</f>
        <v>3817981</v>
      </c>
      <c r="E557" s="10">
        <v>3.73286496E8</v>
      </c>
      <c r="F557" s="19">
        <v>0.97</v>
      </c>
      <c r="G557" s="10">
        <f t="shared" si="1"/>
        <v>3620.879011</v>
      </c>
      <c r="H557" s="19">
        <v>0.68</v>
      </c>
      <c r="I557" s="8">
        <f t="shared" si="2"/>
        <v>2538.348173</v>
      </c>
      <c r="J557" s="19">
        <v>1.28</v>
      </c>
      <c r="K557" s="11">
        <f t="shared" si="3"/>
        <v>4778.067149</v>
      </c>
      <c r="L557" s="11">
        <f t="shared" si="13"/>
        <v>94.83753353</v>
      </c>
      <c r="M557" s="11">
        <f t="shared" si="1661"/>
        <v>96913.65095</v>
      </c>
      <c r="N557" s="11">
        <f t="shared" si="1662"/>
        <v>182425.6959</v>
      </c>
      <c r="O557" s="19">
        <v>1.27</v>
      </c>
      <c r="P557" s="8">
        <f t="shared" ref="P557:P558" si="1670">(O557/100000)*E557</f>
        <v>4740.738499</v>
      </c>
      <c r="Q557" s="19">
        <v>0.77</v>
      </c>
      <c r="R557" s="8">
        <f t="shared" ref="R557:R558" si="1671">(Q557/100000)*E557</f>
        <v>2874.306019</v>
      </c>
      <c r="S557" s="19">
        <v>1.97</v>
      </c>
      <c r="T557" s="11">
        <f t="shared" ref="T557:T558" si="1672">(S557/100000)*E557</f>
        <v>7353.743971</v>
      </c>
      <c r="U557" s="14">
        <f t="shared" si="1663"/>
        <v>48.4883587</v>
      </c>
      <c r="V557" s="14">
        <f t="shared" si="1664"/>
        <v>29.3984537</v>
      </c>
      <c r="W557" s="14">
        <f t="shared" si="1665"/>
        <v>75.2142257</v>
      </c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>
      <c r="A558" s="24" t="s">
        <v>23</v>
      </c>
      <c r="B558" s="16" t="s">
        <v>168</v>
      </c>
      <c r="C558" s="20">
        <v>2021.0</v>
      </c>
      <c r="D558" s="17">
        <f>269875+256956.5</f>
        <v>526831.5</v>
      </c>
      <c r="E558" s="18">
        <v>4.5312281E7</v>
      </c>
      <c r="F558" s="19">
        <v>1.26</v>
      </c>
      <c r="G558" s="10">
        <f t="shared" si="1"/>
        <v>570.9347406</v>
      </c>
      <c r="H558" s="19">
        <v>0.86</v>
      </c>
      <c r="I558" s="8">
        <f t="shared" si="2"/>
        <v>389.6856166</v>
      </c>
      <c r="J558" s="19">
        <v>1.69</v>
      </c>
      <c r="K558" s="11">
        <f t="shared" si="3"/>
        <v>765.7775489</v>
      </c>
      <c r="L558" s="11">
        <f t="shared" si="13"/>
        <v>108.371413</v>
      </c>
      <c r="M558" s="12">
        <f>(I558/D558)*100000</f>
        <v>73.96778982</v>
      </c>
      <c r="N558" s="11">
        <f>(K558/D558)*100000</f>
        <v>145.3553079</v>
      </c>
      <c r="O558" s="19">
        <v>1.77</v>
      </c>
      <c r="P558" s="8">
        <f t="shared" si="1670"/>
        <v>802.0273737</v>
      </c>
      <c r="Q558" s="19">
        <v>1.14</v>
      </c>
      <c r="R558" s="8">
        <f t="shared" si="1671"/>
        <v>516.5600034</v>
      </c>
      <c r="S558" s="19">
        <v>2.71</v>
      </c>
      <c r="T558" s="11">
        <f t="shared" si="1672"/>
        <v>1227.962815</v>
      </c>
      <c r="U558" s="11">
        <f>(P558/D558)*100000</f>
        <v>152.2360325</v>
      </c>
      <c r="V558" s="11">
        <f>(R558/D558)*100000</f>
        <v>98.05032603</v>
      </c>
      <c r="W558" s="11">
        <f>(T558/D558)*100000</f>
        <v>233.084547</v>
      </c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 hidden="1">
      <c r="A559" s="24" t="s">
        <v>25</v>
      </c>
      <c r="B559" s="16" t="s">
        <v>168</v>
      </c>
      <c r="C559" s="23">
        <v>2030.0</v>
      </c>
      <c r="D559" s="17">
        <f>262643+250228</f>
        <v>512871</v>
      </c>
      <c r="E559" s="10">
        <v>4.6585022E7</v>
      </c>
      <c r="F559" s="19">
        <v>1.26</v>
      </c>
      <c r="G559" s="10">
        <f t="shared" si="1"/>
        <v>586.9712772</v>
      </c>
      <c r="H559" s="19">
        <v>0.86</v>
      </c>
      <c r="I559" s="8">
        <f t="shared" si="2"/>
        <v>400.6311892</v>
      </c>
      <c r="J559" s="19">
        <v>1.69</v>
      </c>
      <c r="K559" s="11">
        <f t="shared" si="3"/>
        <v>787.2868718</v>
      </c>
      <c r="L559" s="11">
        <f t="shared" si="13"/>
        <v>114.4481316</v>
      </c>
      <c r="M559" s="11">
        <f t="shared" ref="M559:M561" si="1673">(I559*D559)/100000</f>
        <v>2054.721186</v>
      </c>
      <c r="N559" s="11">
        <f t="shared" ref="N559:N561" si="1674">(K559*D559)/100000</f>
        <v>4037.766052</v>
      </c>
      <c r="O559" s="19">
        <v>1.77</v>
      </c>
      <c r="P559" s="19"/>
      <c r="Q559" s="19">
        <v>1.14</v>
      </c>
      <c r="R559" s="19"/>
      <c r="S559" s="19">
        <v>2.71</v>
      </c>
      <c r="T559" s="14"/>
      <c r="U559" s="14">
        <f t="shared" ref="U559:U561" si="1675">(O559*D559)/100000</f>
        <v>9.0778167</v>
      </c>
      <c r="V559" s="14">
        <f t="shared" ref="V559:V561" si="1676">(Q559*D559)/100000</f>
        <v>5.8467294</v>
      </c>
      <c r="W559" s="14">
        <f t="shared" ref="W559:W561" si="1677">(S559*D559)/100000</f>
        <v>13.8988041</v>
      </c>
      <c r="X559" s="13"/>
      <c r="Y559" s="13"/>
      <c r="Z559" s="13" t="str">
        <f t="shared" ref="Z559:Z560" si="1678">ROUND(F559, 0) &amp; " (" &amp; ROUND(H559, 0) &amp; "-" &amp; ROUND(J559, 0) &amp; ")"</f>
        <v>1 (1-2)</v>
      </c>
      <c r="AA559" s="13" t="str">
        <f t="shared" ref="AA559:AA560" si="1679">ROUND(L559, 0) &amp; " (" &amp; ROUND(M559, 0) &amp; "-" &amp; ROUND(N559, 0) &amp; ")"</f>
        <v>114 (2055-4038)</v>
      </c>
      <c r="AB559" s="13" t="str">
        <f t="shared" ref="AB559:AB560" si="1680">ROUND(O559, 0) &amp; " (" &amp; ROUND(Q559, 0) &amp; "-" &amp; ROUND(S559, 0) &amp; ")"</f>
        <v>2 (1-3)</v>
      </c>
      <c r="AC559" s="13" t="str">
        <f t="shared" ref="AC559:AC560" si="1681">ROUND(U559, 0) &amp; " (" &amp; ROUND(V559, 0) &amp; "-" &amp; ROUND(W559, 0) &amp; ")"</f>
        <v>9 (6-14)</v>
      </c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 hidden="1">
      <c r="A560" s="24" t="s">
        <v>27</v>
      </c>
      <c r="B560" s="16" t="s">
        <v>168</v>
      </c>
      <c r="C560" s="23">
        <v>2040.0</v>
      </c>
      <c r="D560" s="17">
        <f>264645+252143</f>
        <v>516788</v>
      </c>
      <c r="E560" s="10">
        <v>4.7817645E7</v>
      </c>
      <c r="F560" s="19">
        <v>1.26</v>
      </c>
      <c r="G560" s="10">
        <f t="shared" si="1"/>
        <v>602.502327</v>
      </c>
      <c r="H560" s="19">
        <v>0.86</v>
      </c>
      <c r="I560" s="8">
        <f t="shared" si="2"/>
        <v>411.231747</v>
      </c>
      <c r="J560" s="19">
        <v>1.69</v>
      </c>
      <c r="K560" s="11">
        <f t="shared" si="3"/>
        <v>808.1182005</v>
      </c>
      <c r="L560" s="11">
        <f t="shared" si="13"/>
        <v>116.5859747</v>
      </c>
      <c r="M560" s="11">
        <f t="shared" si="1673"/>
        <v>2125.196321</v>
      </c>
      <c r="N560" s="11">
        <f t="shared" si="1674"/>
        <v>4176.257886</v>
      </c>
      <c r="O560" s="19">
        <v>1.77</v>
      </c>
      <c r="P560" s="19"/>
      <c r="Q560" s="19">
        <v>1.14</v>
      </c>
      <c r="R560" s="19"/>
      <c r="S560" s="19">
        <v>2.71</v>
      </c>
      <c r="T560" s="14"/>
      <c r="U560" s="14">
        <f t="shared" si="1675"/>
        <v>9.1471476</v>
      </c>
      <c r="V560" s="14">
        <f t="shared" si="1676"/>
        <v>5.8913832</v>
      </c>
      <c r="W560" s="14">
        <f t="shared" si="1677"/>
        <v>14.0049548</v>
      </c>
      <c r="X560" s="13"/>
      <c r="Y560" s="13"/>
      <c r="Z560" s="13" t="str">
        <f t="shared" si="1678"/>
        <v>1 (1-2)</v>
      </c>
      <c r="AA560" s="13" t="str">
        <f t="shared" si="1679"/>
        <v>117 (2125-4176)</v>
      </c>
      <c r="AB560" s="13" t="str">
        <f t="shared" si="1680"/>
        <v>2 (1-3)</v>
      </c>
      <c r="AC560" s="13" t="str">
        <f t="shared" si="1681"/>
        <v>9 (6-14)</v>
      </c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 hidden="1">
      <c r="A561" s="24" t="s">
        <v>29</v>
      </c>
      <c r="B561" s="16" t="s">
        <v>168</v>
      </c>
      <c r="C561" s="23">
        <v>2050.0</v>
      </c>
      <c r="D561" s="17">
        <f>235008+223941</f>
        <v>458949</v>
      </c>
      <c r="E561" s="10">
        <v>4.8308944E7</v>
      </c>
      <c r="F561" s="19">
        <v>1.26</v>
      </c>
      <c r="G561" s="10">
        <f t="shared" si="1"/>
        <v>608.6926944</v>
      </c>
      <c r="H561" s="19">
        <v>0.86</v>
      </c>
      <c r="I561" s="8">
        <f t="shared" si="2"/>
        <v>415.4569184</v>
      </c>
      <c r="J561" s="19">
        <v>1.69</v>
      </c>
      <c r="K561" s="11">
        <f t="shared" si="3"/>
        <v>816.4211536</v>
      </c>
      <c r="L561" s="11">
        <f t="shared" si="13"/>
        <v>132.6275238</v>
      </c>
      <c r="M561" s="11">
        <f t="shared" si="1673"/>
        <v>1906.735372</v>
      </c>
      <c r="N561" s="11">
        <f t="shared" si="1674"/>
        <v>3746.95672</v>
      </c>
      <c r="O561" s="19">
        <v>1.77</v>
      </c>
      <c r="P561" s="8">
        <f t="shared" ref="P561:P562" si="1682">(O561/100000)*E561</f>
        <v>855.0683088</v>
      </c>
      <c r="Q561" s="19">
        <v>1.14</v>
      </c>
      <c r="R561" s="8">
        <f t="shared" ref="R561:R562" si="1683">(Q561/100000)*E561</f>
        <v>550.7219616</v>
      </c>
      <c r="S561" s="19">
        <v>2.71</v>
      </c>
      <c r="T561" s="11">
        <f t="shared" ref="T561:T562" si="1684">(S561/100000)*E561</f>
        <v>1309.172382</v>
      </c>
      <c r="U561" s="14">
        <f t="shared" si="1675"/>
        <v>8.1233973</v>
      </c>
      <c r="V561" s="14">
        <f t="shared" si="1676"/>
        <v>5.2320186</v>
      </c>
      <c r="W561" s="14">
        <f t="shared" si="1677"/>
        <v>12.4375179</v>
      </c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>
      <c r="A562" s="24" t="s">
        <v>23</v>
      </c>
      <c r="B562" s="16" t="s">
        <v>169</v>
      </c>
      <c r="C562" s="20">
        <v>2021.0</v>
      </c>
      <c r="D562" s="17">
        <f>94852.5+91130.5</f>
        <v>185983</v>
      </c>
      <c r="E562" s="18">
        <v>1.9456334E7</v>
      </c>
      <c r="F562" s="19">
        <v>0.92</v>
      </c>
      <c r="G562" s="10">
        <f t="shared" si="1"/>
        <v>178.9982728</v>
      </c>
      <c r="H562" s="19">
        <v>0.61</v>
      </c>
      <c r="I562" s="8">
        <f t="shared" si="2"/>
        <v>118.6836374</v>
      </c>
      <c r="J562" s="19">
        <v>1.26</v>
      </c>
      <c r="K562" s="11">
        <f t="shared" si="3"/>
        <v>245.1498084</v>
      </c>
      <c r="L562" s="11">
        <f t="shared" si="13"/>
        <v>96.24442707</v>
      </c>
      <c r="M562" s="12">
        <f>(I562/D562)*100000</f>
        <v>63.81423969</v>
      </c>
      <c r="N562" s="11">
        <f>(K562/D562)*100000</f>
        <v>131.8130197</v>
      </c>
      <c r="O562" s="19">
        <v>1.47</v>
      </c>
      <c r="P562" s="8">
        <f t="shared" si="1682"/>
        <v>286.0081098</v>
      </c>
      <c r="Q562" s="19">
        <v>0.92</v>
      </c>
      <c r="R562" s="8">
        <f t="shared" si="1683"/>
        <v>178.9982728</v>
      </c>
      <c r="S562" s="19">
        <v>2.26</v>
      </c>
      <c r="T562" s="11">
        <f t="shared" si="1684"/>
        <v>439.7131484</v>
      </c>
      <c r="U562" s="11">
        <f>(P562/D562)*100000</f>
        <v>153.7818563</v>
      </c>
      <c r="V562" s="11">
        <f>(R562/D562)*100000</f>
        <v>96.24442707</v>
      </c>
      <c r="W562" s="11">
        <f>(T562/D562)*100000</f>
        <v>236.4265274</v>
      </c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 hidden="1">
      <c r="A563" s="24" t="s">
        <v>25</v>
      </c>
      <c r="B563" s="16" t="s">
        <v>169</v>
      </c>
      <c r="C563" s="23">
        <v>2030.0</v>
      </c>
      <c r="D563" s="17">
        <f>85297.5+81704.5</f>
        <v>167002</v>
      </c>
      <c r="E563" s="10">
        <v>2.0233183E7</v>
      </c>
      <c r="F563" s="19">
        <v>0.92</v>
      </c>
      <c r="G563" s="10">
        <f t="shared" si="1"/>
        <v>186.1452836</v>
      </c>
      <c r="H563" s="19">
        <v>0.61</v>
      </c>
      <c r="I563" s="8">
        <f t="shared" si="2"/>
        <v>123.4224163</v>
      </c>
      <c r="J563" s="19">
        <v>1.26</v>
      </c>
      <c r="K563" s="11">
        <f t="shared" si="3"/>
        <v>254.9381058</v>
      </c>
      <c r="L563" s="11">
        <f t="shared" si="13"/>
        <v>111.4629068</v>
      </c>
      <c r="M563" s="11">
        <f t="shared" ref="M563:M565" si="1685">(I563*D563)/100000</f>
        <v>206.1179037</v>
      </c>
      <c r="N563" s="11">
        <f t="shared" ref="N563:N565" si="1686">(K563*D563)/100000</f>
        <v>425.7517354</v>
      </c>
      <c r="O563" s="19">
        <v>1.47</v>
      </c>
      <c r="P563" s="19"/>
      <c r="Q563" s="19">
        <v>0.92</v>
      </c>
      <c r="R563" s="19"/>
      <c r="S563" s="19">
        <v>2.26</v>
      </c>
      <c r="T563" s="14"/>
      <c r="U563" s="14">
        <f t="shared" ref="U563:U565" si="1687">(O563*D563)/100000</f>
        <v>2.4549294</v>
      </c>
      <c r="V563" s="14">
        <f t="shared" ref="V563:V565" si="1688">(Q563*D563)/100000</f>
        <v>1.5364184</v>
      </c>
      <c r="W563" s="14">
        <f t="shared" ref="W563:W565" si="1689">(S563*D563)/100000</f>
        <v>3.7742452</v>
      </c>
      <c r="X563" s="13"/>
      <c r="Y563" s="13"/>
      <c r="Z563" s="13" t="str">
        <f t="shared" ref="Z563:Z564" si="1690">ROUND(F563, 0) &amp; " (" &amp; ROUND(H563, 0) &amp; "-" &amp; ROUND(J563, 0) &amp; ")"</f>
        <v>1 (1-1)</v>
      </c>
      <c r="AA563" s="13" t="str">
        <f t="shared" ref="AA563:AA564" si="1691">ROUND(L563, 0) &amp; " (" &amp; ROUND(M563, 0) &amp; "-" &amp; ROUND(N563, 0) &amp; ")"</f>
        <v>111 (206-426)</v>
      </c>
      <c r="AB563" s="13" t="str">
        <f t="shared" ref="AB563:AB564" si="1692">ROUND(O563, 0) &amp; " (" &amp; ROUND(Q563, 0) &amp; "-" &amp; ROUND(S563, 0) &amp; ")"</f>
        <v>1 (1-2)</v>
      </c>
      <c r="AC563" s="13" t="str">
        <f t="shared" ref="AC563:AC564" si="1693">ROUND(U563, 0) &amp; " (" &amp; ROUND(V563, 0) &amp; "-" &amp; ROUND(W563, 0) &amp; ")"</f>
        <v>2 (2-4)</v>
      </c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hidden="1">
      <c r="A564" s="24" t="s">
        <v>27</v>
      </c>
      <c r="B564" s="16" t="s">
        <v>169</v>
      </c>
      <c r="C564" s="23">
        <v>2040.0</v>
      </c>
      <c r="D564" s="17">
        <f>80024+76568</f>
        <v>156592</v>
      </c>
      <c r="E564" s="10">
        <v>2.0542103E7</v>
      </c>
      <c r="F564" s="19">
        <v>0.92</v>
      </c>
      <c r="G564" s="10">
        <f t="shared" si="1"/>
        <v>188.9873476</v>
      </c>
      <c r="H564" s="19">
        <v>0.61</v>
      </c>
      <c r="I564" s="8">
        <f t="shared" si="2"/>
        <v>125.3068283</v>
      </c>
      <c r="J564" s="19">
        <v>1.26</v>
      </c>
      <c r="K564" s="11">
        <f t="shared" si="3"/>
        <v>258.8304978</v>
      </c>
      <c r="L564" s="11">
        <f t="shared" si="13"/>
        <v>120.6877411</v>
      </c>
      <c r="M564" s="11">
        <f t="shared" si="1685"/>
        <v>196.2204686</v>
      </c>
      <c r="N564" s="11">
        <f t="shared" si="1686"/>
        <v>405.3078531</v>
      </c>
      <c r="O564" s="19">
        <v>1.47</v>
      </c>
      <c r="P564" s="19"/>
      <c r="Q564" s="19">
        <v>0.92</v>
      </c>
      <c r="R564" s="19"/>
      <c r="S564" s="19">
        <v>2.26</v>
      </c>
      <c r="T564" s="14"/>
      <c r="U564" s="14">
        <f t="shared" si="1687"/>
        <v>2.3019024</v>
      </c>
      <c r="V564" s="14">
        <f t="shared" si="1688"/>
        <v>1.4406464</v>
      </c>
      <c r="W564" s="14">
        <f t="shared" si="1689"/>
        <v>3.5389792</v>
      </c>
      <c r="X564" s="13"/>
      <c r="Y564" s="13"/>
      <c r="Z564" s="13" t="str">
        <f t="shared" si="1690"/>
        <v>1 (1-1)</v>
      </c>
      <c r="AA564" s="13" t="str">
        <f t="shared" si="1691"/>
        <v>121 (196-405)</v>
      </c>
      <c r="AB564" s="13" t="str">
        <f t="shared" si="1692"/>
        <v>1 (1-2)</v>
      </c>
      <c r="AC564" s="13" t="str">
        <f t="shared" si="1693"/>
        <v>2 (1-4)</v>
      </c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 hidden="1">
      <c r="A565" s="24" t="s">
        <v>29</v>
      </c>
      <c r="B565" s="16" t="s">
        <v>169</v>
      </c>
      <c r="C565" s="23">
        <v>2050.0</v>
      </c>
      <c r="D565" s="17">
        <f>73973+70767</f>
        <v>144740</v>
      </c>
      <c r="E565" s="10">
        <v>2.0320306E7</v>
      </c>
      <c r="F565" s="19">
        <v>0.92</v>
      </c>
      <c r="G565" s="10">
        <f t="shared" si="1"/>
        <v>186.9468152</v>
      </c>
      <c r="H565" s="19">
        <v>0.61</v>
      </c>
      <c r="I565" s="8">
        <f t="shared" si="2"/>
        <v>123.9538666</v>
      </c>
      <c r="J565" s="19">
        <v>1.26</v>
      </c>
      <c r="K565" s="11">
        <f t="shared" si="3"/>
        <v>256.0358556</v>
      </c>
      <c r="L565" s="11">
        <f t="shared" si="13"/>
        <v>129.1604361</v>
      </c>
      <c r="M565" s="11">
        <f t="shared" si="1685"/>
        <v>179.4108265</v>
      </c>
      <c r="N565" s="11">
        <f t="shared" si="1686"/>
        <v>370.5862974</v>
      </c>
      <c r="O565" s="19">
        <v>1.47</v>
      </c>
      <c r="P565" s="8">
        <f t="shared" ref="P565:P566" si="1694">(O565/100000)*E565</f>
        <v>298.7084982</v>
      </c>
      <c r="Q565" s="19">
        <v>0.92</v>
      </c>
      <c r="R565" s="8">
        <f t="shared" ref="R565:R566" si="1695">(Q565/100000)*E565</f>
        <v>186.9468152</v>
      </c>
      <c r="S565" s="19">
        <v>2.26</v>
      </c>
      <c r="T565" s="11">
        <f t="shared" ref="T565:T566" si="1696">(S565/100000)*E565</f>
        <v>459.2389156</v>
      </c>
      <c r="U565" s="14">
        <f t="shared" si="1687"/>
        <v>2.127678</v>
      </c>
      <c r="V565" s="14">
        <f t="shared" si="1688"/>
        <v>1.331608</v>
      </c>
      <c r="W565" s="14">
        <f t="shared" si="1689"/>
        <v>3.271124</v>
      </c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>
      <c r="A566" s="24" t="s">
        <v>23</v>
      </c>
      <c r="B566" s="16" t="s">
        <v>170</v>
      </c>
      <c r="C566" s="20">
        <v>2021.0</v>
      </c>
      <c r="D566" s="17">
        <f>17755+16834</f>
        <v>34589</v>
      </c>
      <c r="E566" s="18">
        <v>3396695.0</v>
      </c>
      <c r="F566" s="19">
        <v>0.59</v>
      </c>
      <c r="G566" s="10">
        <f t="shared" si="1"/>
        <v>20.0405005</v>
      </c>
      <c r="H566" s="19">
        <v>0.37</v>
      </c>
      <c r="I566" s="8">
        <f t="shared" si="2"/>
        <v>12.5677715</v>
      </c>
      <c r="J566" s="19">
        <v>0.81</v>
      </c>
      <c r="K566" s="11">
        <f t="shared" si="3"/>
        <v>27.5132295</v>
      </c>
      <c r="L566" s="11">
        <f t="shared" si="13"/>
        <v>57.93894157</v>
      </c>
      <c r="M566" s="12">
        <f>(I566/D566)*100000</f>
        <v>36.33459048</v>
      </c>
      <c r="N566" s="11">
        <f>(K566/D566)*100000</f>
        <v>79.54329267</v>
      </c>
      <c r="O566" s="19">
        <v>0.94</v>
      </c>
      <c r="P566" s="8">
        <f t="shared" si="1694"/>
        <v>31.928933</v>
      </c>
      <c r="Q566" s="19">
        <v>0.59</v>
      </c>
      <c r="R566" s="8">
        <f t="shared" si="1695"/>
        <v>20.0405005</v>
      </c>
      <c r="S566" s="19">
        <v>1.44</v>
      </c>
      <c r="T566" s="11">
        <f t="shared" si="1696"/>
        <v>48.912408</v>
      </c>
      <c r="U566" s="11">
        <f>(P566/D566)*100000</f>
        <v>92.30950013</v>
      </c>
      <c r="V566" s="11">
        <f>(R566/D566)*100000</f>
        <v>57.93894157</v>
      </c>
      <c r="W566" s="11">
        <f>(T566/D566)*100000</f>
        <v>141.4102981</v>
      </c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 hidden="1">
      <c r="A567" s="24" t="s">
        <v>25</v>
      </c>
      <c r="B567" s="16" t="s">
        <v>170</v>
      </c>
      <c r="C567" s="23">
        <v>2030.0</v>
      </c>
      <c r="D567" s="17">
        <f>16661+15835</f>
        <v>32496</v>
      </c>
      <c r="E567" s="10">
        <v>3372887.0</v>
      </c>
      <c r="F567" s="19">
        <v>0.59</v>
      </c>
      <c r="G567" s="10">
        <f t="shared" si="1"/>
        <v>19.9000333</v>
      </c>
      <c r="H567" s="19">
        <v>0.37</v>
      </c>
      <c r="I567" s="8">
        <f t="shared" si="2"/>
        <v>12.4796819</v>
      </c>
      <c r="J567" s="19">
        <v>0.81</v>
      </c>
      <c r="K567" s="11">
        <f t="shared" si="3"/>
        <v>27.3203847</v>
      </c>
      <c r="L567" s="11">
        <f t="shared" si="13"/>
        <v>61.23840873</v>
      </c>
      <c r="M567" s="11">
        <f t="shared" ref="M567:M569" si="1697">(I567*D567)/100000</f>
        <v>4.05539743</v>
      </c>
      <c r="N567" s="11">
        <f t="shared" ref="N567:N569" si="1698">(K567*D567)/100000</f>
        <v>8.878032212</v>
      </c>
      <c r="O567" s="19">
        <v>0.94</v>
      </c>
      <c r="P567" s="19"/>
      <c r="Q567" s="19">
        <v>0.59</v>
      </c>
      <c r="R567" s="19"/>
      <c r="S567" s="19">
        <v>1.44</v>
      </c>
      <c r="T567" s="14"/>
      <c r="U567" s="14">
        <f t="shared" ref="U567:U569" si="1699">(O567*D567)/100000</f>
        <v>0.3054624</v>
      </c>
      <c r="V567" s="14">
        <f t="shared" ref="V567:V569" si="1700">(Q567*D567)/100000</f>
        <v>0.1917264</v>
      </c>
      <c r="W567" s="14">
        <f t="shared" ref="W567:W569" si="1701">(S567*D567)/100000</f>
        <v>0.4679424</v>
      </c>
      <c r="X567" s="13"/>
      <c r="Y567" s="13"/>
      <c r="Z567" s="13" t="str">
        <f t="shared" ref="Z567:Z568" si="1702">ROUND(F567, 0) &amp; " (" &amp; ROUND(H567, 0) &amp; "-" &amp; ROUND(J567, 0) &amp; ")"</f>
        <v>1 (0-1)</v>
      </c>
      <c r="AA567" s="13" t="str">
        <f t="shared" ref="AA567:AA568" si="1703">ROUND(L567, 0) &amp; " (" &amp; ROUND(M567, 0) &amp; "-" &amp; ROUND(N567, 0) &amp; ")"</f>
        <v>61 (4-9)</v>
      </c>
      <c r="AB567" s="13" t="str">
        <f t="shared" ref="AB567:AB568" si="1704">ROUND(O567, 0) &amp; " (" &amp; ROUND(Q567, 0) &amp; "-" &amp; ROUND(S567, 0) &amp; ")"</f>
        <v>1 (1-1)</v>
      </c>
      <c r="AC567" s="13" t="str">
        <f t="shared" ref="AC567:AC568" si="1705">ROUND(U567, 0) &amp; " (" &amp; ROUND(V567, 0) &amp; "-" &amp; ROUND(W567, 0) &amp; ")"</f>
        <v>0 (0-0)</v>
      </c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 hidden="1">
      <c r="A568" s="24" t="s">
        <v>27</v>
      </c>
      <c r="B568" s="16" t="s">
        <v>170</v>
      </c>
      <c r="C568" s="23">
        <v>2040.0</v>
      </c>
      <c r="D568" s="17">
        <f>15835+15057</f>
        <v>30892</v>
      </c>
      <c r="E568" s="10">
        <v>3336459.0</v>
      </c>
      <c r="F568" s="19">
        <v>0.59</v>
      </c>
      <c r="G568" s="10">
        <f t="shared" si="1"/>
        <v>19.6851081</v>
      </c>
      <c r="H568" s="19">
        <v>0.37</v>
      </c>
      <c r="I568" s="8">
        <f t="shared" si="2"/>
        <v>12.3448983</v>
      </c>
      <c r="J568" s="19">
        <v>0.81</v>
      </c>
      <c r="K568" s="11">
        <f t="shared" si="3"/>
        <v>27.0253179</v>
      </c>
      <c r="L568" s="11">
        <f t="shared" si="13"/>
        <v>63.72234915</v>
      </c>
      <c r="M568" s="11">
        <f t="shared" si="1697"/>
        <v>3.813585983</v>
      </c>
      <c r="N568" s="11">
        <f t="shared" si="1698"/>
        <v>8.348661206</v>
      </c>
      <c r="O568" s="19">
        <v>0.94</v>
      </c>
      <c r="P568" s="19"/>
      <c r="Q568" s="19">
        <v>0.59</v>
      </c>
      <c r="R568" s="19"/>
      <c r="S568" s="19">
        <v>1.44</v>
      </c>
      <c r="T568" s="14"/>
      <c r="U568" s="14">
        <f t="shared" si="1699"/>
        <v>0.2903848</v>
      </c>
      <c r="V568" s="14">
        <f t="shared" si="1700"/>
        <v>0.1822628</v>
      </c>
      <c r="W568" s="14">
        <f t="shared" si="1701"/>
        <v>0.4448448</v>
      </c>
      <c r="X568" s="13"/>
      <c r="Y568" s="13"/>
      <c r="Z568" s="13" t="str">
        <f t="shared" si="1702"/>
        <v>1 (0-1)</v>
      </c>
      <c r="AA568" s="13" t="str">
        <f t="shared" si="1703"/>
        <v>64 (4-8)</v>
      </c>
      <c r="AB568" s="13" t="str">
        <f t="shared" si="1704"/>
        <v>1 (1-1)</v>
      </c>
      <c r="AC568" s="13" t="str">
        <f t="shared" si="1705"/>
        <v>0 (0-0)</v>
      </c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 hidden="1">
      <c r="A569" s="24" t="s">
        <v>29</v>
      </c>
      <c r="B569" s="16" t="s">
        <v>170</v>
      </c>
      <c r="C569" s="23">
        <v>2050.0</v>
      </c>
      <c r="D569" s="17">
        <f>13869+13189</f>
        <v>27058</v>
      </c>
      <c r="E569" s="10">
        <v>3254354.0</v>
      </c>
      <c r="F569" s="19">
        <v>0.59</v>
      </c>
      <c r="G569" s="10">
        <f t="shared" si="1"/>
        <v>19.2006886</v>
      </c>
      <c r="H569" s="19">
        <v>0.37</v>
      </c>
      <c r="I569" s="8">
        <f t="shared" si="2"/>
        <v>12.0411098</v>
      </c>
      <c r="J569" s="19">
        <v>0.81</v>
      </c>
      <c r="K569" s="11">
        <f t="shared" si="3"/>
        <v>26.3602674</v>
      </c>
      <c r="L569" s="11">
        <f t="shared" si="13"/>
        <v>70.96122625</v>
      </c>
      <c r="M569" s="11">
        <f t="shared" si="1697"/>
        <v>3.25808349</v>
      </c>
      <c r="N569" s="11">
        <f t="shared" si="1698"/>
        <v>7.132561153</v>
      </c>
      <c r="O569" s="19">
        <v>0.94</v>
      </c>
      <c r="P569" s="8">
        <f t="shared" ref="P569:P570" si="1706">(O569/100000)*E569</f>
        <v>30.5909276</v>
      </c>
      <c r="Q569" s="19">
        <v>0.59</v>
      </c>
      <c r="R569" s="8">
        <f t="shared" ref="R569:R570" si="1707">(Q569/100000)*E569</f>
        <v>19.2006886</v>
      </c>
      <c r="S569" s="19">
        <v>1.44</v>
      </c>
      <c r="T569" s="11">
        <f t="shared" ref="T569:T570" si="1708">(S569/100000)*E569</f>
        <v>46.8626976</v>
      </c>
      <c r="U569" s="14">
        <f t="shared" si="1699"/>
        <v>0.2543452</v>
      </c>
      <c r="V569" s="14">
        <f t="shared" si="1700"/>
        <v>0.1596422</v>
      </c>
      <c r="W569" s="14">
        <f t="shared" si="1701"/>
        <v>0.3896352</v>
      </c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>
      <c r="A570" s="24" t="s">
        <v>23</v>
      </c>
      <c r="B570" s="16" t="s">
        <v>171</v>
      </c>
      <c r="C570" s="20">
        <v>2021.0</v>
      </c>
      <c r="D570" s="17">
        <f>168.5+140.5</f>
        <v>309</v>
      </c>
      <c r="E570" s="18">
        <v>78364.0</v>
      </c>
      <c r="F570" s="19">
        <v>0.7</v>
      </c>
      <c r="G570" s="10">
        <f t="shared" si="1"/>
        <v>0.548548</v>
      </c>
      <c r="H570" s="19">
        <v>0.46</v>
      </c>
      <c r="I570" s="8">
        <f t="shared" si="2"/>
        <v>0.3604744</v>
      </c>
      <c r="J570" s="19">
        <v>0.95</v>
      </c>
      <c r="K570" s="11">
        <f t="shared" si="3"/>
        <v>0.744458</v>
      </c>
      <c r="L570" s="11">
        <f t="shared" si="13"/>
        <v>177.5236246</v>
      </c>
      <c r="M570" s="12">
        <f>(I570/D570)*100000</f>
        <v>116.6583819</v>
      </c>
      <c r="N570" s="11">
        <f>(K570/D570)*100000</f>
        <v>240.9249191</v>
      </c>
      <c r="O570" s="19">
        <v>1.53</v>
      </c>
      <c r="P570" s="8">
        <f t="shared" si="1706"/>
        <v>1.1989692</v>
      </c>
      <c r="Q570" s="19">
        <v>0.91</v>
      </c>
      <c r="R570" s="8">
        <f t="shared" si="1707"/>
        <v>0.7131124</v>
      </c>
      <c r="S570" s="19">
        <v>2.38</v>
      </c>
      <c r="T570" s="11">
        <f t="shared" si="1708"/>
        <v>1.8650632</v>
      </c>
      <c r="U570" s="11">
        <f>(P570/D570)*100000</f>
        <v>388.0159223</v>
      </c>
      <c r="V570" s="11">
        <f>(R570/D570)*100000</f>
        <v>230.780712</v>
      </c>
      <c r="W570" s="11">
        <f>(T570/D570)*100000</f>
        <v>603.5803236</v>
      </c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</row>
    <row r="571" hidden="1">
      <c r="A571" s="24" t="s">
        <v>25</v>
      </c>
      <c r="B571" s="16" t="s">
        <v>171</v>
      </c>
      <c r="C571" s="23">
        <v>2030.0</v>
      </c>
      <c r="D571" s="17">
        <f>305+288</f>
        <v>593</v>
      </c>
      <c r="E571" s="10">
        <v>85681.0</v>
      </c>
      <c r="F571" s="19">
        <v>0.7</v>
      </c>
      <c r="G571" s="10">
        <f t="shared" si="1"/>
        <v>0.599767</v>
      </c>
      <c r="H571" s="19">
        <v>0.46</v>
      </c>
      <c r="I571" s="8">
        <f t="shared" si="2"/>
        <v>0.3941326</v>
      </c>
      <c r="J571" s="19">
        <v>0.95</v>
      </c>
      <c r="K571" s="11">
        <f t="shared" si="3"/>
        <v>0.8139695</v>
      </c>
      <c r="L571" s="11">
        <f t="shared" si="13"/>
        <v>101.1411467</v>
      </c>
      <c r="M571" s="11">
        <f t="shared" ref="M571:M573" si="1709">(I571*D571)/100000</f>
        <v>0.002337206318</v>
      </c>
      <c r="N571" s="11">
        <f t="shared" ref="N571:N573" si="1710">(K571*D571)/100000</f>
        <v>0.004826839135</v>
      </c>
      <c r="O571" s="19">
        <v>1.53</v>
      </c>
      <c r="P571" s="19"/>
      <c r="Q571" s="19">
        <v>0.91</v>
      </c>
      <c r="R571" s="19"/>
      <c r="S571" s="19">
        <v>2.38</v>
      </c>
      <c r="T571" s="14"/>
      <c r="U571" s="14">
        <f t="shared" ref="U571:U573" si="1711">(O571*D571)/100000</f>
        <v>0.0090729</v>
      </c>
      <c r="V571" s="14">
        <f t="shared" ref="V571:V573" si="1712">(Q571*D571)/100000</f>
        <v>0.0053963</v>
      </c>
      <c r="W571" s="14">
        <f t="shared" ref="W571:W573" si="1713">(S571*D571)/100000</f>
        <v>0.0141134</v>
      </c>
      <c r="X571" s="13"/>
      <c r="Y571" s="13"/>
      <c r="Z571" s="13" t="str">
        <f t="shared" ref="Z571:Z572" si="1714">ROUND(F571, 0) &amp; " (" &amp; ROUND(H571, 0) &amp; "-" &amp; ROUND(J571, 0) &amp; ")"</f>
        <v>1 (0-1)</v>
      </c>
      <c r="AA571" s="13" t="str">
        <f t="shared" ref="AA571:AA572" si="1715">ROUND(L571, 0) &amp; " (" &amp; ROUND(M571, 0) &amp; "-" &amp; ROUND(N571, 0) &amp; ")"</f>
        <v>101 (0-0)</v>
      </c>
      <c r="AB571" s="13" t="str">
        <f t="shared" ref="AB571:AB572" si="1716">ROUND(O571, 0) &amp; " (" &amp; ROUND(Q571, 0) &amp; "-" &amp; ROUND(S571, 0) &amp; ")"</f>
        <v>2 (1-2)</v>
      </c>
      <c r="AC571" s="13" t="str">
        <f t="shared" ref="AC571:AC572" si="1717">ROUND(U571, 0) &amp; " (" &amp; ROUND(V571, 0) &amp; "-" &amp; ROUND(W571, 0) &amp; ")"</f>
        <v>0 (0-0)</v>
      </c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</row>
    <row r="572" hidden="1">
      <c r="A572" s="24" t="s">
        <v>27</v>
      </c>
      <c r="B572" s="16" t="s">
        <v>171</v>
      </c>
      <c r="C572" s="23">
        <v>2040.0</v>
      </c>
      <c r="D572" s="17">
        <f>283+266</f>
        <v>549</v>
      </c>
      <c r="E572" s="10">
        <v>85668.0</v>
      </c>
      <c r="F572" s="19">
        <v>0.7</v>
      </c>
      <c r="G572" s="10">
        <f t="shared" si="1"/>
        <v>0.599676</v>
      </c>
      <c r="H572" s="19">
        <v>0.46</v>
      </c>
      <c r="I572" s="8">
        <f t="shared" si="2"/>
        <v>0.3940728</v>
      </c>
      <c r="J572" s="19">
        <v>0.95</v>
      </c>
      <c r="K572" s="11">
        <f t="shared" si="3"/>
        <v>0.813846</v>
      </c>
      <c r="L572" s="11">
        <f t="shared" si="13"/>
        <v>109.2306011</v>
      </c>
      <c r="M572" s="11">
        <f t="shared" si="1709"/>
        <v>0.002163459672</v>
      </c>
      <c r="N572" s="11">
        <f t="shared" si="1710"/>
        <v>0.00446801454</v>
      </c>
      <c r="O572" s="19">
        <v>1.53</v>
      </c>
      <c r="P572" s="19"/>
      <c r="Q572" s="19">
        <v>0.91</v>
      </c>
      <c r="R572" s="19"/>
      <c r="S572" s="19">
        <v>2.38</v>
      </c>
      <c r="T572" s="14"/>
      <c r="U572" s="14">
        <f t="shared" si="1711"/>
        <v>0.0083997</v>
      </c>
      <c r="V572" s="14">
        <f t="shared" si="1712"/>
        <v>0.0049959</v>
      </c>
      <c r="W572" s="14">
        <f t="shared" si="1713"/>
        <v>0.0130662</v>
      </c>
      <c r="X572" s="13"/>
      <c r="Y572" s="13"/>
      <c r="Z572" s="13" t="str">
        <f t="shared" si="1714"/>
        <v>1 (0-1)</v>
      </c>
      <c r="AA572" s="13" t="str">
        <f t="shared" si="1715"/>
        <v>109 (0-0)</v>
      </c>
      <c r="AB572" s="13" t="str">
        <f t="shared" si="1716"/>
        <v>2 (1-2)</v>
      </c>
      <c r="AC572" s="13" t="str">
        <f t="shared" si="1717"/>
        <v>0 (0-0)</v>
      </c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 hidden="1">
      <c r="A573" s="24" t="s">
        <v>29</v>
      </c>
      <c r="B573" s="16" t="s">
        <v>171</v>
      </c>
      <c r="C573" s="23">
        <v>2050.0</v>
      </c>
      <c r="D573" s="17">
        <f>229+216</f>
        <v>445</v>
      </c>
      <c r="E573" s="10">
        <v>82195.0</v>
      </c>
      <c r="F573" s="19">
        <v>0.7</v>
      </c>
      <c r="G573" s="10">
        <f t="shared" si="1"/>
        <v>0.575365</v>
      </c>
      <c r="H573" s="19">
        <v>0.46</v>
      </c>
      <c r="I573" s="8">
        <f t="shared" si="2"/>
        <v>0.378097</v>
      </c>
      <c r="J573" s="19">
        <v>0.95</v>
      </c>
      <c r="K573" s="11">
        <f t="shared" si="3"/>
        <v>0.7808525</v>
      </c>
      <c r="L573" s="11">
        <f t="shared" si="13"/>
        <v>129.2955056</v>
      </c>
      <c r="M573" s="11">
        <f t="shared" si="1709"/>
        <v>0.00168253165</v>
      </c>
      <c r="N573" s="11">
        <f t="shared" si="1710"/>
        <v>0.003474793625</v>
      </c>
      <c r="O573" s="19">
        <v>1.53</v>
      </c>
      <c r="P573" s="8">
        <f t="shared" ref="P573:P574" si="1718">(O573/100000)*E573</f>
        <v>1.2575835</v>
      </c>
      <c r="Q573" s="19">
        <v>0.91</v>
      </c>
      <c r="R573" s="8">
        <f t="shared" ref="R573:R574" si="1719">(Q573/100000)*E573</f>
        <v>0.7479745</v>
      </c>
      <c r="S573" s="19">
        <v>2.38</v>
      </c>
      <c r="T573" s="11">
        <f t="shared" ref="T573:T574" si="1720">(S573/100000)*E573</f>
        <v>1.956241</v>
      </c>
      <c r="U573" s="14">
        <f t="shared" si="1711"/>
        <v>0.0068085</v>
      </c>
      <c r="V573" s="14">
        <f t="shared" si="1712"/>
        <v>0.0040495</v>
      </c>
      <c r="W573" s="14">
        <f t="shared" si="1713"/>
        <v>0.010591</v>
      </c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>
      <c r="A574" s="24" t="s">
        <v>23</v>
      </c>
      <c r="B574" s="16" t="s">
        <v>172</v>
      </c>
      <c r="C574" s="20">
        <v>2021.0</v>
      </c>
      <c r="D574" s="17">
        <f>43578+41345.5</f>
        <v>84923.5</v>
      </c>
      <c r="E574" s="18">
        <v>8955797.0</v>
      </c>
      <c r="F574" s="19">
        <v>0.96</v>
      </c>
      <c r="G574" s="10">
        <f t="shared" si="1"/>
        <v>85.9756512</v>
      </c>
      <c r="H574" s="19">
        <v>0.65</v>
      </c>
      <c r="I574" s="8">
        <f t="shared" si="2"/>
        <v>58.2126805</v>
      </c>
      <c r="J574" s="19">
        <v>1.3</v>
      </c>
      <c r="K574" s="11">
        <f t="shared" si="3"/>
        <v>116.425361</v>
      </c>
      <c r="L574" s="11">
        <f t="shared" si="13"/>
        <v>101.23894</v>
      </c>
      <c r="M574" s="12">
        <f>(I574/D574)*100000</f>
        <v>68.54719895</v>
      </c>
      <c r="N574" s="11">
        <f>(K574/D574)*100000</f>
        <v>137.0943979</v>
      </c>
      <c r="O574" s="19">
        <v>1.44</v>
      </c>
      <c r="P574" s="8">
        <f t="shared" si="1718"/>
        <v>128.9634768</v>
      </c>
      <c r="Q574" s="19">
        <v>0.89</v>
      </c>
      <c r="R574" s="8">
        <f t="shared" si="1719"/>
        <v>79.7065933</v>
      </c>
      <c r="S574" s="19">
        <v>2.21</v>
      </c>
      <c r="T574" s="11">
        <f t="shared" si="1720"/>
        <v>197.9231137</v>
      </c>
      <c r="U574" s="11">
        <f>(P574/D574)*100000</f>
        <v>151.85841</v>
      </c>
      <c r="V574" s="11">
        <f>(R574/D574)*100000</f>
        <v>93.85693395</v>
      </c>
      <c r="W574" s="11">
        <f>(T574/D574)*100000</f>
        <v>233.0604764</v>
      </c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 hidden="1">
      <c r="A575" s="24" t="s">
        <v>25</v>
      </c>
      <c r="B575" s="16" t="s">
        <v>172</v>
      </c>
      <c r="C575" s="23">
        <v>2030.0</v>
      </c>
      <c r="D575" s="17">
        <f>36577+34638</f>
        <v>71215</v>
      </c>
      <c r="E575" s="10">
        <v>9121729.0</v>
      </c>
      <c r="F575" s="19">
        <v>0.96</v>
      </c>
      <c r="G575" s="10">
        <f t="shared" si="1"/>
        <v>87.5685984</v>
      </c>
      <c r="H575" s="19">
        <v>0.65</v>
      </c>
      <c r="I575" s="8">
        <f t="shared" si="2"/>
        <v>59.2912385</v>
      </c>
      <c r="J575" s="19">
        <v>1.3</v>
      </c>
      <c r="K575" s="11">
        <f t="shared" si="3"/>
        <v>118.582477</v>
      </c>
      <c r="L575" s="11">
        <f t="shared" si="13"/>
        <v>122.9636992</v>
      </c>
      <c r="M575" s="11">
        <f t="shared" ref="M575:M577" si="1721">(I575*D575)/100000</f>
        <v>42.2242555</v>
      </c>
      <c r="N575" s="11">
        <f t="shared" ref="N575:N577" si="1722">(K575*D575)/100000</f>
        <v>84.448511</v>
      </c>
      <c r="O575" s="19">
        <v>1.44</v>
      </c>
      <c r="P575" s="19"/>
      <c r="Q575" s="19">
        <v>0.89</v>
      </c>
      <c r="R575" s="19"/>
      <c r="S575" s="19">
        <v>2.21</v>
      </c>
      <c r="T575" s="14"/>
      <c r="U575" s="14">
        <f t="shared" ref="U575:U577" si="1723">(O575*D575)/100000</f>
        <v>1.025496</v>
      </c>
      <c r="V575" s="14">
        <f t="shared" ref="V575:V577" si="1724">(Q575*D575)/100000</f>
        <v>0.6338135</v>
      </c>
      <c r="W575" s="14">
        <f t="shared" ref="W575:W577" si="1725">(S575*D575)/100000</f>
        <v>1.5738515</v>
      </c>
      <c r="X575" s="13"/>
      <c r="Y575" s="13"/>
      <c r="Z575" s="13" t="str">
        <f t="shared" ref="Z575:Z576" si="1726">ROUND(F575, 0) &amp; " (" &amp; ROUND(H575, 0) &amp; "-" &amp; ROUND(J575, 0) &amp; ")"</f>
        <v>1 (1-1)</v>
      </c>
      <c r="AA575" s="13" t="str">
        <f t="shared" ref="AA575:AA576" si="1727">ROUND(L575, 0) &amp; " (" &amp; ROUND(M575, 0) &amp; "-" &amp; ROUND(N575, 0) &amp; ")"</f>
        <v>123 (42-84)</v>
      </c>
      <c r="AB575" s="13" t="str">
        <f t="shared" ref="AB575:AB576" si="1728">ROUND(O575, 0) &amp; " (" &amp; ROUND(Q575, 0) &amp; "-" &amp; ROUND(S575, 0) &amp; ")"</f>
        <v>1 (1-2)</v>
      </c>
      <c r="AC575" s="13" t="str">
        <f t="shared" ref="AC575:AC576" si="1729">ROUND(U575, 0) &amp; " (" &amp; ROUND(V575, 0) &amp; "-" &amp; ROUND(W575, 0) &amp; ")"</f>
        <v>1 (1-2)</v>
      </c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</row>
    <row r="576" hidden="1">
      <c r="A576" s="24" t="s">
        <v>27</v>
      </c>
      <c r="B576" s="16" t="s">
        <v>172</v>
      </c>
      <c r="C576" s="23">
        <v>2040.0</v>
      </c>
      <c r="D576" s="17">
        <f>35170+33290</f>
        <v>68460</v>
      </c>
      <c r="E576" s="10">
        <v>8962587.0</v>
      </c>
      <c r="F576" s="19">
        <v>0.96</v>
      </c>
      <c r="G576" s="10">
        <f t="shared" si="1"/>
        <v>86.0408352</v>
      </c>
      <c r="H576" s="19">
        <v>0.65</v>
      </c>
      <c r="I576" s="8">
        <f t="shared" si="2"/>
        <v>58.2568155</v>
      </c>
      <c r="J576" s="19">
        <v>1.3</v>
      </c>
      <c r="K576" s="11">
        <f t="shared" si="3"/>
        <v>116.513631</v>
      </c>
      <c r="L576" s="11">
        <f t="shared" si="13"/>
        <v>125.6804487</v>
      </c>
      <c r="M576" s="11">
        <f t="shared" si="1721"/>
        <v>39.88261589</v>
      </c>
      <c r="N576" s="11">
        <f t="shared" si="1722"/>
        <v>79.76523178</v>
      </c>
      <c r="O576" s="19">
        <v>1.44</v>
      </c>
      <c r="P576" s="19"/>
      <c r="Q576" s="19">
        <v>0.89</v>
      </c>
      <c r="R576" s="19"/>
      <c r="S576" s="19">
        <v>2.21</v>
      </c>
      <c r="T576" s="14"/>
      <c r="U576" s="14">
        <f t="shared" si="1723"/>
        <v>0.985824</v>
      </c>
      <c r="V576" s="14">
        <f t="shared" si="1724"/>
        <v>0.609294</v>
      </c>
      <c r="W576" s="14">
        <f t="shared" si="1725"/>
        <v>1.512966</v>
      </c>
      <c r="X576" s="13"/>
      <c r="Y576" s="13"/>
      <c r="Z576" s="13" t="str">
        <f t="shared" si="1726"/>
        <v>1 (1-1)</v>
      </c>
      <c r="AA576" s="13" t="str">
        <f t="shared" si="1727"/>
        <v>126 (40-80)</v>
      </c>
      <c r="AB576" s="13" t="str">
        <f t="shared" si="1728"/>
        <v>1 (1-2)</v>
      </c>
      <c r="AC576" s="13" t="str">
        <f t="shared" si="1729"/>
        <v>1 (1-2)</v>
      </c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 hidden="1">
      <c r="A577" s="24" t="s">
        <v>29</v>
      </c>
      <c r="B577" s="16" t="s">
        <v>172</v>
      </c>
      <c r="C577" s="23">
        <v>2050.0</v>
      </c>
      <c r="D577" s="17">
        <f>36172+34239</f>
        <v>70411</v>
      </c>
      <c r="E577" s="10">
        <v>8698109.0</v>
      </c>
      <c r="F577" s="19">
        <v>0.96</v>
      </c>
      <c r="G577" s="10">
        <f t="shared" si="1"/>
        <v>83.5018464</v>
      </c>
      <c r="H577" s="19">
        <v>0.65</v>
      </c>
      <c r="I577" s="8">
        <f t="shared" si="2"/>
        <v>56.5377085</v>
      </c>
      <c r="J577" s="19">
        <v>1.3</v>
      </c>
      <c r="K577" s="11">
        <f t="shared" si="3"/>
        <v>113.075417</v>
      </c>
      <c r="L577" s="11">
        <f t="shared" si="13"/>
        <v>118.5920473</v>
      </c>
      <c r="M577" s="11">
        <f t="shared" si="1721"/>
        <v>39.80876593</v>
      </c>
      <c r="N577" s="11">
        <f t="shared" si="1722"/>
        <v>79.61753186</v>
      </c>
      <c r="O577" s="19">
        <v>1.44</v>
      </c>
      <c r="P577" s="8">
        <f t="shared" ref="P577:P578" si="1730">(O577/100000)*E577</f>
        <v>125.2527696</v>
      </c>
      <c r="Q577" s="19">
        <v>0.89</v>
      </c>
      <c r="R577" s="8">
        <f t="shared" ref="R577:R578" si="1731">(Q577/100000)*E577</f>
        <v>77.4131701</v>
      </c>
      <c r="S577" s="19">
        <v>2.21</v>
      </c>
      <c r="T577" s="11">
        <f t="shared" ref="T577:T578" si="1732">(S577/100000)*E577</f>
        <v>192.2282089</v>
      </c>
      <c r="U577" s="14">
        <f t="shared" si="1723"/>
        <v>1.0139184</v>
      </c>
      <c r="V577" s="14">
        <f t="shared" si="1724"/>
        <v>0.6266579</v>
      </c>
      <c r="W577" s="14">
        <f t="shared" si="1725"/>
        <v>1.5560831</v>
      </c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>
      <c r="A578" s="24" t="s">
        <v>23</v>
      </c>
      <c r="B578" s="16" t="s">
        <v>173</v>
      </c>
      <c r="C578" s="20">
        <v>2021.0</v>
      </c>
      <c r="D578" s="17">
        <f>59383+56750.5</f>
        <v>116133.5</v>
      </c>
      <c r="E578" s="18">
        <v>1.1586195E7</v>
      </c>
      <c r="F578" s="19">
        <v>0.89</v>
      </c>
      <c r="G578" s="10">
        <f t="shared" si="1"/>
        <v>103.1171355</v>
      </c>
      <c r="H578" s="19">
        <v>0.66</v>
      </c>
      <c r="I578" s="8">
        <f t="shared" si="2"/>
        <v>76.468887</v>
      </c>
      <c r="J578" s="19">
        <v>1.15</v>
      </c>
      <c r="K578" s="11">
        <f t="shared" si="3"/>
        <v>133.2412425</v>
      </c>
      <c r="L578" s="11">
        <f t="shared" si="13"/>
        <v>88.7918951</v>
      </c>
      <c r="M578" s="12">
        <f>(I578/D578)*100000</f>
        <v>65.84567502</v>
      </c>
      <c r="N578" s="11">
        <f>(K578/D578)*100000</f>
        <v>114.7311004</v>
      </c>
      <c r="O578" s="19">
        <v>1.31</v>
      </c>
      <c r="P578" s="8">
        <f t="shared" si="1730"/>
        <v>151.7791545</v>
      </c>
      <c r="Q578" s="19">
        <v>0.81</v>
      </c>
      <c r="R578" s="8">
        <f t="shared" si="1731"/>
        <v>93.8481795</v>
      </c>
      <c r="S578" s="19">
        <v>2.0</v>
      </c>
      <c r="T578" s="11">
        <f t="shared" si="1732"/>
        <v>231.7239</v>
      </c>
      <c r="U578" s="11">
        <f>(P578/D578)*100000</f>
        <v>130.6936883</v>
      </c>
      <c r="V578" s="11">
        <f>(R578/D578)*100000</f>
        <v>80.81060116</v>
      </c>
      <c r="W578" s="11">
        <f>(T578/D578)*100000</f>
        <v>199.5323485</v>
      </c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hidden="1">
      <c r="A579" s="24" t="s">
        <v>25</v>
      </c>
      <c r="B579" s="16" t="s">
        <v>173</v>
      </c>
      <c r="C579" s="23">
        <v>2030.0</v>
      </c>
      <c r="D579" s="17">
        <f>51559+49064</f>
        <v>100623</v>
      </c>
      <c r="E579" s="10">
        <v>1.1941968E7</v>
      </c>
      <c r="F579" s="19">
        <v>0.89</v>
      </c>
      <c r="G579" s="10">
        <f t="shared" si="1"/>
        <v>106.2835152</v>
      </c>
      <c r="H579" s="19">
        <v>0.66</v>
      </c>
      <c r="I579" s="8">
        <f t="shared" si="2"/>
        <v>78.8169888</v>
      </c>
      <c r="J579" s="19">
        <v>1.15</v>
      </c>
      <c r="K579" s="11">
        <f t="shared" si="3"/>
        <v>137.332632</v>
      </c>
      <c r="L579" s="11">
        <f t="shared" si="13"/>
        <v>105.6254685</v>
      </c>
      <c r="M579" s="11">
        <f t="shared" ref="M579:M581" si="1733">(I579*D579)/100000</f>
        <v>79.30801864</v>
      </c>
      <c r="N579" s="11">
        <f t="shared" ref="N579:N581" si="1734">(K579*D579)/100000</f>
        <v>138.1882143</v>
      </c>
      <c r="O579" s="19">
        <v>1.31</v>
      </c>
      <c r="P579" s="19"/>
      <c r="Q579" s="19">
        <v>0.81</v>
      </c>
      <c r="R579" s="19"/>
      <c r="S579" s="19">
        <v>2.0</v>
      </c>
      <c r="T579" s="14"/>
      <c r="U579" s="14">
        <f t="shared" ref="U579:U581" si="1735">(O579*D579)/100000</f>
        <v>1.3181613</v>
      </c>
      <c r="V579" s="14">
        <f t="shared" ref="V579:V581" si="1736">(Q579*D579)/100000</f>
        <v>0.8150463</v>
      </c>
      <c r="W579" s="14">
        <f t="shared" ref="W579:W581" si="1737">(S579*D579)/100000</f>
        <v>2.01246</v>
      </c>
      <c r="X579" s="13"/>
      <c r="Y579" s="13"/>
      <c r="Z579" s="13" t="str">
        <f t="shared" ref="Z579:Z580" si="1738">ROUND(F579, 0) &amp; " (" &amp; ROUND(H579, 0) &amp; "-" &amp; ROUND(J579, 0) &amp; ")"</f>
        <v>1 (1-1)</v>
      </c>
      <c r="AA579" s="13" t="str">
        <f t="shared" ref="AA579:AA580" si="1739">ROUND(L579, 0) &amp; " (" &amp; ROUND(M579, 0) &amp; "-" &amp; ROUND(N579, 0) &amp; ")"</f>
        <v>106 (79-138)</v>
      </c>
      <c r="AB579" s="13" t="str">
        <f t="shared" ref="AB579:AB580" si="1740">ROUND(O579, 0) &amp; " (" &amp; ROUND(Q579, 0) &amp; "-" &amp; ROUND(S579, 0) &amp; ")"</f>
        <v>1 (1-2)</v>
      </c>
      <c r="AC579" s="13" t="str">
        <f t="shared" ref="AC579:AC580" si="1741">ROUND(U579, 0) &amp; " (" &amp; ROUND(V579, 0) &amp; "-" &amp; ROUND(W579, 0) &amp; ")"</f>
        <v>1 (1-2)</v>
      </c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 hidden="1">
      <c r="A580" s="24" t="s">
        <v>27</v>
      </c>
      <c r="B580" s="16" t="s">
        <v>173</v>
      </c>
      <c r="C580" s="23">
        <v>2040.0</v>
      </c>
      <c r="D580" s="17">
        <f>55449+52721</f>
        <v>108170</v>
      </c>
      <c r="E580" s="10">
        <v>1.1961239E7</v>
      </c>
      <c r="F580" s="19">
        <v>0.89</v>
      </c>
      <c r="G580" s="10">
        <f t="shared" si="1"/>
        <v>106.4550271</v>
      </c>
      <c r="H580" s="19">
        <v>0.66</v>
      </c>
      <c r="I580" s="8">
        <f t="shared" si="2"/>
        <v>78.9441774</v>
      </c>
      <c r="J580" s="19">
        <v>1.15</v>
      </c>
      <c r="K580" s="11">
        <f t="shared" si="3"/>
        <v>137.5542485</v>
      </c>
      <c r="L580" s="11">
        <f t="shared" si="13"/>
        <v>98.41455773</v>
      </c>
      <c r="M580" s="11">
        <f t="shared" si="1733"/>
        <v>85.39391669</v>
      </c>
      <c r="N580" s="11">
        <f t="shared" si="1734"/>
        <v>148.7924306</v>
      </c>
      <c r="O580" s="19">
        <v>1.31</v>
      </c>
      <c r="P580" s="19"/>
      <c r="Q580" s="19">
        <v>0.81</v>
      </c>
      <c r="R580" s="19"/>
      <c r="S580" s="19">
        <v>2.0</v>
      </c>
      <c r="T580" s="14"/>
      <c r="U580" s="14">
        <f t="shared" si="1735"/>
        <v>1.417027</v>
      </c>
      <c r="V580" s="14">
        <f t="shared" si="1736"/>
        <v>0.876177</v>
      </c>
      <c r="W580" s="14">
        <f t="shared" si="1737"/>
        <v>2.1634</v>
      </c>
      <c r="X580" s="13"/>
      <c r="Y580" s="13"/>
      <c r="Z580" s="13" t="str">
        <f t="shared" si="1738"/>
        <v>1 (1-1)</v>
      </c>
      <c r="AA580" s="13" t="str">
        <f t="shared" si="1739"/>
        <v>98 (85-149)</v>
      </c>
      <c r="AB580" s="13" t="str">
        <f t="shared" si="1740"/>
        <v>1 (1-2)</v>
      </c>
      <c r="AC580" s="13" t="str">
        <f t="shared" si="1741"/>
        <v>1 (1-2)</v>
      </c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 hidden="1">
      <c r="A581" s="24" t="s">
        <v>29</v>
      </c>
      <c r="B581" s="16" t="s">
        <v>173</v>
      </c>
      <c r="C581" s="23">
        <v>2050.0</v>
      </c>
      <c r="D581" s="17">
        <f>53949+51274</f>
        <v>105223</v>
      </c>
      <c r="E581" s="10">
        <v>1.1904701E7</v>
      </c>
      <c r="F581" s="19">
        <v>0.89</v>
      </c>
      <c r="G581" s="10">
        <f t="shared" si="1"/>
        <v>105.9518389</v>
      </c>
      <c r="H581" s="19">
        <v>0.66</v>
      </c>
      <c r="I581" s="8">
        <f t="shared" si="2"/>
        <v>78.5710266</v>
      </c>
      <c r="J581" s="19">
        <v>1.15</v>
      </c>
      <c r="K581" s="11">
        <f t="shared" si="3"/>
        <v>136.9040615</v>
      </c>
      <c r="L581" s="11">
        <f t="shared" si="13"/>
        <v>100.6926612</v>
      </c>
      <c r="M581" s="11">
        <f t="shared" si="1733"/>
        <v>82.67479132</v>
      </c>
      <c r="N581" s="11">
        <f t="shared" si="1734"/>
        <v>144.0545606</v>
      </c>
      <c r="O581" s="19">
        <v>1.31</v>
      </c>
      <c r="P581" s="8">
        <f t="shared" ref="P581:P582" si="1742">(O581/100000)*E581</f>
        <v>155.9515831</v>
      </c>
      <c r="Q581" s="19">
        <v>0.81</v>
      </c>
      <c r="R581" s="8">
        <f t="shared" ref="R581:R582" si="1743">(Q581/100000)*E581</f>
        <v>96.4280781</v>
      </c>
      <c r="S581" s="19">
        <v>2.0</v>
      </c>
      <c r="T581" s="11">
        <f t="shared" ref="T581:T582" si="1744">(S581/100000)*E581</f>
        <v>238.09402</v>
      </c>
      <c r="U581" s="14">
        <f t="shared" si="1735"/>
        <v>1.3784213</v>
      </c>
      <c r="V581" s="14">
        <f t="shared" si="1736"/>
        <v>0.8523063</v>
      </c>
      <c r="W581" s="14">
        <f t="shared" si="1737"/>
        <v>2.10446</v>
      </c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>
      <c r="A582" s="24" t="s">
        <v>23</v>
      </c>
      <c r="B582" s="16" t="s">
        <v>174</v>
      </c>
      <c r="C582" s="20">
        <v>2021.0</v>
      </c>
      <c r="D582" s="17">
        <f>7614.5+7156.5</f>
        <v>14771</v>
      </c>
      <c r="E582" s="18">
        <v>1317309.0</v>
      </c>
      <c r="F582" s="19">
        <v>1.64</v>
      </c>
      <c r="G582" s="10">
        <f t="shared" si="1"/>
        <v>21.6038676</v>
      </c>
      <c r="H582" s="19">
        <v>1.12</v>
      </c>
      <c r="I582" s="8">
        <f t="shared" si="2"/>
        <v>14.7538608</v>
      </c>
      <c r="J582" s="19">
        <v>2.21</v>
      </c>
      <c r="K582" s="11">
        <f t="shared" si="3"/>
        <v>29.1125289</v>
      </c>
      <c r="L582" s="11">
        <f t="shared" si="13"/>
        <v>146.2586663</v>
      </c>
      <c r="M582" s="12">
        <f>(I582/D582)*100000</f>
        <v>99.88396723</v>
      </c>
      <c r="N582" s="11">
        <f>(K582/D582)*100000</f>
        <v>197.0924711</v>
      </c>
      <c r="O582" s="19">
        <v>2.72</v>
      </c>
      <c r="P582" s="8">
        <f t="shared" si="1742"/>
        <v>35.8308048</v>
      </c>
      <c r="Q582" s="19">
        <v>1.76</v>
      </c>
      <c r="R582" s="8">
        <f t="shared" si="1743"/>
        <v>23.1846384</v>
      </c>
      <c r="S582" s="19">
        <v>4.03</v>
      </c>
      <c r="T582" s="11">
        <f t="shared" si="1744"/>
        <v>53.0875527</v>
      </c>
      <c r="U582" s="11">
        <f>(P582/D582)*100000</f>
        <v>242.575349</v>
      </c>
      <c r="V582" s="11">
        <f>(R582/D582)*100000</f>
        <v>156.9605199</v>
      </c>
      <c r="W582" s="11">
        <f>(T582/D582)*100000</f>
        <v>359.4039178</v>
      </c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 hidden="1">
      <c r="A583" s="24" t="s">
        <v>25</v>
      </c>
      <c r="B583" s="16" t="s">
        <v>174</v>
      </c>
      <c r="C583" s="23">
        <v>2030.0</v>
      </c>
      <c r="D583" s="17">
        <f>6656+6255</f>
        <v>12911</v>
      </c>
      <c r="E583" s="10">
        <v>1422318.0</v>
      </c>
      <c r="F583" s="19">
        <v>1.64</v>
      </c>
      <c r="G583" s="10">
        <f t="shared" si="1"/>
        <v>23.3260152</v>
      </c>
      <c r="H583" s="19">
        <v>1.12</v>
      </c>
      <c r="I583" s="8">
        <f t="shared" si="2"/>
        <v>15.9299616</v>
      </c>
      <c r="J583" s="19">
        <v>2.21</v>
      </c>
      <c r="K583" s="11">
        <f t="shared" si="3"/>
        <v>31.4332278</v>
      </c>
      <c r="L583" s="11">
        <f t="shared" si="13"/>
        <v>180.6677655</v>
      </c>
      <c r="M583" s="11">
        <f t="shared" ref="M583:M585" si="1745">(I583*D583)/100000</f>
        <v>2.056717342</v>
      </c>
      <c r="N583" s="11">
        <f t="shared" ref="N583:N585" si="1746">(K583*D583)/100000</f>
        <v>4.058344041</v>
      </c>
      <c r="O583" s="19">
        <v>2.72</v>
      </c>
      <c r="P583" s="19"/>
      <c r="Q583" s="19">
        <v>1.76</v>
      </c>
      <c r="R583" s="19"/>
      <c r="S583" s="19">
        <v>4.03</v>
      </c>
      <c r="T583" s="14"/>
      <c r="U583" s="14">
        <f t="shared" ref="U583:U585" si="1747">(O583*D583)/100000</f>
        <v>0.3511792</v>
      </c>
      <c r="V583" s="14">
        <f t="shared" ref="V583:V585" si="1748">(Q583*D583)/100000</f>
        <v>0.2272336</v>
      </c>
      <c r="W583" s="14">
        <f t="shared" ref="W583:W585" si="1749">(S583*D583)/100000</f>
        <v>0.5203133</v>
      </c>
      <c r="X583" s="13"/>
      <c r="Y583" s="13"/>
      <c r="Z583" s="13" t="str">
        <f t="shared" ref="Z583:Z584" si="1750">ROUND(F583, 0) &amp; " (" &amp; ROUND(H583, 0) &amp; "-" &amp; ROUND(J583, 0) &amp; ")"</f>
        <v>2 (1-2)</v>
      </c>
      <c r="AA583" s="13" t="str">
        <f t="shared" ref="AA583:AA584" si="1751">ROUND(L583, 0) &amp; " (" &amp; ROUND(M583, 0) &amp; "-" &amp; ROUND(N583, 0) &amp; ")"</f>
        <v>181 (2-4)</v>
      </c>
      <c r="AB583" s="13" t="str">
        <f t="shared" ref="AB583:AB584" si="1752">ROUND(O583, 0) &amp; " (" &amp; ROUND(Q583, 0) &amp; "-" &amp; ROUND(S583, 0) &amp; ")"</f>
        <v>3 (2-4)</v>
      </c>
      <c r="AC583" s="13" t="str">
        <f t="shared" ref="AC583:AC584" si="1753">ROUND(U583, 0) &amp; " (" &amp; ROUND(V583, 0) &amp; "-" &amp; ROUND(W583, 0) &amp; ")"</f>
        <v>0 (0-1)</v>
      </c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 hidden="1">
      <c r="A584" s="24" t="s">
        <v>27</v>
      </c>
      <c r="B584" s="16" t="s">
        <v>174</v>
      </c>
      <c r="C584" s="23">
        <v>2040.0</v>
      </c>
      <c r="D584" s="17">
        <f>6068+5701</f>
        <v>11769</v>
      </c>
      <c r="E584" s="10">
        <v>1484849.0</v>
      </c>
      <c r="F584" s="19">
        <v>1.64</v>
      </c>
      <c r="G584" s="10">
        <f t="shared" si="1"/>
        <v>24.3515236</v>
      </c>
      <c r="H584" s="19">
        <v>1.12</v>
      </c>
      <c r="I584" s="8">
        <f t="shared" si="2"/>
        <v>16.6303088</v>
      </c>
      <c r="J584" s="19">
        <v>2.21</v>
      </c>
      <c r="K584" s="11">
        <f t="shared" si="3"/>
        <v>32.8151629</v>
      </c>
      <c r="L584" s="11">
        <f t="shared" si="13"/>
        <v>206.9124276</v>
      </c>
      <c r="M584" s="11">
        <f t="shared" si="1745"/>
        <v>1.957221043</v>
      </c>
      <c r="N584" s="11">
        <f t="shared" si="1746"/>
        <v>3.862016522</v>
      </c>
      <c r="O584" s="19">
        <v>2.72</v>
      </c>
      <c r="P584" s="19"/>
      <c r="Q584" s="19">
        <v>1.76</v>
      </c>
      <c r="R584" s="19"/>
      <c r="S584" s="19">
        <v>4.03</v>
      </c>
      <c r="T584" s="14"/>
      <c r="U584" s="14">
        <f t="shared" si="1747"/>
        <v>0.3201168</v>
      </c>
      <c r="V584" s="14">
        <f t="shared" si="1748"/>
        <v>0.2071344</v>
      </c>
      <c r="W584" s="14">
        <f t="shared" si="1749"/>
        <v>0.4742907</v>
      </c>
      <c r="X584" s="13"/>
      <c r="Y584" s="13"/>
      <c r="Z584" s="13" t="str">
        <f t="shared" si="1750"/>
        <v>2 (1-2)</v>
      </c>
      <c r="AA584" s="13" t="str">
        <f t="shared" si="1751"/>
        <v>207 (2-4)</v>
      </c>
      <c r="AB584" s="13" t="str">
        <f t="shared" si="1752"/>
        <v>3 (2-4)</v>
      </c>
      <c r="AC584" s="13" t="str">
        <f t="shared" si="1753"/>
        <v>0 (0-0)</v>
      </c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 hidden="1">
      <c r="A585" s="24" t="s">
        <v>29</v>
      </c>
      <c r="B585" s="16" t="s">
        <v>174</v>
      </c>
      <c r="C585" s="23">
        <v>2050.0</v>
      </c>
      <c r="D585" s="17">
        <f>6389+6000</f>
        <v>12389</v>
      </c>
      <c r="E585" s="10">
        <v>1508482.0</v>
      </c>
      <c r="F585" s="19">
        <v>1.64</v>
      </c>
      <c r="G585" s="10">
        <f t="shared" si="1"/>
        <v>24.7391048</v>
      </c>
      <c r="H585" s="19">
        <v>1.12</v>
      </c>
      <c r="I585" s="8">
        <f t="shared" si="2"/>
        <v>16.8949984</v>
      </c>
      <c r="J585" s="19">
        <v>2.21</v>
      </c>
      <c r="K585" s="11">
        <f t="shared" si="3"/>
        <v>33.3374522</v>
      </c>
      <c r="L585" s="11">
        <f t="shared" si="13"/>
        <v>199.6860505</v>
      </c>
      <c r="M585" s="11">
        <f t="shared" si="1745"/>
        <v>2.093121352</v>
      </c>
      <c r="N585" s="11">
        <f t="shared" si="1746"/>
        <v>4.130176953</v>
      </c>
      <c r="O585" s="19">
        <v>2.72</v>
      </c>
      <c r="P585" s="8">
        <f t="shared" ref="P585:P586" si="1754">(O585/100000)*E585</f>
        <v>41.0307104</v>
      </c>
      <c r="Q585" s="19">
        <v>1.76</v>
      </c>
      <c r="R585" s="8">
        <f t="shared" ref="R585:R586" si="1755">(Q585/100000)*E585</f>
        <v>26.5492832</v>
      </c>
      <c r="S585" s="19">
        <v>4.03</v>
      </c>
      <c r="T585" s="11">
        <f t="shared" ref="T585:T586" si="1756">(S585/100000)*E585</f>
        <v>60.7918246</v>
      </c>
      <c r="U585" s="14">
        <f t="shared" si="1747"/>
        <v>0.3369808</v>
      </c>
      <c r="V585" s="14">
        <f t="shared" si="1748"/>
        <v>0.2180464</v>
      </c>
      <c r="W585" s="14">
        <f t="shared" si="1749"/>
        <v>0.4992767</v>
      </c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>
      <c r="A586" s="24" t="s">
        <v>23</v>
      </c>
      <c r="B586" s="16" t="s">
        <v>175</v>
      </c>
      <c r="C586" s="20">
        <v>2021.0</v>
      </c>
      <c r="D586" s="17">
        <f>31978+30416.5</f>
        <v>62394.5</v>
      </c>
      <c r="E586" s="18">
        <v>5856733.0</v>
      </c>
      <c r="F586" s="19">
        <v>1.32</v>
      </c>
      <c r="G586" s="10">
        <f t="shared" si="1"/>
        <v>77.3088756</v>
      </c>
      <c r="H586" s="19">
        <v>0.91</v>
      </c>
      <c r="I586" s="8">
        <f t="shared" si="2"/>
        <v>53.2962703</v>
      </c>
      <c r="J586" s="19">
        <v>1.79</v>
      </c>
      <c r="K586" s="11">
        <f t="shared" si="3"/>
        <v>104.8355207</v>
      </c>
      <c r="L586" s="11">
        <f t="shared" si="13"/>
        <v>123.9033498</v>
      </c>
      <c r="M586" s="12">
        <f>(I586/D586)*100000</f>
        <v>85.41821843</v>
      </c>
      <c r="N586" s="11">
        <f>(K586/D586)*100000</f>
        <v>168.0204516</v>
      </c>
      <c r="O586" s="19">
        <v>1.73</v>
      </c>
      <c r="P586" s="8">
        <f t="shared" si="1754"/>
        <v>101.3214809</v>
      </c>
      <c r="Q586" s="19">
        <v>1.09</v>
      </c>
      <c r="R586" s="8">
        <f t="shared" si="1755"/>
        <v>63.8383897</v>
      </c>
      <c r="S586" s="19">
        <v>2.71</v>
      </c>
      <c r="T586" s="11">
        <f t="shared" si="1756"/>
        <v>158.7174643</v>
      </c>
      <c r="U586" s="11">
        <f>(P586/D586)*100000</f>
        <v>162.3884812</v>
      </c>
      <c r="V586" s="11">
        <f>(R586/D586)*100000</f>
        <v>102.3141298</v>
      </c>
      <c r="W586" s="11">
        <f>(T586/D586)*100000</f>
        <v>254.3773318</v>
      </c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 hidden="1">
      <c r="A587" s="24" t="s">
        <v>25</v>
      </c>
      <c r="B587" s="16" t="s">
        <v>175</v>
      </c>
      <c r="C587" s="23">
        <v>2030.0</v>
      </c>
      <c r="D587" s="17">
        <f>30896+29307</f>
        <v>60203</v>
      </c>
      <c r="E587" s="10">
        <v>6049480.0</v>
      </c>
      <c r="F587" s="19">
        <v>1.32</v>
      </c>
      <c r="G587" s="10">
        <f t="shared" si="1"/>
        <v>79.853136</v>
      </c>
      <c r="H587" s="19">
        <v>0.91</v>
      </c>
      <c r="I587" s="8">
        <f t="shared" si="2"/>
        <v>55.050268</v>
      </c>
      <c r="J587" s="19">
        <v>1.79</v>
      </c>
      <c r="K587" s="11">
        <f t="shared" si="3"/>
        <v>108.285692</v>
      </c>
      <c r="L587" s="11">
        <f t="shared" si="13"/>
        <v>132.6397954</v>
      </c>
      <c r="M587" s="11">
        <f t="shared" ref="M587:M589" si="1757">(I587*D587)/100000</f>
        <v>33.14191284</v>
      </c>
      <c r="N587" s="11">
        <f t="shared" ref="N587:N589" si="1758">(K587*D587)/100000</f>
        <v>65.19123515</v>
      </c>
      <c r="O587" s="19">
        <v>1.73</v>
      </c>
      <c r="P587" s="19"/>
      <c r="Q587" s="19">
        <v>1.09</v>
      </c>
      <c r="R587" s="19"/>
      <c r="S587" s="19">
        <v>2.71</v>
      </c>
      <c r="T587" s="14"/>
      <c r="U587" s="14">
        <f t="shared" ref="U587:U589" si="1759">(O587*D587)/100000</f>
        <v>1.0415119</v>
      </c>
      <c r="V587" s="14">
        <f t="shared" ref="V587:V589" si="1760">(Q587*D587)/100000</f>
        <v>0.6562127</v>
      </c>
      <c r="W587" s="14">
        <f t="shared" ref="W587:W589" si="1761">(S587*D587)/100000</f>
        <v>1.6315013</v>
      </c>
      <c r="X587" s="13"/>
      <c r="Y587" s="13"/>
      <c r="Z587" s="13" t="str">
        <f t="shared" ref="Z587:Z588" si="1762">ROUND(F587, 0) &amp; " (" &amp; ROUND(H587, 0) &amp; "-" &amp; ROUND(J587, 0) &amp; ")"</f>
        <v>1 (1-2)</v>
      </c>
      <c r="AA587" s="13" t="str">
        <f t="shared" ref="AA587:AA588" si="1763">ROUND(L587, 0) &amp; " (" &amp; ROUND(M587, 0) &amp; "-" &amp; ROUND(N587, 0) &amp; ")"</f>
        <v>133 (33-65)</v>
      </c>
      <c r="AB587" s="13" t="str">
        <f t="shared" ref="AB587:AB588" si="1764">ROUND(O587, 0) &amp; " (" &amp; ROUND(Q587, 0) &amp; "-" &amp; ROUND(S587, 0) &amp; ")"</f>
        <v>2 (1-3)</v>
      </c>
      <c r="AC587" s="13" t="str">
        <f t="shared" ref="AC587:AC588" si="1765">ROUND(U587, 0) &amp; " (" &amp; ROUND(V587, 0) &amp; "-" &amp; ROUND(W587, 0) &amp; ")"</f>
        <v>1 (1-2)</v>
      </c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 hidden="1">
      <c r="A588" s="24" t="s">
        <v>27</v>
      </c>
      <c r="B588" s="16" t="s">
        <v>175</v>
      </c>
      <c r="C588" s="23">
        <v>2040.0</v>
      </c>
      <c r="D588" s="17">
        <f>30097+28556</f>
        <v>58653</v>
      </c>
      <c r="E588" s="10">
        <v>6096822.0</v>
      </c>
      <c r="F588" s="19">
        <v>1.32</v>
      </c>
      <c r="G588" s="10">
        <f t="shared" si="1"/>
        <v>80.4780504</v>
      </c>
      <c r="H588" s="19">
        <v>0.91</v>
      </c>
      <c r="I588" s="8">
        <f t="shared" si="2"/>
        <v>55.4810802</v>
      </c>
      <c r="J588" s="19">
        <v>1.79</v>
      </c>
      <c r="K588" s="11">
        <f t="shared" si="3"/>
        <v>109.1331138</v>
      </c>
      <c r="L588" s="11">
        <f t="shared" si="13"/>
        <v>137.2104588</v>
      </c>
      <c r="M588" s="11">
        <f t="shared" si="1757"/>
        <v>32.54131797</v>
      </c>
      <c r="N588" s="11">
        <f t="shared" si="1758"/>
        <v>64.00984524</v>
      </c>
      <c r="O588" s="19">
        <v>1.73</v>
      </c>
      <c r="P588" s="19"/>
      <c r="Q588" s="19">
        <v>1.09</v>
      </c>
      <c r="R588" s="19"/>
      <c r="S588" s="19">
        <v>2.71</v>
      </c>
      <c r="T588" s="14"/>
      <c r="U588" s="14">
        <f t="shared" si="1759"/>
        <v>1.0146969</v>
      </c>
      <c r="V588" s="14">
        <f t="shared" si="1760"/>
        <v>0.6393177</v>
      </c>
      <c r="W588" s="14">
        <f t="shared" si="1761"/>
        <v>1.5894963</v>
      </c>
      <c r="X588" s="13"/>
      <c r="Y588" s="13"/>
      <c r="Z588" s="13" t="str">
        <f t="shared" si="1762"/>
        <v>1 (1-2)</v>
      </c>
      <c r="AA588" s="13" t="str">
        <f t="shared" si="1763"/>
        <v>137 (33-64)</v>
      </c>
      <c r="AB588" s="13" t="str">
        <f t="shared" si="1764"/>
        <v>2 (1-3)</v>
      </c>
      <c r="AC588" s="13" t="str">
        <f t="shared" si="1765"/>
        <v>1 (1-2)</v>
      </c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hidden="1">
      <c r="A589" s="24" t="s">
        <v>29</v>
      </c>
      <c r="B589" s="16" t="s">
        <v>175</v>
      </c>
      <c r="C589" s="23">
        <v>2050.0</v>
      </c>
      <c r="D589" s="17">
        <f>29016+27537</f>
        <v>56553</v>
      </c>
      <c r="E589" s="10">
        <v>6081255.0</v>
      </c>
      <c r="F589" s="19">
        <v>1.32</v>
      </c>
      <c r="G589" s="10">
        <f t="shared" si="1"/>
        <v>80.272566</v>
      </c>
      <c r="H589" s="19">
        <v>0.91</v>
      </c>
      <c r="I589" s="8">
        <f t="shared" si="2"/>
        <v>55.3394205</v>
      </c>
      <c r="J589" s="19">
        <v>1.79</v>
      </c>
      <c r="K589" s="11">
        <f t="shared" si="3"/>
        <v>108.8544645</v>
      </c>
      <c r="L589" s="11">
        <f t="shared" si="13"/>
        <v>141.9421887</v>
      </c>
      <c r="M589" s="11">
        <f t="shared" si="1757"/>
        <v>31.29610248</v>
      </c>
      <c r="N589" s="11">
        <f t="shared" si="1758"/>
        <v>61.56046531</v>
      </c>
      <c r="O589" s="19">
        <v>1.73</v>
      </c>
      <c r="P589" s="8">
        <f t="shared" ref="P589:P590" si="1766">(O589/100000)*E589</f>
        <v>105.2057115</v>
      </c>
      <c r="Q589" s="19">
        <v>1.09</v>
      </c>
      <c r="R589" s="8">
        <f t="shared" ref="R589:R590" si="1767">(Q589/100000)*E589</f>
        <v>66.2856795</v>
      </c>
      <c r="S589" s="19">
        <v>2.71</v>
      </c>
      <c r="T589" s="11">
        <f t="shared" ref="T589:T590" si="1768">(S589/100000)*E589</f>
        <v>164.8020105</v>
      </c>
      <c r="U589" s="14">
        <f t="shared" si="1759"/>
        <v>0.9783669</v>
      </c>
      <c r="V589" s="14">
        <f t="shared" si="1760"/>
        <v>0.6164277</v>
      </c>
      <c r="W589" s="14">
        <f t="shared" si="1761"/>
        <v>1.5325863</v>
      </c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>
      <c r="A590" s="24" t="s">
        <v>23</v>
      </c>
      <c r="B590" s="16" t="s">
        <v>176</v>
      </c>
      <c r="C590" s="20">
        <v>2021.0</v>
      </c>
      <c r="D590" s="17">
        <f>24544+23514</f>
        <v>48058</v>
      </c>
      <c r="E590" s="18">
        <v>5541017.0</v>
      </c>
      <c r="F590" s="19">
        <v>1.6</v>
      </c>
      <c r="G590" s="10">
        <f t="shared" si="1"/>
        <v>88.656272</v>
      </c>
      <c r="H590" s="19">
        <v>1.19</v>
      </c>
      <c r="I590" s="8">
        <f t="shared" si="2"/>
        <v>65.9381023</v>
      </c>
      <c r="J590" s="19">
        <v>2.05</v>
      </c>
      <c r="K590" s="11">
        <f t="shared" si="3"/>
        <v>113.5908485</v>
      </c>
      <c r="L590" s="11">
        <f t="shared" si="13"/>
        <v>184.4776562</v>
      </c>
      <c r="M590" s="12">
        <f>(I590/D590)*100000</f>
        <v>137.2052568</v>
      </c>
      <c r="N590" s="11">
        <f>(K590/D590)*100000</f>
        <v>236.361997</v>
      </c>
      <c r="O590" s="19">
        <v>2.03</v>
      </c>
      <c r="P590" s="8">
        <f t="shared" si="1766"/>
        <v>112.4826451</v>
      </c>
      <c r="Q590" s="19">
        <v>1.21</v>
      </c>
      <c r="R590" s="8">
        <f t="shared" si="1767"/>
        <v>67.0463057</v>
      </c>
      <c r="S590" s="19">
        <v>3.18</v>
      </c>
      <c r="T590" s="11">
        <f t="shared" si="1768"/>
        <v>176.2043406</v>
      </c>
      <c r="U590" s="11">
        <f>(P590/D590)*100000</f>
        <v>234.0560263</v>
      </c>
      <c r="V590" s="11">
        <f>(R590/D590)*100000</f>
        <v>139.5112275</v>
      </c>
      <c r="W590" s="11">
        <f>(T590/D590)*100000</f>
        <v>366.6493416</v>
      </c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hidden="1">
      <c r="A591" s="24" t="s">
        <v>25</v>
      </c>
      <c r="B591" s="16" t="s">
        <v>176</v>
      </c>
      <c r="C591" s="23">
        <v>2030.0</v>
      </c>
      <c r="D591" s="17">
        <f>22374+21221</f>
        <v>43595</v>
      </c>
      <c r="E591" s="10">
        <v>5583650.0</v>
      </c>
      <c r="F591" s="19">
        <v>1.6</v>
      </c>
      <c r="G591" s="10">
        <f t="shared" si="1"/>
        <v>89.3384</v>
      </c>
      <c r="H591" s="19">
        <v>1.19</v>
      </c>
      <c r="I591" s="8">
        <f t="shared" si="2"/>
        <v>66.445435</v>
      </c>
      <c r="J591" s="19">
        <v>2.05</v>
      </c>
      <c r="K591" s="11">
        <f t="shared" si="3"/>
        <v>114.464825</v>
      </c>
      <c r="L591" s="11">
        <f t="shared" si="13"/>
        <v>204.9280881</v>
      </c>
      <c r="M591" s="11">
        <f t="shared" ref="M591:M593" si="1769">(I591*D591)/100000</f>
        <v>28.96688739</v>
      </c>
      <c r="N591" s="11">
        <f t="shared" ref="N591:N593" si="1770">(K591*D591)/100000</f>
        <v>49.90094046</v>
      </c>
      <c r="O591" s="19">
        <v>2.03</v>
      </c>
      <c r="P591" s="19"/>
      <c r="Q591" s="19">
        <v>1.21</v>
      </c>
      <c r="R591" s="19"/>
      <c r="S591" s="19">
        <v>3.18</v>
      </c>
      <c r="T591" s="14"/>
      <c r="U591" s="14">
        <f t="shared" ref="U591:U593" si="1771">(O591*D591)/100000</f>
        <v>0.8849785</v>
      </c>
      <c r="V591" s="14">
        <f t="shared" ref="V591:V593" si="1772">(Q591*D591)/100000</f>
        <v>0.5274995</v>
      </c>
      <c r="W591" s="14">
        <f t="shared" ref="W591:W593" si="1773">(S591*D591)/100000</f>
        <v>1.386321</v>
      </c>
      <c r="X591" s="13"/>
      <c r="Y591" s="13"/>
      <c r="Z591" s="13" t="str">
        <f t="shared" ref="Z591:Z592" si="1774">ROUND(F591, 0) &amp; " (" &amp; ROUND(H591, 0) &amp; "-" &amp; ROUND(J591, 0) &amp; ")"</f>
        <v>2 (1-2)</v>
      </c>
      <c r="AA591" s="13" t="str">
        <f t="shared" ref="AA591:AA592" si="1775">ROUND(L591, 0) &amp; " (" &amp; ROUND(M591, 0) &amp; "-" &amp; ROUND(N591, 0) &amp; ")"</f>
        <v>205 (29-50)</v>
      </c>
      <c r="AB591" s="13" t="str">
        <f t="shared" ref="AB591:AB592" si="1776">ROUND(O591, 0) &amp; " (" &amp; ROUND(Q591, 0) &amp; "-" &amp; ROUND(S591, 0) &amp; ")"</f>
        <v>2 (1-3)</v>
      </c>
      <c r="AC591" s="13" t="str">
        <f t="shared" ref="AC591:AC592" si="1777">ROUND(U591, 0) &amp; " (" &amp; ROUND(V591, 0) &amp; "-" &amp; ROUND(W591, 0) &amp; ")"</f>
        <v>1 (1-1)</v>
      </c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hidden="1">
      <c r="A592" s="24" t="s">
        <v>27</v>
      </c>
      <c r="B592" s="16" t="s">
        <v>176</v>
      </c>
      <c r="C592" s="23">
        <v>2040.0</v>
      </c>
      <c r="D592" s="17">
        <f>23765+22540</f>
        <v>46305</v>
      </c>
      <c r="E592" s="10">
        <v>5454882.0</v>
      </c>
      <c r="F592" s="19">
        <v>1.6</v>
      </c>
      <c r="G592" s="10">
        <f t="shared" si="1"/>
        <v>87.278112</v>
      </c>
      <c r="H592" s="19">
        <v>1.19</v>
      </c>
      <c r="I592" s="8">
        <f t="shared" si="2"/>
        <v>64.9130958</v>
      </c>
      <c r="J592" s="19">
        <v>2.05</v>
      </c>
      <c r="K592" s="11">
        <f t="shared" si="3"/>
        <v>111.825081</v>
      </c>
      <c r="L592" s="11">
        <f t="shared" si="13"/>
        <v>188.4852867</v>
      </c>
      <c r="M592" s="11">
        <f t="shared" si="1769"/>
        <v>30.05800901</v>
      </c>
      <c r="N592" s="11">
        <f t="shared" si="1770"/>
        <v>51.78060376</v>
      </c>
      <c r="O592" s="19">
        <v>2.03</v>
      </c>
      <c r="P592" s="19"/>
      <c r="Q592" s="19">
        <v>1.21</v>
      </c>
      <c r="R592" s="19"/>
      <c r="S592" s="19">
        <v>3.18</v>
      </c>
      <c r="T592" s="14"/>
      <c r="U592" s="14">
        <f t="shared" si="1771"/>
        <v>0.9399915</v>
      </c>
      <c r="V592" s="14">
        <f t="shared" si="1772"/>
        <v>0.5602905</v>
      </c>
      <c r="W592" s="14">
        <f t="shared" si="1773"/>
        <v>1.472499</v>
      </c>
      <c r="X592" s="13"/>
      <c r="Y592" s="13"/>
      <c r="Z592" s="13" t="str">
        <f t="shared" si="1774"/>
        <v>2 (1-2)</v>
      </c>
      <c r="AA592" s="13" t="str">
        <f t="shared" si="1775"/>
        <v>188 (30-52)</v>
      </c>
      <c r="AB592" s="13" t="str">
        <f t="shared" si="1776"/>
        <v>2 (1-3)</v>
      </c>
      <c r="AC592" s="13" t="str">
        <f t="shared" si="1777"/>
        <v>1 (1-1)</v>
      </c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hidden="1">
      <c r="A593" s="24" t="s">
        <v>29</v>
      </c>
      <c r="B593" s="16" t="s">
        <v>176</v>
      </c>
      <c r="C593" s="23">
        <v>2050.0</v>
      </c>
      <c r="D593" s="17">
        <f>22202+21055</f>
        <v>43257</v>
      </c>
      <c r="E593" s="10">
        <v>5336160.0</v>
      </c>
      <c r="F593" s="19">
        <v>1.6</v>
      </c>
      <c r="G593" s="10">
        <f t="shared" si="1"/>
        <v>85.37856</v>
      </c>
      <c r="H593" s="19">
        <v>1.19</v>
      </c>
      <c r="I593" s="8">
        <f t="shared" si="2"/>
        <v>63.500304</v>
      </c>
      <c r="J593" s="19">
        <v>2.05</v>
      </c>
      <c r="K593" s="11">
        <f t="shared" si="3"/>
        <v>109.39128</v>
      </c>
      <c r="L593" s="11">
        <f t="shared" si="13"/>
        <v>197.37513</v>
      </c>
      <c r="M593" s="11">
        <f t="shared" si="1769"/>
        <v>27.4683265</v>
      </c>
      <c r="N593" s="11">
        <f t="shared" si="1770"/>
        <v>47.31938599</v>
      </c>
      <c r="O593" s="19">
        <v>2.03</v>
      </c>
      <c r="P593" s="8">
        <f t="shared" ref="P593:P594" si="1778">(O593/100000)*E593</f>
        <v>108.324048</v>
      </c>
      <c r="Q593" s="19">
        <v>1.21</v>
      </c>
      <c r="R593" s="8">
        <f t="shared" ref="R593:R594" si="1779">(Q593/100000)*E593</f>
        <v>64.567536</v>
      </c>
      <c r="S593" s="19">
        <v>3.18</v>
      </c>
      <c r="T593" s="11">
        <f t="shared" ref="T593:T594" si="1780">(S593/100000)*E593</f>
        <v>169.689888</v>
      </c>
      <c r="U593" s="14">
        <f t="shared" si="1771"/>
        <v>0.8781171</v>
      </c>
      <c r="V593" s="14">
        <f t="shared" si="1772"/>
        <v>0.5234097</v>
      </c>
      <c r="W593" s="14">
        <f t="shared" si="1773"/>
        <v>1.3755726</v>
      </c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>
      <c r="A594" s="24" t="s">
        <v>23</v>
      </c>
      <c r="B594" s="16" t="s">
        <v>177</v>
      </c>
      <c r="C594" s="20">
        <v>2021.0</v>
      </c>
      <c r="D594" s="17">
        <f>348033.5+332678.5</f>
        <v>680712</v>
      </c>
      <c r="E594" s="18">
        <v>6.7842811E7</v>
      </c>
      <c r="F594" s="19">
        <v>1.12</v>
      </c>
      <c r="G594" s="10">
        <f t="shared" si="1"/>
        <v>759.8394832</v>
      </c>
      <c r="H594" s="19">
        <v>0.84</v>
      </c>
      <c r="I594" s="8">
        <f t="shared" si="2"/>
        <v>569.8796124</v>
      </c>
      <c r="J594" s="19">
        <v>1.35</v>
      </c>
      <c r="K594" s="11">
        <f t="shared" si="3"/>
        <v>915.8779485</v>
      </c>
      <c r="L594" s="11">
        <f t="shared" si="13"/>
        <v>111.6242233</v>
      </c>
      <c r="M594" s="12">
        <f>(I594/D594)*100000</f>
        <v>83.71816751</v>
      </c>
      <c r="N594" s="11">
        <f>(K594/D594)*100000</f>
        <v>134.5470549</v>
      </c>
      <c r="O594" s="19">
        <v>1.24</v>
      </c>
      <c r="P594" s="8">
        <f t="shared" si="1778"/>
        <v>841.2508564</v>
      </c>
      <c r="Q594" s="19">
        <v>0.78</v>
      </c>
      <c r="R594" s="8">
        <f t="shared" si="1779"/>
        <v>529.1739258</v>
      </c>
      <c r="S594" s="19">
        <v>1.88</v>
      </c>
      <c r="T594" s="11">
        <f t="shared" si="1780"/>
        <v>1275.444847</v>
      </c>
      <c r="U594" s="11">
        <f>(P594/D594)*100000</f>
        <v>123.5839616</v>
      </c>
      <c r="V594" s="11">
        <f>(R594/D594)*100000</f>
        <v>77.7382984</v>
      </c>
      <c r="W594" s="11">
        <f>(T594/D594)*100000</f>
        <v>187.369232</v>
      </c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hidden="1">
      <c r="A595" s="24" t="s">
        <v>25</v>
      </c>
      <c r="B595" s="16" t="s">
        <v>177</v>
      </c>
      <c r="C595" s="23">
        <v>2030.0</v>
      </c>
      <c r="D595" s="17">
        <f>328867+313503</f>
        <v>642370</v>
      </c>
      <c r="E595" s="10">
        <v>6.8929736E7</v>
      </c>
      <c r="F595" s="19">
        <v>1.12</v>
      </c>
      <c r="G595" s="10">
        <f t="shared" si="1"/>
        <v>772.0130432</v>
      </c>
      <c r="H595" s="19">
        <v>0.84</v>
      </c>
      <c r="I595" s="8">
        <f t="shared" si="2"/>
        <v>579.0097824</v>
      </c>
      <c r="J595" s="19">
        <v>1.35</v>
      </c>
      <c r="K595" s="11">
        <f t="shared" si="3"/>
        <v>930.551436</v>
      </c>
      <c r="L595" s="11">
        <f t="shared" si="13"/>
        <v>120.1819891</v>
      </c>
      <c r="M595" s="11">
        <f t="shared" ref="M595:M597" si="1781">(I595*D595)/100000</f>
        <v>3719.385139</v>
      </c>
      <c r="N595" s="11">
        <f t="shared" ref="N595:N597" si="1782">(K595*D595)/100000</f>
        <v>5977.583259</v>
      </c>
      <c r="O595" s="19">
        <v>1.24</v>
      </c>
      <c r="P595" s="19"/>
      <c r="Q595" s="19">
        <v>0.78</v>
      </c>
      <c r="R595" s="19"/>
      <c r="S595" s="19">
        <v>1.88</v>
      </c>
      <c r="T595" s="14"/>
      <c r="U595" s="14">
        <f t="shared" ref="U595:U597" si="1783">(O595*D595)/100000</f>
        <v>7.965388</v>
      </c>
      <c r="V595" s="14">
        <f t="shared" ref="V595:V597" si="1784">(Q595*D595)/100000</f>
        <v>5.010486</v>
      </c>
      <c r="W595" s="14">
        <f t="shared" ref="W595:W597" si="1785">(S595*D595)/100000</f>
        <v>12.076556</v>
      </c>
      <c r="X595" s="13"/>
      <c r="Y595" s="13"/>
      <c r="Z595" s="13" t="str">
        <f t="shared" ref="Z595:Z596" si="1786">ROUND(F595, 0) &amp; " (" &amp; ROUND(H595, 0) &amp; "-" &amp; ROUND(J595, 0) &amp; ")"</f>
        <v>1 (1-1)</v>
      </c>
      <c r="AA595" s="13" t="str">
        <f t="shared" ref="AA595:AA596" si="1787">ROUND(L595, 0) &amp; " (" &amp; ROUND(M595, 0) &amp; "-" &amp; ROUND(N595, 0) &amp; ")"</f>
        <v>120 (3719-5978)</v>
      </c>
      <c r="AB595" s="13" t="str">
        <f t="shared" ref="AB595:AB596" si="1788">ROUND(O595, 0) &amp; " (" &amp; ROUND(Q595, 0) &amp; "-" &amp; ROUND(S595, 0) &amp; ")"</f>
        <v>1 (1-2)</v>
      </c>
      <c r="AC595" s="13" t="str">
        <f t="shared" ref="AC595:AC596" si="1789">ROUND(U595, 0) &amp; " (" &amp; ROUND(V595, 0) &amp; "-" &amp; ROUND(W595, 0) &amp; ")"</f>
        <v>8 (5-12)</v>
      </c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hidden="1">
      <c r="A596" s="24" t="s">
        <v>27</v>
      </c>
      <c r="B596" s="16" t="s">
        <v>177</v>
      </c>
      <c r="C596" s="23">
        <v>2040.0</v>
      </c>
      <c r="D596" s="17">
        <f>361072+343920</f>
        <v>704992</v>
      </c>
      <c r="E596" s="10">
        <v>6.935156E7</v>
      </c>
      <c r="F596" s="19">
        <v>1.12</v>
      </c>
      <c r="G596" s="10">
        <f t="shared" si="1"/>
        <v>776.737472</v>
      </c>
      <c r="H596" s="19">
        <v>0.84</v>
      </c>
      <c r="I596" s="8">
        <f t="shared" si="2"/>
        <v>582.553104</v>
      </c>
      <c r="J596" s="19">
        <v>1.35</v>
      </c>
      <c r="K596" s="11">
        <f t="shared" si="3"/>
        <v>936.24606</v>
      </c>
      <c r="L596" s="11">
        <f t="shared" si="13"/>
        <v>110.1767782</v>
      </c>
      <c r="M596" s="11">
        <f t="shared" si="1781"/>
        <v>4106.952779</v>
      </c>
      <c r="N596" s="11">
        <f t="shared" si="1782"/>
        <v>6600.459823</v>
      </c>
      <c r="O596" s="19">
        <v>1.24</v>
      </c>
      <c r="P596" s="19"/>
      <c r="Q596" s="19">
        <v>0.78</v>
      </c>
      <c r="R596" s="19"/>
      <c r="S596" s="19">
        <v>1.88</v>
      </c>
      <c r="T596" s="14"/>
      <c r="U596" s="14">
        <f t="shared" si="1783"/>
        <v>8.7419008</v>
      </c>
      <c r="V596" s="14">
        <f t="shared" si="1784"/>
        <v>5.4989376</v>
      </c>
      <c r="W596" s="14">
        <f t="shared" si="1785"/>
        <v>13.2538496</v>
      </c>
      <c r="X596" s="13"/>
      <c r="Y596" s="13"/>
      <c r="Z596" s="13" t="str">
        <f t="shared" si="1786"/>
        <v>1 (1-1)</v>
      </c>
      <c r="AA596" s="13" t="str">
        <f t="shared" si="1787"/>
        <v>110 (4107-6600)</v>
      </c>
      <c r="AB596" s="13" t="str">
        <f t="shared" si="1788"/>
        <v>1 (1-2)</v>
      </c>
      <c r="AC596" s="13" t="str">
        <f t="shared" si="1789"/>
        <v>9 (5-13)</v>
      </c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hidden="1">
      <c r="A597" s="24" t="s">
        <v>29</v>
      </c>
      <c r="B597" s="16" t="s">
        <v>177</v>
      </c>
      <c r="C597" s="23">
        <v>2050.0</v>
      </c>
      <c r="D597" s="17">
        <f>345091+328701</f>
        <v>673792</v>
      </c>
      <c r="E597" s="10">
        <v>6.9591192E7</v>
      </c>
      <c r="F597" s="19">
        <v>1.12</v>
      </c>
      <c r="G597" s="10">
        <f t="shared" si="1"/>
        <v>779.4213504</v>
      </c>
      <c r="H597" s="19">
        <v>0.84</v>
      </c>
      <c r="I597" s="8">
        <f t="shared" si="2"/>
        <v>584.5660128</v>
      </c>
      <c r="J597" s="19">
        <v>1.35</v>
      </c>
      <c r="K597" s="11">
        <f t="shared" si="3"/>
        <v>939.481092</v>
      </c>
      <c r="L597" s="11">
        <f t="shared" si="13"/>
        <v>115.6768484</v>
      </c>
      <c r="M597" s="11">
        <f t="shared" si="1781"/>
        <v>3938.759029</v>
      </c>
      <c r="N597" s="11">
        <f t="shared" si="1782"/>
        <v>6330.148439</v>
      </c>
      <c r="O597" s="19">
        <v>1.24</v>
      </c>
      <c r="P597" s="8">
        <f t="shared" ref="P597:P598" si="1790">(O597/100000)*E597</f>
        <v>862.9307808</v>
      </c>
      <c r="Q597" s="19">
        <v>0.78</v>
      </c>
      <c r="R597" s="8">
        <f t="shared" ref="R597:R598" si="1791">(Q597/100000)*E597</f>
        <v>542.8112976</v>
      </c>
      <c r="S597" s="19">
        <v>1.88</v>
      </c>
      <c r="T597" s="11">
        <f t="shared" ref="T597:T598" si="1792">(S597/100000)*E597</f>
        <v>1308.31441</v>
      </c>
      <c r="U597" s="14">
        <f t="shared" si="1783"/>
        <v>8.3550208</v>
      </c>
      <c r="V597" s="14">
        <f t="shared" si="1784"/>
        <v>5.2555776</v>
      </c>
      <c r="W597" s="14">
        <f t="shared" si="1785"/>
        <v>12.6672896</v>
      </c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>
      <c r="A598" s="24" t="s">
        <v>23</v>
      </c>
      <c r="B598" s="16" t="s">
        <v>178</v>
      </c>
      <c r="C598" s="20">
        <v>2021.0</v>
      </c>
      <c r="D598" s="17">
        <f>403238.5+381898</f>
        <v>785136.5</v>
      </c>
      <c r="E598" s="18">
        <v>8.3196078E7</v>
      </c>
      <c r="F598" s="19">
        <v>1.27</v>
      </c>
      <c r="G598" s="10">
        <f t="shared" si="1"/>
        <v>1056.590191</v>
      </c>
      <c r="H598" s="19">
        <v>0.91</v>
      </c>
      <c r="I598" s="8">
        <f t="shared" si="2"/>
        <v>757.0843098</v>
      </c>
      <c r="J598" s="19">
        <v>1.67</v>
      </c>
      <c r="K598" s="11">
        <f t="shared" si="3"/>
        <v>1389.374503</v>
      </c>
      <c r="L598" s="11">
        <f t="shared" si="13"/>
        <v>134.574076</v>
      </c>
      <c r="M598" s="12">
        <f>(I598/D598)*100000</f>
        <v>96.42709386</v>
      </c>
      <c r="N598" s="11">
        <f>(K598/D598)*100000</f>
        <v>176.9596118</v>
      </c>
      <c r="O598" s="19">
        <v>1.73</v>
      </c>
      <c r="P598" s="8">
        <f t="shared" si="1790"/>
        <v>1439.292149</v>
      </c>
      <c r="Q598" s="19">
        <v>1.06</v>
      </c>
      <c r="R598" s="8">
        <f t="shared" si="1791"/>
        <v>881.8784268</v>
      </c>
      <c r="S598" s="19">
        <v>2.7</v>
      </c>
      <c r="T598" s="11">
        <f t="shared" si="1792"/>
        <v>2246.294106</v>
      </c>
      <c r="U598" s="11">
        <f>(P598/D598)*100000</f>
        <v>183.3174422</v>
      </c>
      <c r="V598" s="11">
        <f>(R598/D598)*100000</f>
        <v>112.3216698</v>
      </c>
      <c r="W598" s="11">
        <f>(T598/D598)*100000</f>
        <v>286.1023664</v>
      </c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 hidden="1">
      <c r="A599" s="24" t="s">
        <v>25</v>
      </c>
      <c r="B599" s="16" t="s">
        <v>178</v>
      </c>
      <c r="C599" s="23">
        <v>2030.0</v>
      </c>
      <c r="D599" s="17">
        <f>340304+322053</f>
        <v>662357</v>
      </c>
      <c r="E599" s="10">
        <v>8.180796E7</v>
      </c>
      <c r="F599" s="19">
        <v>1.27</v>
      </c>
      <c r="G599" s="10">
        <f t="shared" si="1"/>
        <v>1038.961092</v>
      </c>
      <c r="H599" s="19">
        <v>0.91</v>
      </c>
      <c r="I599" s="8">
        <f t="shared" si="2"/>
        <v>744.452436</v>
      </c>
      <c r="J599" s="19">
        <v>1.67</v>
      </c>
      <c r="K599" s="11">
        <f t="shared" si="3"/>
        <v>1366.192932</v>
      </c>
      <c r="L599" s="11">
        <f t="shared" si="13"/>
        <v>156.8581735</v>
      </c>
      <c r="M599" s="11">
        <f t="shared" ref="M599:M601" si="1793">(I599*D599)/100000</f>
        <v>4930.932822</v>
      </c>
      <c r="N599" s="11">
        <f t="shared" ref="N599:N601" si="1794">(K599*D599)/100000</f>
        <v>9049.074519</v>
      </c>
      <c r="O599" s="19">
        <v>1.73</v>
      </c>
      <c r="P599" s="19"/>
      <c r="Q599" s="19">
        <v>1.06</v>
      </c>
      <c r="R599" s="19"/>
      <c r="S599" s="19">
        <v>2.7</v>
      </c>
      <c r="T599" s="14"/>
      <c r="U599" s="14">
        <f t="shared" ref="U599:U601" si="1795">(O599*D599)/100000</f>
        <v>11.4587761</v>
      </c>
      <c r="V599" s="14">
        <f t="shared" ref="V599:V601" si="1796">(Q599*D599)/100000</f>
        <v>7.0209842</v>
      </c>
      <c r="W599" s="14">
        <f t="shared" ref="W599:W601" si="1797">(S599*D599)/100000</f>
        <v>17.883639</v>
      </c>
      <c r="X599" s="13"/>
      <c r="Y599" s="13"/>
      <c r="Z599" s="13" t="str">
        <f t="shared" ref="Z599:Z600" si="1798">ROUND(F599, 0) &amp; " (" &amp; ROUND(H599, 0) &amp; "-" &amp; ROUND(J599, 0) &amp; ")"</f>
        <v>1 (1-2)</v>
      </c>
      <c r="AA599" s="13" t="str">
        <f t="shared" ref="AA599:AA600" si="1799">ROUND(L599, 0) &amp; " (" &amp; ROUND(M599, 0) &amp; "-" &amp; ROUND(N599, 0) &amp; ")"</f>
        <v>157 (4931-9049)</v>
      </c>
      <c r="AB599" s="13" t="str">
        <f t="shared" ref="AB599:AB600" si="1800">ROUND(O599, 0) &amp; " (" &amp; ROUND(Q599, 0) &amp; "-" &amp; ROUND(S599, 0) &amp; ")"</f>
        <v>2 (1-3)</v>
      </c>
      <c r="AC599" s="13" t="str">
        <f t="shared" ref="AC599:AC600" si="1801">ROUND(U599, 0) &amp; " (" &amp; ROUND(V599, 0) &amp; "-" &amp; ROUND(W599, 0) &amp; ")"</f>
        <v>11 (7-18)</v>
      </c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</row>
    <row r="600" hidden="1">
      <c r="A600" s="24" t="s">
        <v>27</v>
      </c>
      <c r="B600" s="16" t="s">
        <v>178</v>
      </c>
      <c r="C600" s="23">
        <v>2040.0</v>
      </c>
      <c r="D600" s="17">
        <f>334343+316098</f>
        <v>650441</v>
      </c>
      <c r="E600" s="10">
        <v>7.9491984E7</v>
      </c>
      <c r="F600" s="19">
        <v>1.27</v>
      </c>
      <c r="G600" s="10">
        <f t="shared" si="1"/>
        <v>1009.548197</v>
      </c>
      <c r="H600" s="19">
        <v>0.91</v>
      </c>
      <c r="I600" s="8">
        <f t="shared" si="2"/>
        <v>723.3770544</v>
      </c>
      <c r="J600" s="19">
        <v>1.67</v>
      </c>
      <c r="K600" s="11">
        <f t="shared" si="3"/>
        <v>1327.516133</v>
      </c>
      <c r="L600" s="11">
        <f t="shared" si="13"/>
        <v>155.2098033</v>
      </c>
      <c r="M600" s="11">
        <f t="shared" si="1793"/>
        <v>4705.140946</v>
      </c>
      <c r="N600" s="11">
        <f t="shared" si="1794"/>
        <v>8634.709209</v>
      </c>
      <c r="O600" s="19">
        <v>1.73</v>
      </c>
      <c r="P600" s="19"/>
      <c r="Q600" s="19">
        <v>1.06</v>
      </c>
      <c r="R600" s="19"/>
      <c r="S600" s="19">
        <v>2.7</v>
      </c>
      <c r="T600" s="14"/>
      <c r="U600" s="14">
        <f t="shared" si="1795"/>
        <v>11.2526293</v>
      </c>
      <c r="V600" s="14">
        <f t="shared" si="1796"/>
        <v>6.8946746</v>
      </c>
      <c r="W600" s="14">
        <f t="shared" si="1797"/>
        <v>17.561907</v>
      </c>
      <c r="X600" s="13"/>
      <c r="Y600" s="13"/>
      <c r="Z600" s="13" t="str">
        <f t="shared" si="1798"/>
        <v>1 (1-2)</v>
      </c>
      <c r="AA600" s="13" t="str">
        <f t="shared" si="1799"/>
        <v>155 (4705-8635)</v>
      </c>
      <c r="AB600" s="13" t="str">
        <f t="shared" si="1800"/>
        <v>2 (1-3)</v>
      </c>
      <c r="AC600" s="13" t="str">
        <f t="shared" si="1801"/>
        <v>11 (7-18)</v>
      </c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 hidden="1">
      <c r="A601" s="24" t="s">
        <v>29</v>
      </c>
      <c r="B601" s="16" t="s">
        <v>178</v>
      </c>
      <c r="C601" s="23">
        <v>2050.0</v>
      </c>
      <c r="D601" s="17">
        <f>356643+337209</f>
        <v>693852</v>
      </c>
      <c r="E601" s="10">
        <v>7.6846312E7</v>
      </c>
      <c r="F601" s="19">
        <v>1.27</v>
      </c>
      <c r="G601" s="10">
        <f t="shared" si="1"/>
        <v>975.9481624</v>
      </c>
      <c r="H601" s="19">
        <v>0.91</v>
      </c>
      <c r="I601" s="8">
        <f t="shared" si="2"/>
        <v>699.3014392</v>
      </c>
      <c r="J601" s="19">
        <v>1.67</v>
      </c>
      <c r="K601" s="11">
        <f t="shared" si="3"/>
        <v>1283.33341</v>
      </c>
      <c r="L601" s="11">
        <f t="shared" si="13"/>
        <v>140.6565323</v>
      </c>
      <c r="M601" s="11">
        <f t="shared" si="1793"/>
        <v>4852.117022</v>
      </c>
      <c r="N601" s="11">
        <f t="shared" si="1794"/>
        <v>8904.434535</v>
      </c>
      <c r="O601" s="19">
        <v>1.73</v>
      </c>
      <c r="P601" s="8">
        <f t="shared" ref="P601:P602" si="1802">(O601/100000)*E601</f>
        <v>1329.441198</v>
      </c>
      <c r="Q601" s="19">
        <v>1.06</v>
      </c>
      <c r="R601" s="8">
        <f t="shared" ref="R601:R602" si="1803">(Q601/100000)*E601</f>
        <v>814.5709072</v>
      </c>
      <c r="S601" s="19">
        <v>2.7</v>
      </c>
      <c r="T601" s="11">
        <f t="shared" ref="T601:T602" si="1804">(S601/100000)*E601</f>
        <v>2074.850424</v>
      </c>
      <c r="U601" s="14">
        <f t="shared" si="1795"/>
        <v>12.0036396</v>
      </c>
      <c r="V601" s="14">
        <f t="shared" si="1796"/>
        <v>7.3548312</v>
      </c>
      <c r="W601" s="14">
        <f t="shared" si="1797"/>
        <v>18.734004</v>
      </c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>
      <c r="A602" s="24" t="s">
        <v>23</v>
      </c>
      <c r="B602" s="16" t="s">
        <v>179</v>
      </c>
      <c r="C602" s="20">
        <v>2021.0</v>
      </c>
      <c r="D602" s="17">
        <f>43288.5+40689</f>
        <v>83977.5</v>
      </c>
      <c r="E602" s="18">
        <v>1.0569207E7</v>
      </c>
      <c r="F602" s="19">
        <v>1.48</v>
      </c>
      <c r="G602" s="10">
        <f t="shared" si="1"/>
        <v>156.4242636</v>
      </c>
      <c r="H602" s="19">
        <v>1.11</v>
      </c>
      <c r="I602" s="8">
        <f t="shared" si="2"/>
        <v>117.3181977</v>
      </c>
      <c r="J602" s="19">
        <v>1.92</v>
      </c>
      <c r="K602" s="11">
        <f t="shared" si="3"/>
        <v>202.9287744</v>
      </c>
      <c r="L602" s="11">
        <f t="shared" si="13"/>
        <v>186.269255</v>
      </c>
      <c r="M602" s="12">
        <f>(I602/D602)*100000</f>
        <v>139.7019412</v>
      </c>
      <c r="N602" s="11">
        <f>(K602/D602)*100000</f>
        <v>241.6466011</v>
      </c>
      <c r="O602" s="19">
        <v>2.34</v>
      </c>
      <c r="P602" s="8">
        <f t="shared" si="1802"/>
        <v>247.3194438</v>
      </c>
      <c r="Q602" s="19">
        <v>1.42</v>
      </c>
      <c r="R602" s="8">
        <f t="shared" si="1803"/>
        <v>150.0827394</v>
      </c>
      <c r="S602" s="19">
        <v>3.63</v>
      </c>
      <c r="T602" s="11">
        <f t="shared" si="1804"/>
        <v>383.6622141</v>
      </c>
      <c r="U602" s="11">
        <f>(P602/D602)*100000</f>
        <v>294.506795</v>
      </c>
      <c r="V602" s="11">
        <f>(R602/D602)*100000</f>
        <v>178.7177987</v>
      </c>
      <c r="W602" s="11">
        <f>(T602/D602)*100000</f>
        <v>456.8631051</v>
      </c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 hidden="1">
      <c r="A603" s="24" t="s">
        <v>25</v>
      </c>
      <c r="B603" s="16" t="s">
        <v>179</v>
      </c>
      <c r="C603" s="23">
        <v>2030.0</v>
      </c>
      <c r="D603" s="17">
        <f>34112+31971</f>
        <v>66083</v>
      </c>
      <c r="E603" s="10">
        <v>1.0121941E7</v>
      </c>
      <c r="F603" s="19">
        <v>1.48</v>
      </c>
      <c r="G603" s="10">
        <f t="shared" si="1"/>
        <v>149.8047268</v>
      </c>
      <c r="H603" s="19">
        <v>1.11</v>
      </c>
      <c r="I603" s="8">
        <f t="shared" si="2"/>
        <v>112.3535451</v>
      </c>
      <c r="J603" s="19">
        <v>1.92</v>
      </c>
      <c r="K603" s="11">
        <f t="shared" si="3"/>
        <v>194.3412672</v>
      </c>
      <c r="L603" s="11">
        <f t="shared" si="13"/>
        <v>226.6917767</v>
      </c>
      <c r="M603" s="11">
        <f t="shared" ref="M603:M605" si="1805">(I603*D603)/100000</f>
        <v>74.24659321</v>
      </c>
      <c r="N603" s="11">
        <f t="shared" ref="N603:N605" si="1806">(K603*D603)/100000</f>
        <v>128.4265396</v>
      </c>
      <c r="O603" s="19">
        <v>2.34</v>
      </c>
      <c r="P603" s="19"/>
      <c r="Q603" s="19">
        <v>1.42</v>
      </c>
      <c r="R603" s="19"/>
      <c r="S603" s="19">
        <v>3.63</v>
      </c>
      <c r="T603" s="14"/>
      <c r="U603" s="14">
        <f t="shared" ref="U603:U605" si="1807">(O603*D603)/100000</f>
        <v>1.5463422</v>
      </c>
      <c r="V603" s="14">
        <f t="shared" ref="V603:V605" si="1808">(Q603*D603)/100000</f>
        <v>0.9383786</v>
      </c>
      <c r="W603" s="14">
        <f t="shared" ref="W603:W605" si="1809">(S603*D603)/100000</f>
        <v>2.3988129</v>
      </c>
      <c r="X603" s="13"/>
      <c r="Y603" s="13"/>
      <c r="Z603" s="13" t="str">
        <f t="shared" ref="Z603:Z604" si="1810">ROUND(F603, 0) &amp; " (" &amp; ROUND(H603, 0) &amp; "-" &amp; ROUND(J603, 0) &amp; ")"</f>
        <v>1 (1-2)</v>
      </c>
      <c r="AA603" s="13" t="str">
        <f t="shared" ref="AA603:AA604" si="1811">ROUND(L603, 0) &amp; " (" &amp; ROUND(M603, 0) &amp; "-" &amp; ROUND(N603, 0) &amp; ")"</f>
        <v>227 (74-128)</v>
      </c>
      <c r="AB603" s="13" t="str">
        <f t="shared" ref="AB603:AB604" si="1812">ROUND(O603, 0) &amp; " (" &amp; ROUND(Q603, 0) &amp; "-" &amp; ROUND(S603, 0) &amp; ")"</f>
        <v>2 (1-4)</v>
      </c>
      <c r="AC603" s="13" t="str">
        <f t="shared" ref="AC603:AC604" si="1813">ROUND(U603, 0) &amp; " (" &amp; ROUND(V603, 0) &amp; "-" &amp; ROUND(W603, 0) &amp; ")"</f>
        <v>2 (1-2)</v>
      </c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</row>
    <row r="604" hidden="1">
      <c r="A604" s="24" t="s">
        <v>27</v>
      </c>
      <c r="B604" s="16" t="s">
        <v>179</v>
      </c>
      <c r="C604" s="23">
        <v>2040.0</v>
      </c>
      <c r="D604" s="17">
        <f>36761+34456</f>
        <v>71217</v>
      </c>
      <c r="E604" s="10">
        <v>9645691.0</v>
      </c>
      <c r="F604" s="19">
        <v>1.48</v>
      </c>
      <c r="G604" s="10">
        <f t="shared" si="1"/>
        <v>142.7562268</v>
      </c>
      <c r="H604" s="19">
        <v>1.11</v>
      </c>
      <c r="I604" s="8">
        <f t="shared" si="2"/>
        <v>107.0671701</v>
      </c>
      <c r="J604" s="19">
        <v>1.92</v>
      </c>
      <c r="K604" s="11">
        <f t="shared" si="3"/>
        <v>185.1972672</v>
      </c>
      <c r="L604" s="11">
        <f t="shared" si="13"/>
        <v>200.4524577</v>
      </c>
      <c r="M604" s="11">
        <f t="shared" si="1805"/>
        <v>76.25002653</v>
      </c>
      <c r="N604" s="11">
        <f t="shared" si="1806"/>
        <v>131.8919378</v>
      </c>
      <c r="O604" s="19">
        <v>2.34</v>
      </c>
      <c r="P604" s="19"/>
      <c r="Q604" s="19">
        <v>1.42</v>
      </c>
      <c r="R604" s="19"/>
      <c r="S604" s="19">
        <v>3.63</v>
      </c>
      <c r="T604" s="14"/>
      <c r="U604" s="14">
        <f t="shared" si="1807"/>
        <v>1.6664778</v>
      </c>
      <c r="V604" s="14">
        <f t="shared" si="1808"/>
        <v>1.0112814</v>
      </c>
      <c r="W604" s="14">
        <f t="shared" si="1809"/>
        <v>2.5851771</v>
      </c>
      <c r="X604" s="13"/>
      <c r="Y604" s="13"/>
      <c r="Z604" s="13" t="str">
        <f t="shared" si="1810"/>
        <v>1 (1-2)</v>
      </c>
      <c r="AA604" s="13" t="str">
        <f t="shared" si="1811"/>
        <v>200 (76-132)</v>
      </c>
      <c r="AB604" s="13" t="str">
        <f t="shared" si="1812"/>
        <v>2 (1-4)</v>
      </c>
      <c r="AC604" s="13" t="str">
        <f t="shared" si="1813"/>
        <v>2 (1-3)</v>
      </c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 hidden="1">
      <c r="A605" s="24" t="s">
        <v>29</v>
      </c>
      <c r="B605" s="16" t="s">
        <v>179</v>
      </c>
      <c r="C605" s="23">
        <v>2050.0</v>
      </c>
      <c r="D605" s="17">
        <f>35043+32834</f>
        <v>67877</v>
      </c>
      <c r="E605" s="10">
        <v>9134658.0</v>
      </c>
      <c r="F605" s="19">
        <v>1.48</v>
      </c>
      <c r="G605" s="10">
        <f t="shared" si="1"/>
        <v>135.1929384</v>
      </c>
      <c r="H605" s="19">
        <v>1.11</v>
      </c>
      <c r="I605" s="8">
        <f t="shared" si="2"/>
        <v>101.3947038</v>
      </c>
      <c r="J605" s="19">
        <v>1.92</v>
      </c>
      <c r="K605" s="11">
        <f t="shared" si="3"/>
        <v>175.3854336</v>
      </c>
      <c r="L605" s="11">
        <f t="shared" si="13"/>
        <v>199.1734143</v>
      </c>
      <c r="M605" s="11">
        <f t="shared" si="1805"/>
        <v>68.8236831</v>
      </c>
      <c r="N605" s="11">
        <f t="shared" si="1806"/>
        <v>119.0463708</v>
      </c>
      <c r="O605" s="19">
        <v>2.34</v>
      </c>
      <c r="P605" s="8">
        <f t="shared" ref="P605:P606" si="1814">(O605/100000)*E605</f>
        <v>213.7509972</v>
      </c>
      <c r="Q605" s="19">
        <v>1.42</v>
      </c>
      <c r="R605" s="8">
        <f t="shared" ref="R605:R606" si="1815">(Q605/100000)*E605</f>
        <v>129.7121436</v>
      </c>
      <c r="S605" s="19">
        <v>3.63</v>
      </c>
      <c r="T605" s="11">
        <f t="shared" ref="T605:T606" si="1816">(S605/100000)*E605</f>
        <v>331.5880854</v>
      </c>
      <c r="U605" s="14">
        <f t="shared" si="1807"/>
        <v>1.5883218</v>
      </c>
      <c r="V605" s="14">
        <f t="shared" si="1808"/>
        <v>0.9638534</v>
      </c>
      <c r="W605" s="14">
        <f t="shared" si="1809"/>
        <v>2.4639351</v>
      </c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>
      <c r="A606" s="24" t="s">
        <v>23</v>
      </c>
      <c r="B606" s="16" t="s">
        <v>180</v>
      </c>
      <c r="C606" s="20">
        <v>2021.0</v>
      </c>
      <c r="D606" s="17">
        <f>2253.5+2453.5</f>
        <v>4707</v>
      </c>
      <c r="E606" s="18">
        <v>372520.0</v>
      </c>
      <c r="F606" s="19">
        <v>1.5</v>
      </c>
      <c r="G606" s="10">
        <f t="shared" si="1"/>
        <v>5.5878</v>
      </c>
      <c r="H606" s="19">
        <v>1.02</v>
      </c>
      <c r="I606" s="8">
        <f t="shared" si="2"/>
        <v>3.799704</v>
      </c>
      <c r="J606" s="19">
        <v>2.05</v>
      </c>
      <c r="K606" s="11">
        <f t="shared" si="3"/>
        <v>7.63666</v>
      </c>
      <c r="L606" s="11">
        <f t="shared" si="13"/>
        <v>118.7125558</v>
      </c>
      <c r="M606" s="12">
        <f>(I606/D606)*100000</f>
        <v>80.72453792</v>
      </c>
      <c r="N606" s="11">
        <f>(K606/D606)*100000</f>
        <v>162.2404929</v>
      </c>
      <c r="O606" s="19">
        <v>1.66</v>
      </c>
      <c r="P606" s="8">
        <f t="shared" si="1814"/>
        <v>6.183832</v>
      </c>
      <c r="Q606" s="19">
        <v>1.04</v>
      </c>
      <c r="R606" s="8">
        <f t="shared" si="1815"/>
        <v>3.874208</v>
      </c>
      <c r="S606" s="19">
        <v>2.55</v>
      </c>
      <c r="T606" s="11">
        <f t="shared" si="1816"/>
        <v>9.49926</v>
      </c>
      <c r="U606" s="11">
        <f>(P606/D606)*100000</f>
        <v>131.3752284</v>
      </c>
      <c r="V606" s="11">
        <f>(R606/D606)*100000</f>
        <v>82.307372</v>
      </c>
      <c r="W606" s="11">
        <f>(T606/D606)*100000</f>
        <v>201.8113448</v>
      </c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 hidden="1">
      <c r="A607" s="24" t="s">
        <v>25</v>
      </c>
      <c r="B607" s="16" t="s">
        <v>180</v>
      </c>
      <c r="C607" s="23">
        <v>2030.0</v>
      </c>
      <c r="D607" s="17">
        <f>2070+2196</f>
        <v>4266</v>
      </c>
      <c r="E607" s="10">
        <v>423678.0</v>
      </c>
      <c r="F607" s="19">
        <v>1.5</v>
      </c>
      <c r="G607" s="10">
        <f t="shared" si="1"/>
        <v>6.35517</v>
      </c>
      <c r="H607" s="19">
        <v>1.02</v>
      </c>
      <c r="I607" s="8">
        <f t="shared" si="2"/>
        <v>4.3215156</v>
      </c>
      <c r="J607" s="19">
        <v>2.05</v>
      </c>
      <c r="K607" s="11">
        <f t="shared" si="3"/>
        <v>8.685399</v>
      </c>
      <c r="L607" s="11">
        <f t="shared" si="13"/>
        <v>148.9725738</v>
      </c>
      <c r="M607" s="11">
        <f t="shared" ref="M607:M609" si="1817">(I607*D607)/100000</f>
        <v>0.1843558555</v>
      </c>
      <c r="N607" s="11">
        <f t="shared" ref="N607:N609" si="1818">(K607*D607)/100000</f>
        <v>0.3705191213</v>
      </c>
      <c r="O607" s="19">
        <v>1.66</v>
      </c>
      <c r="P607" s="19"/>
      <c r="Q607" s="19">
        <v>1.04</v>
      </c>
      <c r="R607" s="19"/>
      <c r="S607" s="19">
        <v>2.55</v>
      </c>
      <c r="T607" s="14"/>
      <c r="U607" s="14">
        <f t="shared" ref="U607:U609" si="1819">(O607*D607)/100000</f>
        <v>0.0708156</v>
      </c>
      <c r="V607" s="14">
        <f t="shared" ref="V607:V609" si="1820">(Q607*D607)/100000</f>
        <v>0.0443664</v>
      </c>
      <c r="W607" s="14">
        <f t="shared" ref="W607:W609" si="1821">(S607*D607)/100000</f>
        <v>0.108783</v>
      </c>
      <c r="X607" s="13"/>
      <c r="Y607" s="13"/>
      <c r="Z607" s="13" t="str">
        <f t="shared" ref="Z607:Z608" si="1822">ROUND(F607, 0) &amp; " (" &amp; ROUND(H607, 0) &amp; "-" &amp; ROUND(J607, 0) &amp; ")"</f>
        <v>2 (1-2)</v>
      </c>
      <c r="AA607" s="13" t="str">
        <f t="shared" ref="AA607:AA608" si="1823">ROUND(L607, 0) &amp; " (" &amp; ROUND(M607, 0) &amp; "-" &amp; ROUND(N607, 0) &amp; ")"</f>
        <v>149 (0-0)</v>
      </c>
      <c r="AB607" s="13" t="str">
        <f t="shared" ref="AB607:AB608" si="1824">ROUND(O607, 0) &amp; " (" &amp; ROUND(Q607, 0) &amp; "-" &amp; ROUND(S607, 0) &amp; ")"</f>
        <v>2 (1-3)</v>
      </c>
      <c r="AC607" s="13" t="str">
        <f t="shared" ref="AC607:AC608" si="1825">ROUND(U607, 0) &amp; " (" &amp; ROUND(V607, 0) &amp; "-" &amp; ROUND(W607, 0) &amp; ")"</f>
        <v>0 (0-0)</v>
      </c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hidden="1">
      <c r="A608" s="24" t="s">
        <v>27</v>
      </c>
      <c r="B608" s="16" t="s">
        <v>180</v>
      </c>
      <c r="C608" s="23">
        <v>2040.0</v>
      </c>
      <c r="D608" s="17">
        <f>1926+2041</f>
        <v>3967</v>
      </c>
      <c r="E608" s="10">
        <v>437019.0</v>
      </c>
      <c r="F608" s="19">
        <v>1.5</v>
      </c>
      <c r="G608" s="10">
        <f t="shared" si="1"/>
        <v>6.555285</v>
      </c>
      <c r="H608" s="19">
        <v>1.02</v>
      </c>
      <c r="I608" s="8">
        <f t="shared" si="2"/>
        <v>4.4575938</v>
      </c>
      <c r="J608" s="19">
        <v>2.05</v>
      </c>
      <c r="K608" s="11">
        <f t="shared" si="3"/>
        <v>8.9588895</v>
      </c>
      <c r="L608" s="11">
        <f t="shared" si="13"/>
        <v>165.2453995</v>
      </c>
      <c r="M608" s="11">
        <f t="shared" si="1817"/>
        <v>0.176832746</v>
      </c>
      <c r="N608" s="11">
        <f t="shared" si="1818"/>
        <v>0.3553991465</v>
      </c>
      <c r="O608" s="19">
        <v>1.66</v>
      </c>
      <c r="P608" s="19"/>
      <c r="Q608" s="19">
        <v>1.04</v>
      </c>
      <c r="R608" s="19"/>
      <c r="S608" s="19">
        <v>2.55</v>
      </c>
      <c r="T608" s="14"/>
      <c r="U608" s="14">
        <f t="shared" si="1819"/>
        <v>0.0658522</v>
      </c>
      <c r="V608" s="14">
        <f t="shared" si="1820"/>
        <v>0.0412568</v>
      </c>
      <c r="W608" s="14">
        <f t="shared" si="1821"/>
        <v>0.1011585</v>
      </c>
      <c r="X608" s="13"/>
      <c r="Y608" s="13"/>
      <c r="Z608" s="13" t="str">
        <f t="shared" si="1822"/>
        <v>2 (1-2)</v>
      </c>
      <c r="AA608" s="13" t="str">
        <f t="shared" si="1823"/>
        <v>165 (0-0)</v>
      </c>
      <c r="AB608" s="13" t="str">
        <f t="shared" si="1824"/>
        <v>2 (1-3)</v>
      </c>
      <c r="AC608" s="13" t="str">
        <f t="shared" si="1825"/>
        <v>0 (0-0)</v>
      </c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hidden="1">
      <c r="A609" s="24" t="s">
        <v>29</v>
      </c>
      <c r="B609" s="16" t="s">
        <v>180</v>
      </c>
      <c r="C609" s="23">
        <v>2050.0</v>
      </c>
      <c r="D609" s="17">
        <f>1819+1927</f>
        <v>3746</v>
      </c>
      <c r="E609" s="10">
        <v>439820.0</v>
      </c>
      <c r="F609" s="19">
        <v>1.5</v>
      </c>
      <c r="G609" s="10">
        <f t="shared" si="1"/>
        <v>6.5973</v>
      </c>
      <c r="H609" s="19">
        <v>1.02</v>
      </c>
      <c r="I609" s="8">
        <f t="shared" si="2"/>
        <v>4.486164</v>
      </c>
      <c r="J609" s="19">
        <v>2.05</v>
      </c>
      <c r="K609" s="11">
        <f t="shared" si="3"/>
        <v>9.01631</v>
      </c>
      <c r="L609" s="11">
        <f t="shared" si="13"/>
        <v>176.1158569</v>
      </c>
      <c r="M609" s="11">
        <f t="shared" si="1817"/>
        <v>0.1680517034</v>
      </c>
      <c r="N609" s="11">
        <f t="shared" si="1818"/>
        <v>0.3377509726</v>
      </c>
      <c r="O609" s="19">
        <v>1.66</v>
      </c>
      <c r="P609" s="8">
        <f t="shared" ref="P609:P610" si="1826">(O609/100000)*E609</f>
        <v>7.301012</v>
      </c>
      <c r="Q609" s="19">
        <v>1.04</v>
      </c>
      <c r="R609" s="8">
        <f t="shared" ref="R609:R610" si="1827">(Q609/100000)*E609</f>
        <v>4.574128</v>
      </c>
      <c r="S609" s="19">
        <v>2.55</v>
      </c>
      <c r="T609" s="11">
        <f t="shared" ref="T609:T610" si="1828">(S609/100000)*E609</f>
        <v>11.21541</v>
      </c>
      <c r="U609" s="14">
        <f t="shared" si="1819"/>
        <v>0.0621836</v>
      </c>
      <c r="V609" s="14">
        <f t="shared" si="1820"/>
        <v>0.0389584</v>
      </c>
      <c r="W609" s="14">
        <f t="shared" si="1821"/>
        <v>0.095523</v>
      </c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>
      <c r="A610" s="24" t="s">
        <v>23</v>
      </c>
      <c r="B610" s="16" t="s">
        <v>181</v>
      </c>
      <c r="C610" s="20">
        <v>2021.0</v>
      </c>
      <c r="D610" s="17">
        <f>28401+29921</f>
        <v>58322</v>
      </c>
      <c r="E610" s="18">
        <v>5110585.0</v>
      </c>
      <c r="F610" s="19">
        <v>1.15</v>
      </c>
      <c r="G610" s="10">
        <f t="shared" si="1"/>
        <v>58.7717275</v>
      </c>
      <c r="H610" s="19">
        <v>0.8</v>
      </c>
      <c r="I610" s="8">
        <f t="shared" si="2"/>
        <v>40.88468</v>
      </c>
      <c r="J610" s="19">
        <v>1.48</v>
      </c>
      <c r="K610" s="11">
        <f t="shared" si="3"/>
        <v>75.636658</v>
      </c>
      <c r="L610" s="11">
        <f t="shared" si="13"/>
        <v>100.7711112</v>
      </c>
      <c r="M610" s="12">
        <f>(I610/D610)*100000</f>
        <v>70.1016426</v>
      </c>
      <c r="N610" s="11">
        <f>(K610/D610)*100000</f>
        <v>129.6880388</v>
      </c>
      <c r="O610" s="19">
        <v>1.35</v>
      </c>
      <c r="P610" s="8">
        <f t="shared" si="1826"/>
        <v>68.9928975</v>
      </c>
      <c r="Q610" s="19">
        <v>0.83</v>
      </c>
      <c r="R610" s="8">
        <f t="shared" si="1827"/>
        <v>42.4178555</v>
      </c>
      <c r="S610" s="19">
        <v>2.1</v>
      </c>
      <c r="T610" s="11">
        <f t="shared" si="1828"/>
        <v>107.322285</v>
      </c>
      <c r="U610" s="11">
        <f>(P610/D610)*100000</f>
        <v>118.2965219</v>
      </c>
      <c r="V610" s="11">
        <f>(R610/D610)*100000</f>
        <v>72.7304542</v>
      </c>
      <c r="W610" s="11">
        <f>(T610/D610)*100000</f>
        <v>184.0168118</v>
      </c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hidden="1">
      <c r="A611" s="24" t="s">
        <v>25</v>
      </c>
      <c r="B611" s="16" t="s">
        <v>181</v>
      </c>
      <c r="C611" s="23">
        <v>2030.0</v>
      </c>
      <c r="D611" s="17">
        <f>26596+28074</f>
        <v>54670</v>
      </c>
      <c r="E611" s="10">
        <v>5634241.0</v>
      </c>
      <c r="F611" s="19">
        <v>1.15</v>
      </c>
      <c r="G611" s="10">
        <f t="shared" si="1"/>
        <v>64.7937715</v>
      </c>
      <c r="H611" s="19">
        <v>0.8</v>
      </c>
      <c r="I611" s="8">
        <f t="shared" si="2"/>
        <v>45.073928</v>
      </c>
      <c r="J611" s="19">
        <v>1.48</v>
      </c>
      <c r="K611" s="11">
        <f t="shared" si="3"/>
        <v>83.3867668</v>
      </c>
      <c r="L611" s="11">
        <f t="shared" si="13"/>
        <v>118.5179651</v>
      </c>
      <c r="M611" s="11">
        <f t="shared" ref="M611:M613" si="1829">(I611*D611)/100000</f>
        <v>24.64191644</v>
      </c>
      <c r="N611" s="11">
        <f t="shared" ref="N611:N613" si="1830">(K611*D611)/100000</f>
        <v>45.58754541</v>
      </c>
      <c r="O611" s="19">
        <v>1.35</v>
      </c>
      <c r="P611" s="19"/>
      <c r="Q611" s="19">
        <v>0.83</v>
      </c>
      <c r="R611" s="19"/>
      <c r="S611" s="19">
        <v>2.1</v>
      </c>
      <c r="T611" s="14"/>
      <c r="U611" s="14">
        <f t="shared" ref="U611:U613" si="1831">(O611*D611)/100000</f>
        <v>0.738045</v>
      </c>
      <c r="V611" s="14">
        <f t="shared" ref="V611:V613" si="1832">(Q611*D611)/100000</f>
        <v>0.453761</v>
      </c>
      <c r="W611" s="14">
        <f t="shared" ref="W611:W613" si="1833">(S611*D611)/100000</f>
        <v>1.14807</v>
      </c>
      <c r="X611" s="13"/>
      <c r="Y611" s="13"/>
      <c r="Z611" s="13" t="str">
        <f t="shared" ref="Z611:Z612" si="1834">ROUND(F611, 0) &amp; " (" &amp; ROUND(H611, 0) &amp; "-" &amp; ROUND(J611, 0) &amp; ")"</f>
        <v>1 (1-1)</v>
      </c>
      <c r="AA611" s="13" t="str">
        <f t="shared" ref="AA611:AA612" si="1835">ROUND(L611, 0) &amp; " (" &amp; ROUND(M611, 0) &amp; "-" &amp; ROUND(N611, 0) &amp; ")"</f>
        <v>119 (25-46)</v>
      </c>
      <c r="AB611" s="13" t="str">
        <f t="shared" ref="AB611:AB612" si="1836">ROUND(O611, 0) &amp; " (" &amp; ROUND(Q611, 0) &amp; "-" &amp; ROUND(S611, 0) &amp; ")"</f>
        <v>1 (1-2)</v>
      </c>
      <c r="AC611" s="13" t="str">
        <f t="shared" ref="AC611:AC612" si="1837">ROUND(U611, 0) &amp; " (" &amp; ROUND(V611, 0) &amp; "-" &amp; ROUND(W611, 0) &amp; ")"</f>
        <v>1 (0-1)</v>
      </c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hidden="1">
      <c r="A612" s="24" t="s">
        <v>27</v>
      </c>
      <c r="B612" s="16" t="s">
        <v>181</v>
      </c>
      <c r="C612" s="23">
        <v>2040.0</v>
      </c>
      <c r="D612" s="17">
        <f>30431+32142</f>
        <v>62573</v>
      </c>
      <c r="E612" s="10">
        <v>5904069.0</v>
      </c>
      <c r="F612" s="19">
        <v>1.15</v>
      </c>
      <c r="G612" s="10">
        <f t="shared" si="1"/>
        <v>67.8967935</v>
      </c>
      <c r="H612" s="19">
        <v>0.8</v>
      </c>
      <c r="I612" s="8">
        <f t="shared" si="2"/>
        <v>47.232552</v>
      </c>
      <c r="J612" s="19">
        <v>1.48</v>
      </c>
      <c r="K612" s="11">
        <f t="shared" si="3"/>
        <v>87.3802212</v>
      </c>
      <c r="L612" s="11">
        <f t="shared" si="13"/>
        <v>108.5081321</v>
      </c>
      <c r="M612" s="11">
        <f t="shared" si="1829"/>
        <v>29.55482476</v>
      </c>
      <c r="N612" s="11">
        <f t="shared" si="1830"/>
        <v>54.67642581</v>
      </c>
      <c r="O612" s="19">
        <v>1.35</v>
      </c>
      <c r="P612" s="19"/>
      <c r="Q612" s="19">
        <v>0.83</v>
      </c>
      <c r="R612" s="19"/>
      <c r="S612" s="19">
        <v>2.1</v>
      </c>
      <c r="T612" s="14"/>
      <c r="U612" s="14">
        <f t="shared" si="1831"/>
        <v>0.8447355</v>
      </c>
      <c r="V612" s="14">
        <f t="shared" si="1832"/>
        <v>0.5193559</v>
      </c>
      <c r="W612" s="14">
        <f t="shared" si="1833"/>
        <v>1.314033</v>
      </c>
      <c r="X612" s="13"/>
      <c r="Y612" s="13"/>
      <c r="Z612" s="13" t="str">
        <f t="shared" si="1834"/>
        <v>1 (1-1)</v>
      </c>
      <c r="AA612" s="13" t="str">
        <f t="shared" si="1835"/>
        <v>109 (30-55)</v>
      </c>
      <c r="AB612" s="13" t="str">
        <f t="shared" si="1836"/>
        <v>1 (1-2)</v>
      </c>
      <c r="AC612" s="13" t="str">
        <f t="shared" si="1837"/>
        <v>1 (1-1)</v>
      </c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hidden="1">
      <c r="A613" s="24" t="s">
        <v>29</v>
      </c>
      <c r="B613" s="16" t="s">
        <v>181</v>
      </c>
      <c r="C613" s="23">
        <v>2050.0</v>
      </c>
      <c r="D613" s="17">
        <f>28603+30221</f>
        <v>58824</v>
      </c>
      <c r="E613" s="10">
        <v>6038066.0</v>
      </c>
      <c r="F613" s="19">
        <v>1.15</v>
      </c>
      <c r="G613" s="10">
        <f t="shared" si="1"/>
        <v>69.437759</v>
      </c>
      <c r="H613" s="19">
        <v>0.8</v>
      </c>
      <c r="I613" s="8">
        <f t="shared" si="2"/>
        <v>48.304528</v>
      </c>
      <c r="J613" s="19">
        <v>1.48</v>
      </c>
      <c r="K613" s="11">
        <f t="shared" si="3"/>
        <v>89.3633768</v>
      </c>
      <c r="L613" s="11">
        <f t="shared" si="13"/>
        <v>118.043246</v>
      </c>
      <c r="M613" s="11">
        <f t="shared" si="1829"/>
        <v>28.41465555</v>
      </c>
      <c r="N613" s="11">
        <f t="shared" si="1830"/>
        <v>52.56711277</v>
      </c>
      <c r="O613" s="19">
        <v>1.35</v>
      </c>
      <c r="P613" s="8">
        <f t="shared" ref="P613:P614" si="1838">(O613/100000)*E613</f>
        <v>81.513891</v>
      </c>
      <c r="Q613" s="19">
        <v>0.83</v>
      </c>
      <c r="R613" s="8">
        <f t="shared" ref="R613:R614" si="1839">(Q613/100000)*E613</f>
        <v>50.1159478</v>
      </c>
      <c r="S613" s="19">
        <v>2.1</v>
      </c>
      <c r="T613" s="11">
        <f t="shared" ref="T613:T614" si="1840">(S613/100000)*E613</f>
        <v>126.799386</v>
      </c>
      <c r="U613" s="14">
        <f t="shared" si="1831"/>
        <v>0.794124</v>
      </c>
      <c r="V613" s="14">
        <f t="shared" si="1832"/>
        <v>0.4882392</v>
      </c>
      <c r="W613" s="14">
        <f t="shared" si="1833"/>
        <v>1.235304</v>
      </c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>
      <c r="A614" s="24" t="s">
        <v>23</v>
      </c>
      <c r="B614" s="16" t="s">
        <v>182</v>
      </c>
      <c r="C614" s="20">
        <v>2021.0</v>
      </c>
      <c r="D614" s="17">
        <f>84867.5+89387</f>
        <v>174254.5</v>
      </c>
      <c r="E614" s="18">
        <v>9371400.0</v>
      </c>
      <c r="F614" s="19">
        <v>1.22</v>
      </c>
      <c r="G614" s="10">
        <f t="shared" si="1"/>
        <v>114.33108</v>
      </c>
      <c r="H614" s="19">
        <v>0.81</v>
      </c>
      <c r="I614" s="8">
        <f t="shared" si="2"/>
        <v>75.90834</v>
      </c>
      <c r="J614" s="19">
        <v>1.66</v>
      </c>
      <c r="K614" s="11">
        <f t="shared" si="3"/>
        <v>155.56524</v>
      </c>
      <c r="L614" s="11">
        <f t="shared" si="13"/>
        <v>65.61155092</v>
      </c>
      <c r="M614" s="12">
        <f>(I614/D614)*100000</f>
        <v>43.56176741</v>
      </c>
      <c r="N614" s="11">
        <f>(K614/D614)*100000</f>
        <v>89.27473322</v>
      </c>
      <c r="O614" s="19">
        <v>1.03</v>
      </c>
      <c r="P614" s="8">
        <f t="shared" si="1838"/>
        <v>96.52542</v>
      </c>
      <c r="Q614" s="19">
        <v>0.63</v>
      </c>
      <c r="R614" s="8">
        <f t="shared" si="1839"/>
        <v>59.03982</v>
      </c>
      <c r="S614" s="19">
        <v>1.57</v>
      </c>
      <c r="T614" s="11">
        <f t="shared" si="1840"/>
        <v>147.13098</v>
      </c>
      <c r="U614" s="11">
        <f>(P614/D614)*100000</f>
        <v>55.39335856</v>
      </c>
      <c r="V614" s="11">
        <f>(R614/D614)*100000</f>
        <v>33.88137466</v>
      </c>
      <c r="W614" s="11">
        <f>(T614/D614)*100000</f>
        <v>84.43453684</v>
      </c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</row>
    <row r="615" hidden="1">
      <c r="A615" s="24" t="s">
        <v>25</v>
      </c>
      <c r="B615" s="16" t="s">
        <v>182</v>
      </c>
      <c r="C615" s="23">
        <v>2030.0</v>
      </c>
      <c r="D615" s="17">
        <f>85532+90249</f>
        <v>175781</v>
      </c>
      <c r="E615" s="10">
        <v>1.0795123E7</v>
      </c>
      <c r="F615" s="19">
        <v>1.22</v>
      </c>
      <c r="G615" s="10">
        <f t="shared" si="1"/>
        <v>131.7005006</v>
      </c>
      <c r="H615" s="19">
        <v>0.81</v>
      </c>
      <c r="I615" s="8">
        <f t="shared" si="2"/>
        <v>87.4404963</v>
      </c>
      <c r="J615" s="19">
        <v>1.66</v>
      </c>
      <c r="K615" s="11">
        <f t="shared" si="3"/>
        <v>179.1990418</v>
      </c>
      <c r="L615" s="11">
        <f t="shared" si="13"/>
        <v>74.92305801</v>
      </c>
      <c r="M615" s="11">
        <f t="shared" ref="M615:M617" si="1841">(I615*D615)/100000</f>
        <v>153.7037788</v>
      </c>
      <c r="N615" s="11">
        <f t="shared" ref="N615:N617" si="1842">(K615*D615)/100000</f>
        <v>314.9978677</v>
      </c>
      <c r="O615" s="19">
        <v>1.03</v>
      </c>
      <c r="P615" s="19"/>
      <c r="Q615" s="19">
        <v>0.63</v>
      </c>
      <c r="R615" s="19"/>
      <c r="S615" s="19">
        <v>1.57</v>
      </c>
      <c r="T615" s="14"/>
      <c r="U615" s="14">
        <f t="shared" ref="U615:U617" si="1843">(O615*D615)/100000</f>
        <v>1.8105443</v>
      </c>
      <c r="V615" s="14">
        <f t="shared" ref="V615:V617" si="1844">(Q615*D615)/100000</f>
        <v>1.1074203</v>
      </c>
      <c r="W615" s="14">
        <f t="shared" ref="W615:W617" si="1845">(S615*D615)/100000</f>
        <v>2.7597617</v>
      </c>
      <c r="X615" s="13"/>
      <c r="Y615" s="13"/>
      <c r="Z615" s="13" t="str">
        <f t="shared" ref="Z615:Z616" si="1846">ROUND(F615, 0) &amp; " (" &amp; ROUND(H615, 0) &amp; "-" &amp; ROUND(J615, 0) &amp; ")"</f>
        <v>1 (1-2)</v>
      </c>
      <c r="AA615" s="13" t="str">
        <f t="shared" ref="AA615:AA616" si="1847">ROUND(L615, 0) &amp; " (" &amp; ROUND(M615, 0) &amp; "-" &amp; ROUND(N615, 0) &amp; ")"</f>
        <v>75 (154-315)</v>
      </c>
      <c r="AB615" s="13" t="str">
        <f t="shared" ref="AB615:AB616" si="1848">ROUND(O615, 0) &amp; " (" &amp; ROUND(Q615, 0) &amp; "-" &amp; ROUND(S615, 0) &amp; ")"</f>
        <v>1 (1-2)</v>
      </c>
      <c r="AC615" s="13" t="str">
        <f t="shared" ref="AC615:AC616" si="1849">ROUND(U615, 0) &amp; " (" &amp; ROUND(V615, 0) &amp; "-" &amp; ROUND(W615, 0) &amp; ")"</f>
        <v>2 (1-3)</v>
      </c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</row>
    <row r="616" hidden="1">
      <c r="A616" s="24" t="s">
        <v>27</v>
      </c>
      <c r="B616" s="16" t="s">
        <v>182</v>
      </c>
      <c r="C616" s="23">
        <v>2040.0</v>
      </c>
      <c r="D616" s="17">
        <f>96963+102383</f>
        <v>199346</v>
      </c>
      <c r="E616" s="10">
        <v>1.2238294E7</v>
      </c>
      <c r="F616" s="19">
        <v>1.22</v>
      </c>
      <c r="G616" s="10">
        <f t="shared" si="1"/>
        <v>149.3071868</v>
      </c>
      <c r="H616" s="19">
        <v>0.81</v>
      </c>
      <c r="I616" s="8">
        <f t="shared" si="2"/>
        <v>99.1301814</v>
      </c>
      <c r="J616" s="19">
        <v>1.66</v>
      </c>
      <c r="K616" s="11">
        <f t="shared" si="3"/>
        <v>203.1556804</v>
      </c>
      <c r="L616" s="11">
        <f t="shared" si="13"/>
        <v>74.89851153</v>
      </c>
      <c r="M616" s="11">
        <f t="shared" si="1841"/>
        <v>197.6120514</v>
      </c>
      <c r="N616" s="11">
        <f t="shared" si="1842"/>
        <v>404.9827227</v>
      </c>
      <c r="O616" s="19">
        <v>1.03</v>
      </c>
      <c r="P616" s="19"/>
      <c r="Q616" s="19">
        <v>0.63</v>
      </c>
      <c r="R616" s="19"/>
      <c r="S616" s="19">
        <v>1.57</v>
      </c>
      <c r="T616" s="14"/>
      <c r="U616" s="14">
        <f t="shared" si="1843"/>
        <v>2.0532638</v>
      </c>
      <c r="V616" s="14">
        <f t="shared" si="1844"/>
        <v>1.2558798</v>
      </c>
      <c r="W616" s="14">
        <f t="shared" si="1845"/>
        <v>3.1297322</v>
      </c>
      <c r="X616" s="13"/>
      <c r="Y616" s="13"/>
      <c r="Z616" s="13" t="str">
        <f t="shared" si="1846"/>
        <v>1 (1-2)</v>
      </c>
      <c r="AA616" s="13" t="str">
        <f t="shared" si="1847"/>
        <v>75 (198-405)</v>
      </c>
      <c r="AB616" s="13" t="str">
        <f t="shared" si="1848"/>
        <v>1 (1-2)</v>
      </c>
      <c r="AC616" s="13" t="str">
        <f t="shared" si="1849"/>
        <v>2 (1-3)</v>
      </c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</row>
    <row r="617" hidden="1">
      <c r="A617" s="24" t="s">
        <v>29</v>
      </c>
      <c r="B617" s="16" t="s">
        <v>182</v>
      </c>
      <c r="C617" s="23">
        <v>2050.0</v>
      </c>
      <c r="D617" s="17">
        <f>103118+108906</f>
        <v>212024</v>
      </c>
      <c r="E617" s="10">
        <v>1.3810846E7</v>
      </c>
      <c r="F617" s="19">
        <v>1.22</v>
      </c>
      <c r="G617" s="10">
        <f t="shared" si="1"/>
        <v>168.4923212</v>
      </c>
      <c r="H617" s="19">
        <v>0.81</v>
      </c>
      <c r="I617" s="8">
        <f t="shared" si="2"/>
        <v>111.8678526</v>
      </c>
      <c r="J617" s="19">
        <v>1.66</v>
      </c>
      <c r="K617" s="11">
        <f t="shared" si="3"/>
        <v>229.2600436</v>
      </c>
      <c r="L617" s="11">
        <f t="shared" si="13"/>
        <v>79.46851356</v>
      </c>
      <c r="M617" s="11">
        <f t="shared" si="1841"/>
        <v>237.1866958</v>
      </c>
      <c r="N617" s="11">
        <f t="shared" si="1842"/>
        <v>486.0863148</v>
      </c>
      <c r="O617" s="19">
        <v>1.03</v>
      </c>
      <c r="P617" s="8">
        <f t="shared" ref="P617:P618" si="1850">(O617/100000)*E617</f>
        <v>142.2517138</v>
      </c>
      <c r="Q617" s="19">
        <v>0.63</v>
      </c>
      <c r="R617" s="8">
        <f t="shared" ref="R617:R618" si="1851">(Q617/100000)*E617</f>
        <v>87.0083298</v>
      </c>
      <c r="S617" s="19">
        <v>1.57</v>
      </c>
      <c r="T617" s="11">
        <f t="shared" ref="T617:T618" si="1852">(S617/100000)*E617</f>
        <v>216.8302822</v>
      </c>
      <c r="U617" s="14">
        <f t="shared" si="1843"/>
        <v>2.1838472</v>
      </c>
      <c r="V617" s="14">
        <f t="shared" si="1844"/>
        <v>1.3357512</v>
      </c>
      <c r="W617" s="14">
        <f t="shared" si="1845"/>
        <v>3.3287768</v>
      </c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</row>
    <row r="618">
      <c r="A618" s="24" t="s">
        <v>23</v>
      </c>
      <c r="B618" s="16" t="s">
        <v>183</v>
      </c>
      <c r="C618" s="20">
        <v>2021.0</v>
      </c>
      <c r="D618" s="17">
        <f>198514+210145.5</f>
        <v>408659.5</v>
      </c>
      <c r="E618" s="18">
        <v>5.9133173E7</v>
      </c>
      <c r="F618" s="19">
        <v>0.7</v>
      </c>
      <c r="G618" s="10">
        <f t="shared" si="1"/>
        <v>413.932211</v>
      </c>
      <c r="H618" s="19">
        <v>0.54</v>
      </c>
      <c r="I618" s="8">
        <f t="shared" si="2"/>
        <v>319.3191342</v>
      </c>
      <c r="J618" s="19">
        <v>0.86</v>
      </c>
      <c r="K618" s="11">
        <f t="shared" si="3"/>
        <v>508.5452878</v>
      </c>
      <c r="L618" s="11">
        <f t="shared" si="13"/>
        <v>101.2902455</v>
      </c>
      <c r="M618" s="12">
        <f>(I618/D618)*100000</f>
        <v>78.13818942</v>
      </c>
      <c r="N618" s="11">
        <f>(K618/D618)*100000</f>
        <v>124.4423017</v>
      </c>
      <c r="O618" s="19">
        <v>1.19</v>
      </c>
      <c r="P618" s="8">
        <f t="shared" si="1850"/>
        <v>703.6847587</v>
      </c>
      <c r="Q618" s="19">
        <v>0.72</v>
      </c>
      <c r="R618" s="8">
        <f t="shared" si="1851"/>
        <v>425.7588456</v>
      </c>
      <c r="S618" s="19">
        <v>1.79</v>
      </c>
      <c r="T618" s="11">
        <f t="shared" si="1852"/>
        <v>1058.483797</v>
      </c>
      <c r="U618" s="11">
        <f>(P618/D618)*100000</f>
        <v>172.1934174</v>
      </c>
      <c r="V618" s="11">
        <f>(R618/D618)*100000</f>
        <v>104.1842526</v>
      </c>
      <c r="W618" s="11">
        <f>(T618/D618)*100000</f>
        <v>259.0136279</v>
      </c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</row>
    <row r="619" hidden="1">
      <c r="A619" s="24" t="s">
        <v>25</v>
      </c>
      <c r="B619" s="16" t="s">
        <v>183</v>
      </c>
      <c r="C619" s="23">
        <v>2030.0</v>
      </c>
      <c r="D619" s="17">
        <f>182304+193090</f>
        <v>375394</v>
      </c>
      <c r="E619" s="10">
        <v>5.746164E7</v>
      </c>
      <c r="F619" s="19">
        <v>0.7</v>
      </c>
      <c r="G619" s="10">
        <f t="shared" si="1"/>
        <v>402.23148</v>
      </c>
      <c r="H619" s="19">
        <v>0.54</v>
      </c>
      <c r="I619" s="8">
        <f t="shared" si="2"/>
        <v>310.292856</v>
      </c>
      <c r="J619" s="19">
        <v>0.86</v>
      </c>
      <c r="K619" s="11">
        <f t="shared" si="3"/>
        <v>494.170104</v>
      </c>
      <c r="L619" s="11">
        <f t="shared" si="13"/>
        <v>107.14915</v>
      </c>
      <c r="M619" s="11">
        <f t="shared" ref="M619:M621" si="1853">(I619*D619)/100000</f>
        <v>1164.820764</v>
      </c>
      <c r="N619" s="11">
        <f t="shared" ref="N619:N621" si="1854">(K619*D619)/100000</f>
        <v>1855.08492</v>
      </c>
      <c r="O619" s="19">
        <v>1.19</v>
      </c>
      <c r="P619" s="19"/>
      <c r="Q619" s="19">
        <v>0.72</v>
      </c>
      <c r="R619" s="19"/>
      <c r="S619" s="19">
        <v>1.79</v>
      </c>
      <c r="T619" s="14"/>
      <c r="U619" s="14">
        <f t="shared" ref="U619:U621" si="1855">(O619*D619)/100000</f>
        <v>4.4671886</v>
      </c>
      <c r="V619" s="14">
        <f t="shared" ref="V619:V621" si="1856">(Q619*D619)/100000</f>
        <v>2.7028368</v>
      </c>
      <c r="W619" s="14">
        <f t="shared" ref="W619:W621" si="1857">(S619*D619)/100000</f>
        <v>6.7195526</v>
      </c>
      <c r="X619" s="13"/>
      <c r="Y619" s="13"/>
      <c r="Z619" s="13" t="str">
        <f t="shared" ref="Z619:Z620" si="1858">ROUND(F619, 0) &amp; " (" &amp; ROUND(H619, 0) &amp; "-" &amp; ROUND(J619, 0) &amp; ")"</f>
        <v>1 (1-1)</v>
      </c>
      <c r="AA619" s="13" t="str">
        <f t="shared" ref="AA619:AA620" si="1859">ROUND(L619, 0) &amp; " (" &amp; ROUND(M619, 0) &amp; "-" &amp; ROUND(N619, 0) &amp; ")"</f>
        <v>107 (1165-1855)</v>
      </c>
      <c r="AB619" s="13" t="str">
        <f t="shared" ref="AB619:AB620" si="1860">ROUND(O619, 0) &amp; " (" &amp; ROUND(Q619, 0) &amp; "-" &amp; ROUND(S619, 0) &amp; ")"</f>
        <v>1 (1-2)</v>
      </c>
      <c r="AC619" s="13" t="str">
        <f t="shared" ref="AC619:AC620" si="1861">ROUND(U619, 0) &amp; " (" &amp; ROUND(V619, 0) &amp; "-" &amp; ROUND(W619, 0) &amp; ")"</f>
        <v>4 (3-7)</v>
      </c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</row>
    <row r="620" hidden="1">
      <c r="A620" s="24" t="s">
        <v>27</v>
      </c>
      <c r="B620" s="16" t="s">
        <v>183</v>
      </c>
      <c r="C620" s="23">
        <v>2040.0</v>
      </c>
      <c r="D620" s="17">
        <f>185852+196842</f>
        <v>382694</v>
      </c>
      <c r="E620" s="10">
        <v>5.4632188E7</v>
      </c>
      <c r="F620" s="19">
        <v>0.7</v>
      </c>
      <c r="G620" s="10">
        <f t="shared" si="1"/>
        <v>382.425316</v>
      </c>
      <c r="H620" s="19">
        <v>0.54</v>
      </c>
      <c r="I620" s="8">
        <f t="shared" si="2"/>
        <v>295.0138152</v>
      </c>
      <c r="J620" s="19">
        <v>0.86</v>
      </c>
      <c r="K620" s="11">
        <f t="shared" si="3"/>
        <v>469.8368168</v>
      </c>
      <c r="L620" s="11">
        <f t="shared" si="13"/>
        <v>99.92979143</v>
      </c>
      <c r="M620" s="11">
        <f t="shared" si="1853"/>
        <v>1129.00017</v>
      </c>
      <c r="N620" s="11">
        <f t="shared" si="1854"/>
        <v>1798.037308</v>
      </c>
      <c r="O620" s="19">
        <v>1.19</v>
      </c>
      <c r="P620" s="19"/>
      <c r="Q620" s="19">
        <v>0.72</v>
      </c>
      <c r="R620" s="19"/>
      <c r="S620" s="19">
        <v>1.79</v>
      </c>
      <c r="T620" s="14"/>
      <c r="U620" s="14">
        <f t="shared" si="1855"/>
        <v>4.5540586</v>
      </c>
      <c r="V620" s="14">
        <f t="shared" si="1856"/>
        <v>2.7553968</v>
      </c>
      <c r="W620" s="14">
        <f t="shared" si="1857"/>
        <v>6.8502226</v>
      </c>
      <c r="X620" s="13"/>
      <c r="Y620" s="13"/>
      <c r="Z620" s="13" t="str">
        <f t="shared" si="1858"/>
        <v>1 (1-1)</v>
      </c>
      <c r="AA620" s="13" t="str">
        <f t="shared" si="1859"/>
        <v>100 (1129-1798)</v>
      </c>
      <c r="AB620" s="13" t="str">
        <f t="shared" si="1860"/>
        <v>1 (1-2)</v>
      </c>
      <c r="AC620" s="13" t="str">
        <f t="shared" si="1861"/>
        <v>5 (3-7)</v>
      </c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</row>
    <row r="621" hidden="1">
      <c r="A621" s="24" t="s">
        <v>29</v>
      </c>
      <c r="B621" s="16" t="s">
        <v>183</v>
      </c>
      <c r="C621" s="23">
        <v>2050.0</v>
      </c>
      <c r="D621" s="17">
        <f>167797+177730</f>
        <v>345527</v>
      </c>
      <c r="E621" s="10">
        <v>5.1069164E7</v>
      </c>
      <c r="F621" s="19">
        <v>0.7</v>
      </c>
      <c r="G621" s="10">
        <f t="shared" si="1"/>
        <v>357.484148</v>
      </c>
      <c r="H621" s="19">
        <v>0.54</v>
      </c>
      <c r="I621" s="8">
        <f t="shared" si="2"/>
        <v>275.7734856</v>
      </c>
      <c r="J621" s="19">
        <v>0.86</v>
      </c>
      <c r="K621" s="11">
        <f t="shared" si="3"/>
        <v>439.1948104</v>
      </c>
      <c r="L621" s="11">
        <f t="shared" si="13"/>
        <v>103.4605539</v>
      </c>
      <c r="M621" s="11">
        <f t="shared" si="1853"/>
        <v>952.8718516</v>
      </c>
      <c r="N621" s="11">
        <f t="shared" si="1854"/>
        <v>1517.536653</v>
      </c>
      <c r="O621" s="19">
        <v>1.19</v>
      </c>
      <c r="P621" s="8">
        <f t="shared" ref="P621:P622" si="1862">(O621/100000)*E621</f>
        <v>607.7230516</v>
      </c>
      <c r="Q621" s="19">
        <v>0.72</v>
      </c>
      <c r="R621" s="8">
        <f t="shared" ref="R621:R622" si="1863">(Q621/100000)*E621</f>
        <v>367.6979808</v>
      </c>
      <c r="S621" s="19">
        <v>1.79</v>
      </c>
      <c r="T621" s="11">
        <f t="shared" ref="T621:T622" si="1864">(S621/100000)*E621</f>
        <v>914.1380356</v>
      </c>
      <c r="U621" s="14">
        <f t="shared" si="1855"/>
        <v>4.1117713</v>
      </c>
      <c r="V621" s="14">
        <f t="shared" si="1856"/>
        <v>2.4877944</v>
      </c>
      <c r="W621" s="14">
        <f t="shared" si="1857"/>
        <v>6.1849333</v>
      </c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</row>
    <row r="622">
      <c r="A622" s="24" t="s">
        <v>23</v>
      </c>
      <c r="B622" s="16" t="s">
        <v>184</v>
      </c>
      <c r="C622" s="20">
        <v>2021.0</v>
      </c>
      <c r="D622" s="17">
        <f>3222.5+3357</f>
        <v>6579.5</v>
      </c>
      <c r="E622" s="18">
        <v>640064.0</v>
      </c>
      <c r="F622" s="19">
        <v>1.43</v>
      </c>
      <c r="G622" s="10">
        <f t="shared" si="1"/>
        <v>9.1529152</v>
      </c>
      <c r="H622" s="19">
        <v>0.99</v>
      </c>
      <c r="I622" s="8">
        <f t="shared" si="2"/>
        <v>6.3366336</v>
      </c>
      <c r="J622" s="19">
        <v>1.93</v>
      </c>
      <c r="K622" s="11">
        <f t="shared" si="3"/>
        <v>12.3532352</v>
      </c>
      <c r="L622" s="11">
        <f t="shared" si="13"/>
        <v>139.1126256</v>
      </c>
      <c r="M622" s="12">
        <f>(I622/D622)*100000</f>
        <v>96.30874079</v>
      </c>
      <c r="N622" s="11">
        <f>(K622/D622)*100000</f>
        <v>187.7534038</v>
      </c>
      <c r="O622" s="19">
        <v>1.89</v>
      </c>
      <c r="P622" s="8">
        <f t="shared" si="1862"/>
        <v>12.0972096</v>
      </c>
      <c r="Q622" s="19">
        <v>1.13</v>
      </c>
      <c r="R622" s="8">
        <f t="shared" si="1863"/>
        <v>7.2327232</v>
      </c>
      <c r="S622" s="19">
        <v>2.92</v>
      </c>
      <c r="T622" s="11">
        <f t="shared" si="1864"/>
        <v>18.6898688</v>
      </c>
      <c r="U622" s="11">
        <f>(P622/D622)*100000</f>
        <v>183.8621415</v>
      </c>
      <c r="V622" s="11">
        <f>(R622/D622)*100000</f>
        <v>109.9281587</v>
      </c>
      <c r="W622" s="11">
        <f>(T622/D622)*100000</f>
        <v>284.0621445</v>
      </c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 hidden="1">
      <c r="A623" s="24" t="s">
        <v>25</v>
      </c>
      <c r="B623" s="16" t="s">
        <v>184</v>
      </c>
      <c r="C623" s="23">
        <v>2030.0</v>
      </c>
      <c r="D623" s="17">
        <f>3346+3530</f>
        <v>6876</v>
      </c>
      <c r="E623" s="10">
        <v>716930.0</v>
      </c>
      <c r="F623" s="19">
        <v>1.43</v>
      </c>
      <c r="G623" s="10">
        <f t="shared" si="1"/>
        <v>10.252099</v>
      </c>
      <c r="H623" s="19">
        <v>0.99</v>
      </c>
      <c r="I623" s="8">
        <f t="shared" si="2"/>
        <v>7.097607</v>
      </c>
      <c r="J623" s="19">
        <v>1.93</v>
      </c>
      <c r="K623" s="11">
        <f t="shared" si="3"/>
        <v>13.836749</v>
      </c>
      <c r="L623" s="11">
        <f t="shared" si="13"/>
        <v>149.0997528</v>
      </c>
      <c r="M623" s="11">
        <f t="shared" ref="M623:M625" si="1865">(I623*D623)/100000</f>
        <v>0.4880314573</v>
      </c>
      <c r="N623" s="11">
        <f t="shared" ref="N623:N625" si="1866">(K623*D623)/100000</f>
        <v>0.9514148612</v>
      </c>
      <c r="O623" s="19">
        <v>1.89</v>
      </c>
      <c r="P623" s="19"/>
      <c r="Q623" s="19">
        <v>1.13</v>
      </c>
      <c r="R623" s="19"/>
      <c r="S623" s="19">
        <v>2.92</v>
      </c>
      <c r="T623" s="14"/>
      <c r="U623" s="14">
        <f t="shared" ref="U623:U625" si="1867">(O623*D623)/100000</f>
        <v>0.1299564</v>
      </c>
      <c r="V623" s="14">
        <f t="shared" ref="V623:V625" si="1868">(Q623*D623)/100000</f>
        <v>0.0776988</v>
      </c>
      <c r="W623" s="14">
        <f t="shared" ref="W623:W625" si="1869">(S623*D623)/100000</f>
        <v>0.2007792</v>
      </c>
      <c r="X623" s="13"/>
      <c r="Y623" s="13"/>
      <c r="Z623" s="13" t="str">
        <f t="shared" ref="Z623:Z624" si="1870">ROUND(F623, 0) &amp; " (" &amp; ROUND(H623, 0) &amp; "-" &amp; ROUND(J623, 0) &amp; ")"</f>
        <v>1 (1-2)</v>
      </c>
      <c r="AA623" s="13" t="str">
        <f t="shared" ref="AA623:AA624" si="1871">ROUND(L623, 0) &amp; " (" &amp; ROUND(M623, 0) &amp; "-" &amp; ROUND(N623, 0) &amp; ")"</f>
        <v>149 (0-1)</v>
      </c>
      <c r="AB623" s="13" t="str">
        <f t="shared" ref="AB623:AB624" si="1872">ROUND(O623, 0) &amp; " (" &amp; ROUND(Q623, 0) &amp; "-" &amp; ROUND(S623, 0) &amp; ")"</f>
        <v>2 (1-3)</v>
      </c>
      <c r="AC623" s="13" t="str">
        <f t="shared" ref="AC623:AC624" si="1873">ROUND(U623, 0) &amp; " (" &amp; ROUND(V623, 0) &amp; "-" &amp; ROUND(W623, 0) &amp; ")"</f>
        <v>0 (0-0)</v>
      </c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 hidden="1">
      <c r="A624" s="24" t="s">
        <v>27</v>
      </c>
      <c r="B624" s="16" t="s">
        <v>184</v>
      </c>
      <c r="C624" s="23">
        <v>2040.0</v>
      </c>
      <c r="D624" s="17">
        <f>3213+3394</f>
        <v>6607</v>
      </c>
      <c r="E624" s="10">
        <v>763465.0</v>
      </c>
      <c r="F624" s="19">
        <v>1.43</v>
      </c>
      <c r="G624" s="10">
        <f t="shared" si="1"/>
        <v>10.9175495</v>
      </c>
      <c r="H624" s="19">
        <v>0.99</v>
      </c>
      <c r="I624" s="8">
        <f t="shared" si="2"/>
        <v>7.5583035</v>
      </c>
      <c r="J624" s="19">
        <v>1.93</v>
      </c>
      <c r="K624" s="11">
        <f t="shared" si="3"/>
        <v>14.7348745</v>
      </c>
      <c r="L624" s="11">
        <f t="shared" si="13"/>
        <v>165.2421598</v>
      </c>
      <c r="M624" s="11">
        <f t="shared" si="1865"/>
        <v>0.4993771122</v>
      </c>
      <c r="N624" s="11">
        <f t="shared" si="1866"/>
        <v>0.9735331582</v>
      </c>
      <c r="O624" s="19">
        <v>1.89</v>
      </c>
      <c r="P624" s="19"/>
      <c r="Q624" s="19">
        <v>1.13</v>
      </c>
      <c r="R624" s="19"/>
      <c r="S624" s="19">
        <v>2.92</v>
      </c>
      <c r="T624" s="14"/>
      <c r="U624" s="14">
        <f t="shared" si="1867"/>
        <v>0.1248723</v>
      </c>
      <c r="V624" s="14">
        <f t="shared" si="1868"/>
        <v>0.0746591</v>
      </c>
      <c r="W624" s="14">
        <f t="shared" si="1869"/>
        <v>0.1929244</v>
      </c>
      <c r="X624" s="13"/>
      <c r="Y624" s="13"/>
      <c r="Z624" s="13" t="str">
        <f t="shared" si="1870"/>
        <v>1 (1-2)</v>
      </c>
      <c r="AA624" s="13" t="str">
        <f t="shared" si="1871"/>
        <v>165 (0-1)</v>
      </c>
      <c r="AB624" s="13" t="str">
        <f t="shared" si="1872"/>
        <v>2 (1-3)</v>
      </c>
      <c r="AC624" s="13" t="str">
        <f t="shared" si="1873"/>
        <v>0 (0-0)</v>
      </c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 hidden="1">
      <c r="A625" s="24" t="s">
        <v>29</v>
      </c>
      <c r="B625" s="16" t="s">
        <v>184</v>
      </c>
      <c r="C625" s="23">
        <v>2050.0</v>
      </c>
      <c r="D625" s="17">
        <f>3378+3571</f>
        <v>6949</v>
      </c>
      <c r="E625" s="10">
        <v>788324.0</v>
      </c>
      <c r="F625" s="19">
        <v>1.43</v>
      </c>
      <c r="G625" s="10">
        <f t="shared" si="1"/>
        <v>11.2730332</v>
      </c>
      <c r="H625" s="19">
        <v>0.99</v>
      </c>
      <c r="I625" s="8">
        <f t="shared" si="2"/>
        <v>7.8044076</v>
      </c>
      <c r="J625" s="19">
        <v>1.93</v>
      </c>
      <c r="K625" s="11">
        <f t="shared" si="3"/>
        <v>15.2146532</v>
      </c>
      <c r="L625" s="11">
        <f t="shared" si="13"/>
        <v>162.2252583</v>
      </c>
      <c r="M625" s="11">
        <f t="shared" si="1865"/>
        <v>0.5423282841</v>
      </c>
      <c r="N625" s="11">
        <f t="shared" si="1866"/>
        <v>1.057266251</v>
      </c>
      <c r="O625" s="19">
        <v>1.89</v>
      </c>
      <c r="P625" s="8">
        <f t="shared" ref="P625:P626" si="1874">(O625/100000)*E625</f>
        <v>14.8993236</v>
      </c>
      <c r="Q625" s="19">
        <v>1.13</v>
      </c>
      <c r="R625" s="8">
        <f t="shared" ref="R625:R626" si="1875">(Q625/100000)*E625</f>
        <v>8.9080612</v>
      </c>
      <c r="S625" s="19">
        <v>2.92</v>
      </c>
      <c r="T625" s="11">
        <f t="shared" ref="T625:T626" si="1876">(S625/100000)*E625</f>
        <v>23.0190608</v>
      </c>
      <c r="U625" s="14">
        <f t="shared" si="1867"/>
        <v>0.1313361</v>
      </c>
      <c r="V625" s="14">
        <f t="shared" si="1868"/>
        <v>0.0785237</v>
      </c>
      <c r="W625" s="14">
        <f t="shared" si="1869"/>
        <v>0.2029108</v>
      </c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>
      <c r="A626" s="24" t="s">
        <v>23</v>
      </c>
      <c r="B626" s="16" t="s">
        <v>185</v>
      </c>
      <c r="C626" s="20">
        <v>2021.0</v>
      </c>
      <c r="D626" s="17">
        <f>2134.5+2287</f>
        <v>4421.5</v>
      </c>
      <c r="E626" s="18">
        <v>518150.0</v>
      </c>
      <c r="F626" s="19">
        <v>1.27</v>
      </c>
      <c r="G626" s="10">
        <f t="shared" si="1"/>
        <v>6.580505</v>
      </c>
      <c r="H626" s="19">
        <v>0.92</v>
      </c>
      <c r="I626" s="8">
        <f t="shared" si="2"/>
        <v>4.76698</v>
      </c>
      <c r="J626" s="19">
        <v>1.66</v>
      </c>
      <c r="K626" s="11">
        <f t="shared" si="3"/>
        <v>8.60129</v>
      </c>
      <c r="L626" s="11">
        <f t="shared" si="13"/>
        <v>148.8296958</v>
      </c>
      <c r="M626" s="12">
        <f>(I626/D626)*100000</f>
        <v>107.8136379</v>
      </c>
      <c r="N626" s="11">
        <f>(K626/D626)*100000</f>
        <v>194.5333032</v>
      </c>
      <c r="O626" s="19">
        <v>1.71</v>
      </c>
      <c r="P626" s="8">
        <f t="shared" si="1874"/>
        <v>8.860365</v>
      </c>
      <c r="Q626" s="19">
        <v>1.04</v>
      </c>
      <c r="R626" s="8">
        <f t="shared" si="1875"/>
        <v>5.38876</v>
      </c>
      <c r="S626" s="19">
        <v>2.65</v>
      </c>
      <c r="T626" s="11">
        <f t="shared" si="1876"/>
        <v>13.730975</v>
      </c>
      <c r="U626" s="11">
        <f>(P626/D626)*100000</f>
        <v>200.39274</v>
      </c>
      <c r="V626" s="11">
        <f>(R626/D626)*100000</f>
        <v>121.8762863</v>
      </c>
      <c r="W626" s="11">
        <f>(T626/D626)*100000</f>
        <v>310.5501527</v>
      </c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 hidden="1">
      <c r="A627" s="24" t="s">
        <v>25</v>
      </c>
      <c r="B627" s="16" t="s">
        <v>185</v>
      </c>
      <c r="C627" s="23">
        <v>2030.0</v>
      </c>
      <c r="D627" s="17">
        <f>1911+2045</f>
        <v>3956</v>
      </c>
      <c r="E627" s="10">
        <v>584918.0</v>
      </c>
      <c r="F627" s="19">
        <v>1.27</v>
      </c>
      <c r="G627" s="10">
        <f t="shared" si="1"/>
        <v>7.4284586</v>
      </c>
      <c r="H627" s="19">
        <v>0.92</v>
      </c>
      <c r="I627" s="8">
        <f t="shared" si="2"/>
        <v>5.3812456</v>
      </c>
      <c r="J627" s="19">
        <v>1.66</v>
      </c>
      <c r="K627" s="11">
        <f t="shared" si="3"/>
        <v>9.7096388</v>
      </c>
      <c r="L627" s="11">
        <f t="shared" si="13"/>
        <v>187.7770121</v>
      </c>
      <c r="M627" s="11">
        <f t="shared" ref="M627:M629" si="1877">(I627*D627)/100000</f>
        <v>0.2128820759</v>
      </c>
      <c r="N627" s="11">
        <f t="shared" ref="N627:N629" si="1878">(K627*D627)/100000</f>
        <v>0.3841133109</v>
      </c>
      <c r="O627" s="19">
        <v>1.71</v>
      </c>
      <c r="P627" s="19"/>
      <c r="Q627" s="19">
        <v>1.04</v>
      </c>
      <c r="R627" s="19"/>
      <c r="S627" s="19">
        <v>2.65</v>
      </c>
      <c r="T627" s="14"/>
      <c r="U627" s="14">
        <f t="shared" ref="U627:U629" si="1879">(O627*D627)/100000</f>
        <v>0.0676476</v>
      </c>
      <c r="V627" s="14">
        <f t="shared" ref="V627:V629" si="1880">(Q627*D627)/100000</f>
        <v>0.0411424</v>
      </c>
      <c r="W627" s="14">
        <f t="shared" ref="W627:W629" si="1881">(S627*D627)/100000</f>
        <v>0.104834</v>
      </c>
      <c r="X627" s="13"/>
      <c r="Y627" s="13"/>
      <c r="Z627" s="13" t="str">
        <f t="shared" ref="Z627:Z628" si="1882">ROUND(F627, 0) &amp; " (" &amp; ROUND(H627, 0) &amp; "-" &amp; ROUND(J627, 0) &amp; ")"</f>
        <v>1 (1-2)</v>
      </c>
      <c r="AA627" s="13" t="str">
        <f t="shared" ref="AA627:AA628" si="1883">ROUND(L627, 0) &amp; " (" &amp; ROUND(M627, 0) &amp; "-" &amp; ROUND(N627, 0) &amp; ")"</f>
        <v>188 (0-0)</v>
      </c>
      <c r="AB627" s="13" t="str">
        <f t="shared" ref="AB627:AB628" si="1884">ROUND(O627, 0) &amp; " (" &amp; ROUND(Q627, 0) &amp; "-" &amp; ROUND(S627, 0) &amp; ")"</f>
        <v>2 (1-3)</v>
      </c>
      <c r="AC627" s="13" t="str">
        <f t="shared" ref="AC627:AC628" si="1885">ROUND(U627, 0) &amp; " (" &amp; ROUND(V627, 0) &amp; "-" &amp; ROUND(W627, 0) &amp; ")"</f>
        <v>0 (0-0)</v>
      </c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 hidden="1">
      <c r="A628" s="24" t="s">
        <v>27</v>
      </c>
      <c r="B628" s="16" t="s">
        <v>185</v>
      </c>
      <c r="C628" s="23">
        <v>2040.0</v>
      </c>
      <c r="D628" s="17">
        <f>1600+1712</f>
        <v>3312</v>
      </c>
      <c r="E628" s="10">
        <v>577748.0</v>
      </c>
      <c r="F628" s="19">
        <v>1.27</v>
      </c>
      <c r="G628" s="10">
        <f t="shared" si="1"/>
        <v>7.3373996</v>
      </c>
      <c r="H628" s="19">
        <v>0.92</v>
      </c>
      <c r="I628" s="8">
        <f t="shared" si="2"/>
        <v>5.3152816</v>
      </c>
      <c r="J628" s="19">
        <v>1.66</v>
      </c>
      <c r="K628" s="11">
        <f t="shared" si="3"/>
        <v>9.5906168</v>
      </c>
      <c r="L628" s="11">
        <f t="shared" si="13"/>
        <v>221.539843</v>
      </c>
      <c r="M628" s="11">
        <f t="shared" si="1877"/>
        <v>0.1760421266</v>
      </c>
      <c r="N628" s="11">
        <f t="shared" si="1878"/>
        <v>0.3176412284</v>
      </c>
      <c r="O628" s="19">
        <v>1.71</v>
      </c>
      <c r="P628" s="19"/>
      <c r="Q628" s="19">
        <v>1.04</v>
      </c>
      <c r="R628" s="19"/>
      <c r="S628" s="19">
        <v>2.65</v>
      </c>
      <c r="T628" s="14"/>
      <c r="U628" s="14">
        <f t="shared" si="1879"/>
        <v>0.0566352</v>
      </c>
      <c r="V628" s="14">
        <f t="shared" si="1880"/>
        <v>0.0344448</v>
      </c>
      <c r="W628" s="14">
        <f t="shared" si="1881"/>
        <v>0.087768</v>
      </c>
      <c r="X628" s="13"/>
      <c r="Y628" s="13"/>
      <c r="Z628" s="13" t="str">
        <f t="shared" si="1882"/>
        <v>1 (1-2)</v>
      </c>
      <c r="AA628" s="13" t="str">
        <f t="shared" si="1883"/>
        <v>222 (0-0)</v>
      </c>
      <c r="AB628" s="13" t="str">
        <f t="shared" si="1884"/>
        <v>2 (1-3)</v>
      </c>
      <c r="AC628" s="13" t="str">
        <f t="shared" si="1885"/>
        <v>0 (0-0)</v>
      </c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 hidden="1">
      <c r="A629" s="24" t="s">
        <v>29</v>
      </c>
      <c r="B629" s="16" t="s">
        <v>185</v>
      </c>
      <c r="C629" s="23">
        <v>2050.0</v>
      </c>
      <c r="D629" s="17">
        <f>1630+1744</f>
        <v>3374</v>
      </c>
      <c r="E629" s="10">
        <v>560476.0</v>
      </c>
      <c r="F629" s="19">
        <v>1.27</v>
      </c>
      <c r="G629" s="10">
        <f t="shared" si="1"/>
        <v>7.1180452</v>
      </c>
      <c r="H629" s="19">
        <v>0.92</v>
      </c>
      <c r="I629" s="8">
        <f t="shared" si="2"/>
        <v>5.1563792</v>
      </c>
      <c r="J629" s="19">
        <v>1.66</v>
      </c>
      <c r="K629" s="11">
        <f t="shared" si="3"/>
        <v>9.3039016</v>
      </c>
      <c r="L629" s="11">
        <f t="shared" si="13"/>
        <v>210.9675519</v>
      </c>
      <c r="M629" s="11">
        <f t="shared" si="1877"/>
        <v>0.1739762342</v>
      </c>
      <c r="N629" s="11">
        <f t="shared" si="1878"/>
        <v>0.31391364</v>
      </c>
      <c r="O629" s="19">
        <v>1.71</v>
      </c>
      <c r="P629" s="8">
        <f t="shared" ref="P629:P630" si="1886">(O629/100000)*E629</f>
        <v>9.5841396</v>
      </c>
      <c r="Q629" s="19">
        <v>1.04</v>
      </c>
      <c r="R629" s="8">
        <f t="shared" ref="R629:R630" si="1887">(Q629/100000)*E629</f>
        <v>5.8289504</v>
      </c>
      <c r="S629" s="19">
        <v>2.65</v>
      </c>
      <c r="T629" s="11">
        <f t="shared" ref="T629:T630" si="1888">(S629/100000)*E629</f>
        <v>14.852614</v>
      </c>
      <c r="U629" s="14">
        <f t="shared" si="1879"/>
        <v>0.0576954</v>
      </c>
      <c r="V629" s="14">
        <f t="shared" si="1880"/>
        <v>0.0350896</v>
      </c>
      <c r="W629" s="14">
        <f t="shared" si="1881"/>
        <v>0.089411</v>
      </c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>
      <c r="A630" s="24" t="s">
        <v>23</v>
      </c>
      <c r="B630" s="16" t="s">
        <v>186</v>
      </c>
      <c r="C630" s="20">
        <v>2021.0</v>
      </c>
      <c r="D630" s="17">
        <f>171.5+180</f>
        <v>351.5</v>
      </c>
      <c r="E630" s="18">
        <v>38527.0</v>
      </c>
      <c r="F630" s="19">
        <v>0.99</v>
      </c>
      <c r="G630" s="21">
        <f t="shared" si="1"/>
        <v>0.3814173</v>
      </c>
      <c r="H630" s="19">
        <v>0.59</v>
      </c>
      <c r="I630" s="8">
        <f t="shared" si="2"/>
        <v>0.2273093</v>
      </c>
      <c r="J630" s="19">
        <v>1.21</v>
      </c>
      <c r="K630" s="11">
        <f t="shared" si="3"/>
        <v>0.4661767</v>
      </c>
      <c r="L630" s="11">
        <f t="shared" si="13"/>
        <v>108.5113229</v>
      </c>
      <c r="M630" s="12">
        <f>(I630/D630)*100000</f>
        <v>64.66836415</v>
      </c>
      <c r="N630" s="11">
        <f>(K630/D630)*100000</f>
        <v>132.6249502</v>
      </c>
      <c r="O630" s="19">
        <v>1.55</v>
      </c>
      <c r="P630" s="8">
        <f t="shared" si="1886"/>
        <v>0.5971685</v>
      </c>
      <c r="Q630" s="19">
        <v>0.93</v>
      </c>
      <c r="R630" s="8">
        <f t="shared" si="1887"/>
        <v>0.3583011</v>
      </c>
      <c r="S630" s="19">
        <v>2.42</v>
      </c>
      <c r="T630" s="11">
        <f t="shared" si="1888"/>
        <v>0.9323534</v>
      </c>
      <c r="U630" s="11">
        <f>(P630/D630)*100000</f>
        <v>169.8914651</v>
      </c>
      <c r="V630" s="11">
        <f>(R630/D630)*100000</f>
        <v>101.9348791</v>
      </c>
      <c r="W630" s="11">
        <f>(T630/D630)*100000</f>
        <v>265.2499004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 hidden="1">
      <c r="A631" s="24" t="s">
        <v>25</v>
      </c>
      <c r="B631" s="16" t="s">
        <v>186</v>
      </c>
      <c r="C631" s="23">
        <v>2030.0</v>
      </c>
      <c r="D631" s="17">
        <f>183+191</f>
        <v>374</v>
      </c>
      <c r="E631" s="10">
        <v>37366.0</v>
      </c>
      <c r="F631" s="19">
        <v>0.99</v>
      </c>
      <c r="G631" s="21">
        <f t="shared" si="1"/>
        <v>0.3699234</v>
      </c>
      <c r="H631" s="19">
        <v>0.59</v>
      </c>
      <c r="I631" s="8">
        <f t="shared" si="2"/>
        <v>0.2204594</v>
      </c>
      <c r="J631" s="19">
        <v>1.21</v>
      </c>
      <c r="K631" s="11">
        <f t="shared" si="3"/>
        <v>0.4521286</v>
      </c>
      <c r="L631" s="11">
        <f t="shared" si="13"/>
        <v>98.91</v>
      </c>
      <c r="M631" s="11">
        <f t="shared" ref="M631:M633" si="1889">(I631*D631)/100000</f>
        <v>0.000824518156</v>
      </c>
      <c r="N631" s="11">
        <f t="shared" ref="N631:N633" si="1890">(K631*D631)/100000</f>
        <v>0.001690960964</v>
      </c>
      <c r="O631" s="19">
        <v>1.55</v>
      </c>
      <c r="P631" s="19"/>
      <c r="Q631" s="19">
        <v>0.93</v>
      </c>
      <c r="R631" s="19"/>
      <c r="S631" s="19">
        <v>2.42</v>
      </c>
      <c r="T631" s="14"/>
      <c r="U631" s="14">
        <f t="shared" ref="U631:U633" si="1891">(O631*D631)/100000</f>
        <v>0.005797</v>
      </c>
      <c r="V631" s="14">
        <f t="shared" ref="V631:V633" si="1892">(Q631*D631)/100000</f>
        <v>0.0034782</v>
      </c>
      <c r="W631" s="14">
        <f t="shared" ref="W631:W633" si="1893">(S631*D631)/100000</f>
        <v>0.0090508</v>
      </c>
      <c r="X631" s="13"/>
      <c r="Y631" s="13"/>
      <c r="Z631" s="13" t="str">
        <f t="shared" ref="Z631:Z632" si="1894">ROUND(F631, 0) &amp; " (" &amp; ROUND(H631, 0) &amp; "-" &amp; ROUND(J631, 0) &amp; ")"</f>
        <v>1 (1-1)</v>
      </c>
      <c r="AA631" s="13" t="str">
        <f t="shared" ref="AA631:AA632" si="1895">ROUND(L631, 0) &amp; " (" &amp; ROUND(M631, 0) &amp; "-" &amp; ROUND(N631, 0) &amp; ")"</f>
        <v>99 (0-0)</v>
      </c>
      <c r="AB631" s="13" t="str">
        <f t="shared" ref="AB631:AB632" si="1896">ROUND(O631, 0) &amp; " (" &amp; ROUND(Q631, 0) &amp; "-" &amp; ROUND(S631, 0) &amp; ")"</f>
        <v>2 (1-2)</v>
      </c>
      <c r="AC631" s="13" t="str">
        <f t="shared" ref="AC631:AC632" si="1897">ROUND(U631, 0) &amp; " (" &amp; ROUND(V631, 0) &amp; "-" &amp; ROUND(W631, 0) &amp; ")"</f>
        <v>0 (0-0)</v>
      </c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 hidden="1">
      <c r="A632" s="24" t="s">
        <v>27</v>
      </c>
      <c r="B632" s="16" t="s">
        <v>186</v>
      </c>
      <c r="C632" s="23">
        <v>2040.0</v>
      </c>
      <c r="D632" s="17">
        <f>188+197</f>
        <v>385</v>
      </c>
      <c r="E632" s="10">
        <v>36627.0</v>
      </c>
      <c r="F632" s="19">
        <v>0.99</v>
      </c>
      <c r="G632" s="21">
        <f t="shared" si="1"/>
        <v>0.3626073</v>
      </c>
      <c r="H632" s="19">
        <v>0.59</v>
      </c>
      <c r="I632" s="8">
        <f t="shared" si="2"/>
        <v>0.2160993</v>
      </c>
      <c r="J632" s="19">
        <v>1.21</v>
      </c>
      <c r="K632" s="11">
        <f t="shared" si="3"/>
        <v>0.4431867</v>
      </c>
      <c r="L632" s="11">
        <f t="shared" si="13"/>
        <v>94.18371429</v>
      </c>
      <c r="M632" s="11">
        <f t="shared" si="1889"/>
        <v>0.000831982305</v>
      </c>
      <c r="N632" s="11">
        <f t="shared" si="1890"/>
        <v>0.001706268795</v>
      </c>
      <c r="O632" s="19">
        <v>1.55</v>
      </c>
      <c r="P632" s="19"/>
      <c r="Q632" s="19">
        <v>0.93</v>
      </c>
      <c r="R632" s="19"/>
      <c r="S632" s="19">
        <v>2.42</v>
      </c>
      <c r="T632" s="14"/>
      <c r="U632" s="14">
        <f t="shared" si="1891"/>
        <v>0.0059675</v>
      </c>
      <c r="V632" s="14">
        <f t="shared" si="1892"/>
        <v>0.0035805</v>
      </c>
      <c r="W632" s="14">
        <f t="shared" si="1893"/>
        <v>0.009317</v>
      </c>
      <c r="X632" s="13"/>
      <c r="Y632" s="13"/>
      <c r="Z632" s="13" t="str">
        <f t="shared" si="1894"/>
        <v>1 (1-1)</v>
      </c>
      <c r="AA632" s="13" t="str">
        <f t="shared" si="1895"/>
        <v>94 (0-0)</v>
      </c>
      <c r="AB632" s="13" t="str">
        <f t="shared" si="1896"/>
        <v>2 (1-2)</v>
      </c>
      <c r="AC632" s="13" t="str">
        <f t="shared" si="1897"/>
        <v>0 (0-0)</v>
      </c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</row>
    <row r="633" hidden="1">
      <c r="A633" s="24" t="s">
        <v>29</v>
      </c>
      <c r="B633" s="16" t="s">
        <v>186</v>
      </c>
      <c r="C633" s="23">
        <v>2050.0</v>
      </c>
      <c r="D633" s="17">
        <f>207+217</f>
        <v>424</v>
      </c>
      <c r="E633" s="10">
        <v>36757.0</v>
      </c>
      <c r="F633" s="19">
        <v>0.99</v>
      </c>
      <c r="G633" s="21">
        <f t="shared" si="1"/>
        <v>0.3638943</v>
      </c>
      <c r="H633" s="19">
        <v>0.59</v>
      </c>
      <c r="I633" s="8">
        <f t="shared" si="2"/>
        <v>0.2168663</v>
      </c>
      <c r="J633" s="19">
        <v>1.21</v>
      </c>
      <c r="K633" s="11">
        <f t="shared" si="3"/>
        <v>0.4447597</v>
      </c>
      <c r="L633" s="11">
        <f t="shared" si="13"/>
        <v>85.82412736</v>
      </c>
      <c r="M633" s="11">
        <f t="shared" si="1889"/>
        <v>0.000919513112</v>
      </c>
      <c r="N633" s="11">
        <f t="shared" si="1890"/>
        <v>0.001885781128</v>
      </c>
      <c r="O633" s="19">
        <v>1.55</v>
      </c>
      <c r="P633" s="8">
        <f t="shared" ref="P633:P634" si="1898">(O633/100000)*E633</f>
        <v>0.5697335</v>
      </c>
      <c r="Q633" s="19">
        <v>0.93</v>
      </c>
      <c r="R633" s="8">
        <f t="shared" ref="R633:R634" si="1899">(Q633/100000)*E633</f>
        <v>0.3418401</v>
      </c>
      <c r="S633" s="19">
        <v>2.42</v>
      </c>
      <c r="T633" s="11">
        <f t="shared" ref="T633:T634" si="1900">(S633/100000)*E633</f>
        <v>0.8895194</v>
      </c>
      <c r="U633" s="14">
        <f t="shared" si="1891"/>
        <v>0.006572</v>
      </c>
      <c r="V633" s="14">
        <f t="shared" si="1892"/>
        <v>0.0039432</v>
      </c>
      <c r="W633" s="14">
        <f t="shared" si="1893"/>
        <v>0.0102608</v>
      </c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>
      <c r="A634" s="24" t="s">
        <v>23</v>
      </c>
      <c r="B634" s="16" t="s">
        <v>187</v>
      </c>
      <c r="C634" s="20">
        <v>2021.0</v>
      </c>
      <c r="D634" s="17">
        <f>86561+90861</f>
        <v>177422</v>
      </c>
      <c r="E634" s="18">
        <v>1.7533044E7</v>
      </c>
      <c r="F634" s="19">
        <v>1.34</v>
      </c>
      <c r="G634" s="10">
        <f t="shared" si="1"/>
        <v>234.9427896</v>
      </c>
      <c r="H634" s="19">
        <v>0.94</v>
      </c>
      <c r="I634" s="8">
        <f t="shared" si="2"/>
        <v>164.8106136</v>
      </c>
      <c r="J634" s="19">
        <v>1.74</v>
      </c>
      <c r="K634" s="11">
        <f t="shared" si="3"/>
        <v>305.0749656</v>
      </c>
      <c r="L634" s="11">
        <f t="shared" si="13"/>
        <v>132.4203253</v>
      </c>
      <c r="M634" s="12">
        <f>(I634/D634)*100000</f>
        <v>92.89187</v>
      </c>
      <c r="N634" s="11">
        <f>(K634/D634)*100000</f>
        <v>171.9487806</v>
      </c>
      <c r="O634" s="19">
        <v>1.71</v>
      </c>
      <c r="P634" s="8">
        <f t="shared" si="1898"/>
        <v>299.8150524</v>
      </c>
      <c r="Q634" s="19">
        <v>1.05</v>
      </c>
      <c r="R634" s="8">
        <f t="shared" si="1899"/>
        <v>184.096962</v>
      </c>
      <c r="S634" s="19">
        <v>2.6</v>
      </c>
      <c r="T634" s="11">
        <f t="shared" si="1900"/>
        <v>455.859144</v>
      </c>
      <c r="U634" s="11">
        <f>(P634/D634)*100000</f>
        <v>168.9841465</v>
      </c>
      <c r="V634" s="11">
        <f>(R634/D634)*100000</f>
        <v>103.7621952</v>
      </c>
      <c r="W634" s="11">
        <f>(T634/D634)*100000</f>
        <v>256.9349596</v>
      </c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</row>
    <row r="635" hidden="1">
      <c r="A635" s="24" t="s">
        <v>25</v>
      </c>
      <c r="B635" s="16" t="s">
        <v>187</v>
      </c>
      <c r="C635" s="23">
        <v>2030.0</v>
      </c>
      <c r="D635" s="17">
        <f>88424+93157</f>
        <v>181581</v>
      </c>
      <c r="E635" s="10">
        <v>1.8432906E7</v>
      </c>
      <c r="F635" s="19">
        <v>1.34</v>
      </c>
      <c r="G635" s="10">
        <f t="shared" si="1"/>
        <v>247.0009404</v>
      </c>
      <c r="H635" s="19">
        <v>0.94</v>
      </c>
      <c r="I635" s="8">
        <f t="shared" si="2"/>
        <v>173.2693164</v>
      </c>
      <c r="J635" s="19">
        <v>1.74</v>
      </c>
      <c r="K635" s="11">
        <f t="shared" si="3"/>
        <v>320.7325644</v>
      </c>
      <c r="L635" s="11">
        <f t="shared" si="13"/>
        <v>136.0279657</v>
      </c>
      <c r="M635" s="11">
        <f t="shared" ref="M635:M637" si="1901">(I635*D635)/100000</f>
        <v>314.6241574</v>
      </c>
      <c r="N635" s="11">
        <f t="shared" ref="N635:N637" si="1902">(K635*D635)/100000</f>
        <v>582.3893978</v>
      </c>
      <c r="O635" s="19">
        <v>1.71</v>
      </c>
      <c r="P635" s="19"/>
      <c r="Q635" s="19">
        <v>1.05</v>
      </c>
      <c r="R635" s="19"/>
      <c r="S635" s="19">
        <v>2.6</v>
      </c>
      <c r="T635" s="14"/>
      <c r="U635" s="14">
        <f t="shared" ref="U635:U637" si="1903">(O635*D635)/100000</f>
        <v>3.1050351</v>
      </c>
      <c r="V635" s="14">
        <f t="shared" ref="V635:V637" si="1904">(Q635*D635)/100000</f>
        <v>1.9066005</v>
      </c>
      <c r="W635" s="14">
        <f t="shared" ref="W635:W637" si="1905">(S635*D635)/100000</f>
        <v>4.721106</v>
      </c>
      <c r="X635" s="13"/>
      <c r="Y635" s="13"/>
      <c r="Z635" s="13" t="str">
        <f t="shared" ref="Z635:Z636" si="1906">ROUND(F635, 0) &amp; " (" &amp; ROUND(H635, 0) &amp; "-" &amp; ROUND(J635, 0) &amp; ")"</f>
        <v>1 (1-2)</v>
      </c>
      <c r="AA635" s="13" t="str">
        <f t="shared" ref="AA635:AA636" si="1907">ROUND(L635, 0) &amp; " (" &amp; ROUND(M635, 0) &amp; "-" &amp; ROUND(N635, 0) &amp; ")"</f>
        <v>136 (315-582)</v>
      </c>
      <c r="AB635" s="13" t="str">
        <f t="shared" ref="AB635:AB636" si="1908">ROUND(O635, 0) &amp; " (" &amp; ROUND(Q635, 0) &amp; "-" &amp; ROUND(S635, 0) &amp; ")"</f>
        <v>2 (1-3)</v>
      </c>
      <c r="AC635" s="13" t="str">
        <f t="shared" ref="AC635:AC636" si="1909">ROUND(U635, 0) &amp; " (" &amp; ROUND(V635, 0) &amp; "-" &amp; ROUND(W635, 0) &amp; ")"</f>
        <v>3 (2-5)</v>
      </c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 hidden="1">
      <c r="A636" s="24" t="s">
        <v>27</v>
      </c>
      <c r="B636" s="16" t="s">
        <v>187</v>
      </c>
      <c r="C636" s="23">
        <v>2040.0</v>
      </c>
      <c r="D636" s="17">
        <f>84570+89205</f>
        <v>173775</v>
      </c>
      <c r="E636" s="10">
        <v>1.8680096E7</v>
      </c>
      <c r="F636" s="19">
        <v>1.34</v>
      </c>
      <c r="G636" s="10">
        <f t="shared" si="1"/>
        <v>250.3132864</v>
      </c>
      <c r="H636" s="19">
        <v>0.94</v>
      </c>
      <c r="I636" s="8">
        <f t="shared" si="2"/>
        <v>175.5929024</v>
      </c>
      <c r="J636" s="19">
        <v>1.74</v>
      </c>
      <c r="K636" s="11">
        <f t="shared" si="3"/>
        <v>325.0336704</v>
      </c>
      <c r="L636" s="11">
        <f t="shared" si="13"/>
        <v>144.044475</v>
      </c>
      <c r="M636" s="11">
        <f t="shared" si="1901"/>
        <v>305.1365661</v>
      </c>
      <c r="N636" s="11">
        <f t="shared" si="1902"/>
        <v>564.8272607</v>
      </c>
      <c r="O636" s="19">
        <v>1.71</v>
      </c>
      <c r="P636" s="19"/>
      <c r="Q636" s="19">
        <v>1.05</v>
      </c>
      <c r="R636" s="19"/>
      <c r="S636" s="19">
        <v>2.6</v>
      </c>
      <c r="T636" s="14"/>
      <c r="U636" s="14">
        <f t="shared" si="1903"/>
        <v>2.9715525</v>
      </c>
      <c r="V636" s="14">
        <f t="shared" si="1904"/>
        <v>1.8246375</v>
      </c>
      <c r="W636" s="14">
        <f t="shared" si="1905"/>
        <v>4.51815</v>
      </c>
      <c r="X636" s="13"/>
      <c r="Y636" s="13"/>
      <c r="Z636" s="13" t="str">
        <f t="shared" si="1906"/>
        <v>1 (1-2)</v>
      </c>
      <c r="AA636" s="13" t="str">
        <f t="shared" si="1907"/>
        <v>144 (305-565)</v>
      </c>
      <c r="AB636" s="13" t="str">
        <f t="shared" si="1908"/>
        <v>2 (1-3)</v>
      </c>
      <c r="AC636" s="13" t="str">
        <f t="shared" si="1909"/>
        <v>3 (2-5)</v>
      </c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 hidden="1">
      <c r="A637" s="24" t="s">
        <v>29</v>
      </c>
      <c r="B637" s="16" t="s">
        <v>187</v>
      </c>
      <c r="C637" s="23">
        <v>2050.0</v>
      </c>
      <c r="D637" s="17">
        <f>80146+84559</f>
        <v>164705</v>
      </c>
      <c r="E637" s="10">
        <v>1.8555538E7</v>
      </c>
      <c r="F637" s="19">
        <v>1.34</v>
      </c>
      <c r="G637" s="10">
        <f t="shared" si="1"/>
        <v>248.6442092</v>
      </c>
      <c r="H637" s="19">
        <v>0.94</v>
      </c>
      <c r="I637" s="8">
        <f t="shared" si="2"/>
        <v>174.4220572</v>
      </c>
      <c r="J637" s="19">
        <v>1.74</v>
      </c>
      <c r="K637" s="11">
        <f t="shared" si="3"/>
        <v>322.8663612</v>
      </c>
      <c r="L637" s="11">
        <f t="shared" si="13"/>
        <v>150.9633643</v>
      </c>
      <c r="M637" s="11">
        <f t="shared" si="1901"/>
        <v>287.2818493</v>
      </c>
      <c r="N637" s="11">
        <f t="shared" si="1902"/>
        <v>531.7770402</v>
      </c>
      <c r="O637" s="19">
        <v>1.71</v>
      </c>
      <c r="P637" s="8">
        <f t="shared" ref="P637:P638" si="1910">(O637/100000)*E637</f>
        <v>317.2996998</v>
      </c>
      <c r="Q637" s="19">
        <v>1.05</v>
      </c>
      <c r="R637" s="8">
        <f t="shared" ref="R637:R638" si="1911">(Q637/100000)*E637</f>
        <v>194.833149</v>
      </c>
      <c r="S637" s="19">
        <v>2.6</v>
      </c>
      <c r="T637" s="11">
        <f t="shared" ref="T637:T638" si="1912">(S637/100000)*E637</f>
        <v>482.443988</v>
      </c>
      <c r="U637" s="14">
        <f t="shared" si="1903"/>
        <v>2.8164555</v>
      </c>
      <c r="V637" s="14">
        <f t="shared" si="1904"/>
        <v>1.7294025</v>
      </c>
      <c r="W637" s="14">
        <f t="shared" si="1905"/>
        <v>4.28233</v>
      </c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>
      <c r="A638" s="24" t="s">
        <v>23</v>
      </c>
      <c r="B638" s="16" t="s">
        <v>188</v>
      </c>
      <c r="C638" s="20">
        <v>2021.0</v>
      </c>
      <c r="D638" s="17">
        <f>26787.5+28007</f>
        <v>54794.5</v>
      </c>
      <c r="E638" s="18">
        <v>5408320.0</v>
      </c>
      <c r="F638" s="19">
        <v>2.82</v>
      </c>
      <c r="G638" s="10">
        <f t="shared" si="1"/>
        <v>152.514624</v>
      </c>
      <c r="H638" s="19">
        <v>1.8</v>
      </c>
      <c r="I638" s="8">
        <f t="shared" si="2"/>
        <v>97.34976</v>
      </c>
      <c r="J638" s="19">
        <v>3.93</v>
      </c>
      <c r="K638" s="11">
        <f t="shared" si="3"/>
        <v>212.546976</v>
      </c>
      <c r="L638" s="11">
        <f t="shared" si="13"/>
        <v>278.3392932</v>
      </c>
      <c r="M638" s="12">
        <f>(I638/D638)*100000</f>
        <v>177.6633786</v>
      </c>
      <c r="N638" s="11">
        <f>(K638/D638)*100000</f>
        <v>387.8983767</v>
      </c>
      <c r="O638" s="19">
        <v>4.84</v>
      </c>
      <c r="P638" s="8">
        <f t="shared" si="1910"/>
        <v>261.762688</v>
      </c>
      <c r="Q638" s="19">
        <v>2.93</v>
      </c>
      <c r="R638" s="8">
        <f t="shared" si="1911"/>
        <v>158.463776</v>
      </c>
      <c r="S638" s="19">
        <v>7.44</v>
      </c>
      <c r="T638" s="11">
        <f t="shared" si="1912"/>
        <v>402.379008</v>
      </c>
      <c r="U638" s="11">
        <f>(P638/D638)*100000</f>
        <v>477.7170847</v>
      </c>
      <c r="V638" s="11">
        <f>(R638/D638)*100000</f>
        <v>289.1964996</v>
      </c>
      <c r="W638" s="11">
        <f>(T638/D638)*100000</f>
        <v>734.341965</v>
      </c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 hidden="1">
      <c r="A639" s="24" t="s">
        <v>25</v>
      </c>
      <c r="B639" s="16" t="s">
        <v>188</v>
      </c>
      <c r="C639" s="23">
        <v>2030.0</v>
      </c>
      <c r="D639" s="17">
        <f>25564+27090</f>
        <v>52654</v>
      </c>
      <c r="E639" s="10">
        <v>5688955.0</v>
      </c>
      <c r="F639" s="19">
        <v>2.82</v>
      </c>
      <c r="G639" s="10">
        <f t="shared" si="1"/>
        <v>160.428531</v>
      </c>
      <c r="H639" s="19">
        <v>1.8</v>
      </c>
      <c r="I639" s="8">
        <f t="shared" si="2"/>
        <v>102.40119</v>
      </c>
      <c r="J639" s="19">
        <v>3.93</v>
      </c>
      <c r="K639" s="11">
        <f t="shared" si="3"/>
        <v>223.5759315</v>
      </c>
      <c r="L639" s="11">
        <f t="shared" si="13"/>
        <v>304.6844133</v>
      </c>
      <c r="M639" s="11">
        <f t="shared" ref="M639:M641" si="1913">(I639*D639)/100000</f>
        <v>53.91832258</v>
      </c>
      <c r="N639" s="11">
        <f t="shared" ref="N639:N641" si="1914">(K639*D639)/100000</f>
        <v>117.721671</v>
      </c>
      <c r="O639" s="19">
        <v>4.84</v>
      </c>
      <c r="P639" s="19"/>
      <c r="Q639" s="19">
        <v>2.93</v>
      </c>
      <c r="R639" s="19"/>
      <c r="S639" s="19">
        <v>7.44</v>
      </c>
      <c r="T639" s="14"/>
      <c r="U639" s="14">
        <f t="shared" ref="U639:U641" si="1915">(O639*D639)/100000</f>
        <v>2.5484536</v>
      </c>
      <c r="V639" s="14">
        <f t="shared" ref="V639:V641" si="1916">(Q639*D639)/100000</f>
        <v>1.5427622</v>
      </c>
      <c r="W639" s="14">
        <f t="shared" ref="W639:W641" si="1917">(S639*D639)/100000</f>
        <v>3.9174576</v>
      </c>
      <c r="X639" s="13"/>
      <c r="Y639" s="13"/>
      <c r="Z639" s="13" t="str">
        <f t="shared" ref="Z639:Z640" si="1918">ROUND(F639, 0) &amp; " (" &amp; ROUND(H639, 0) &amp; "-" &amp; ROUND(J639, 0) &amp; ")"</f>
        <v>3 (2-4)</v>
      </c>
      <c r="AA639" s="13" t="str">
        <f t="shared" ref="AA639:AA640" si="1919">ROUND(L639, 0) &amp; " (" &amp; ROUND(M639, 0) &amp; "-" &amp; ROUND(N639, 0) &amp; ")"</f>
        <v>305 (54-118)</v>
      </c>
      <c r="AB639" s="13" t="str">
        <f t="shared" ref="AB639:AB640" si="1920">ROUND(O639, 0) &amp; " (" &amp; ROUND(Q639, 0) &amp; "-" &amp; ROUND(S639, 0) &amp; ")"</f>
        <v>5 (3-7)</v>
      </c>
      <c r="AC639" s="13" t="str">
        <f t="shared" ref="AC639:AC640" si="1921">ROUND(U639, 0) &amp; " (" &amp; ROUND(V639, 0) &amp; "-" &amp; ROUND(W639, 0) &amp; ")"</f>
        <v>3 (2-4)</v>
      </c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 hidden="1">
      <c r="A640" s="24" t="s">
        <v>27</v>
      </c>
      <c r="B640" s="16" t="s">
        <v>188</v>
      </c>
      <c r="C640" s="23">
        <v>2040.0</v>
      </c>
      <c r="D640" s="17">
        <f>26199+27757</f>
        <v>53956</v>
      </c>
      <c r="E640" s="10">
        <v>5795888.0</v>
      </c>
      <c r="F640" s="19">
        <v>2.82</v>
      </c>
      <c r="G640" s="10">
        <f t="shared" si="1"/>
        <v>163.4440416</v>
      </c>
      <c r="H640" s="19">
        <v>1.8</v>
      </c>
      <c r="I640" s="8">
        <f t="shared" si="2"/>
        <v>104.325984</v>
      </c>
      <c r="J640" s="19">
        <v>3.93</v>
      </c>
      <c r="K640" s="11">
        <f t="shared" si="3"/>
        <v>227.7783984</v>
      </c>
      <c r="L640" s="11">
        <f t="shared" si="13"/>
        <v>302.9209756</v>
      </c>
      <c r="M640" s="11">
        <f t="shared" si="1913"/>
        <v>56.29012793</v>
      </c>
      <c r="N640" s="11">
        <f t="shared" si="1914"/>
        <v>122.9001126</v>
      </c>
      <c r="O640" s="19">
        <v>4.84</v>
      </c>
      <c r="P640" s="19"/>
      <c r="Q640" s="19">
        <v>2.93</v>
      </c>
      <c r="R640" s="19"/>
      <c r="S640" s="19">
        <v>7.44</v>
      </c>
      <c r="T640" s="14"/>
      <c r="U640" s="14">
        <f t="shared" si="1915"/>
        <v>2.6114704</v>
      </c>
      <c r="V640" s="14">
        <f t="shared" si="1916"/>
        <v>1.5809108</v>
      </c>
      <c r="W640" s="14">
        <f t="shared" si="1917"/>
        <v>4.0143264</v>
      </c>
      <c r="X640" s="13"/>
      <c r="Y640" s="13"/>
      <c r="Z640" s="13" t="str">
        <f t="shared" si="1918"/>
        <v>3 (2-4)</v>
      </c>
      <c r="AA640" s="13" t="str">
        <f t="shared" si="1919"/>
        <v>303 (56-123)</v>
      </c>
      <c r="AB640" s="13" t="str">
        <f t="shared" si="1920"/>
        <v>5 (3-7)</v>
      </c>
      <c r="AC640" s="13" t="str">
        <f t="shared" si="1921"/>
        <v>3 (2-4)</v>
      </c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 hidden="1">
      <c r="A641" s="24" t="s">
        <v>29</v>
      </c>
      <c r="B641" s="16" t="s">
        <v>188</v>
      </c>
      <c r="C641" s="23">
        <v>2050.0</v>
      </c>
      <c r="D641" s="17">
        <f>25040+26521</f>
        <v>51561</v>
      </c>
      <c r="E641" s="10">
        <v>5835259.0</v>
      </c>
      <c r="F641" s="19">
        <v>2.82</v>
      </c>
      <c r="G641" s="10">
        <f t="shared" si="1"/>
        <v>164.5543038</v>
      </c>
      <c r="H641" s="19">
        <v>1.8</v>
      </c>
      <c r="I641" s="8">
        <f t="shared" si="2"/>
        <v>105.034662</v>
      </c>
      <c r="J641" s="19">
        <v>3.93</v>
      </c>
      <c r="K641" s="11">
        <f t="shared" si="3"/>
        <v>229.3256787</v>
      </c>
      <c r="L641" s="11">
        <f t="shared" si="13"/>
        <v>319.1449037</v>
      </c>
      <c r="M641" s="11">
        <f t="shared" si="1913"/>
        <v>54.15692207</v>
      </c>
      <c r="N641" s="11">
        <f t="shared" si="1914"/>
        <v>118.2426132</v>
      </c>
      <c r="O641" s="19">
        <v>4.84</v>
      </c>
      <c r="P641" s="8">
        <f t="shared" ref="P641:P642" si="1922">(O641/100000)*E641</f>
        <v>282.4265356</v>
      </c>
      <c r="Q641" s="19">
        <v>2.93</v>
      </c>
      <c r="R641" s="8">
        <f t="shared" ref="R641:R642" si="1923">(Q641/100000)*E641</f>
        <v>170.9730887</v>
      </c>
      <c r="S641" s="19">
        <v>7.44</v>
      </c>
      <c r="T641" s="11">
        <f t="shared" ref="T641:T642" si="1924">(S641/100000)*E641</f>
        <v>434.1432696</v>
      </c>
      <c r="U641" s="14">
        <f t="shared" si="1915"/>
        <v>2.4955524</v>
      </c>
      <c r="V641" s="14">
        <f t="shared" si="1916"/>
        <v>1.5107373</v>
      </c>
      <c r="W641" s="14">
        <f t="shared" si="1917"/>
        <v>3.8361384</v>
      </c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>
      <c r="A642" s="24" t="s">
        <v>23</v>
      </c>
      <c r="B642" s="16" t="s">
        <v>189</v>
      </c>
      <c r="C642" s="20">
        <v>2021.0</v>
      </c>
      <c r="D642" s="18">
        <f>39972.5+42116</f>
        <v>82088.5</v>
      </c>
      <c r="E642" s="18">
        <v>1.0361831E7</v>
      </c>
      <c r="F642" s="19">
        <v>0.52</v>
      </c>
      <c r="G642" s="10">
        <f t="shared" si="1"/>
        <v>53.8815212</v>
      </c>
      <c r="H642" s="19">
        <v>0.37</v>
      </c>
      <c r="I642" s="8">
        <f t="shared" si="2"/>
        <v>38.3387747</v>
      </c>
      <c r="J642" s="19">
        <v>0.7</v>
      </c>
      <c r="K642" s="11">
        <f t="shared" si="3"/>
        <v>72.532817</v>
      </c>
      <c r="L642" s="11">
        <f t="shared" si="13"/>
        <v>65.63833083</v>
      </c>
      <c r="M642" s="12">
        <f>(I642/D642)*100000</f>
        <v>46.70419693</v>
      </c>
      <c r="N642" s="11">
        <f>(K642/D642)*100000</f>
        <v>88.3592915</v>
      </c>
      <c r="O642" s="19">
        <v>0.95</v>
      </c>
      <c r="P642" s="8">
        <f t="shared" si="1922"/>
        <v>98.4373945</v>
      </c>
      <c r="Q642" s="19">
        <v>0.59</v>
      </c>
      <c r="R642" s="8">
        <f t="shared" si="1923"/>
        <v>61.1348029</v>
      </c>
      <c r="S642" s="19">
        <v>1.47</v>
      </c>
      <c r="T642" s="11">
        <f t="shared" si="1924"/>
        <v>152.3189157</v>
      </c>
      <c r="U642" s="11">
        <f>(P642/D642)*100000</f>
        <v>119.9161813</v>
      </c>
      <c r="V642" s="11">
        <f>(R642/D642)*100000</f>
        <v>74.47425998</v>
      </c>
      <c r="W642" s="11">
        <f>(T642/D642)*100000</f>
        <v>185.5545121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</row>
    <row r="643" hidden="1">
      <c r="A643" s="24" t="s">
        <v>25</v>
      </c>
      <c r="B643" s="16" t="s">
        <v>189</v>
      </c>
      <c r="C643" s="23">
        <v>2030.0</v>
      </c>
      <c r="D643" s="17">
        <f>41322+43697</f>
        <v>85019</v>
      </c>
      <c r="E643" s="10">
        <v>1.0564045E7</v>
      </c>
      <c r="F643" s="19">
        <v>0.52</v>
      </c>
      <c r="G643" s="10">
        <f t="shared" si="1"/>
        <v>54.933034</v>
      </c>
      <c r="H643" s="19">
        <v>0.37</v>
      </c>
      <c r="I643" s="8">
        <f t="shared" si="2"/>
        <v>39.0869665</v>
      </c>
      <c r="J643" s="19">
        <v>0.7</v>
      </c>
      <c r="K643" s="11">
        <f t="shared" si="3"/>
        <v>73.948315</v>
      </c>
      <c r="L643" s="11">
        <f t="shared" si="13"/>
        <v>64.61265599</v>
      </c>
      <c r="M643" s="11">
        <f t="shared" ref="M643:M645" si="1925">(I643*D643)/100000</f>
        <v>33.23134805</v>
      </c>
      <c r="N643" s="11">
        <f t="shared" ref="N643:N645" si="1926">(K643*D643)/100000</f>
        <v>62.87011793</v>
      </c>
      <c r="O643" s="19">
        <v>0.95</v>
      </c>
      <c r="P643" s="19"/>
      <c r="Q643" s="19">
        <v>0.59</v>
      </c>
      <c r="R643" s="19"/>
      <c r="S643" s="19">
        <v>1.47</v>
      </c>
      <c r="T643" s="14"/>
      <c r="U643" s="14">
        <f t="shared" ref="U643:U645" si="1927">(O643*D643)/100000</f>
        <v>0.8076805</v>
      </c>
      <c r="V643" s="14">
        <f t="shared" ref="V643:V645" si="1928">(Q643*D643)/100000</f>
        <v>0.5016121</v>
      </c>
      <c r="W643" s="14">
        <f t="shared" ref="W643:W645" si="1929">(S643*D643)/100000</f>
        <v>1.2497793</v>
      </c>
      <c r="X643" s="13"/>
      <c r="Y643" s="13"/>
      <c r="Z643" s="13" t="str">
        <f t="shared" ref="Z643:Z644" si="1930">ROUND(F643, 0) &amp; " (" &amp; ROUND(H643, 0) &amp; "-" &amp; ROUND(J643, 0) &amp; ")"</f>
        <v>1 (0-1)</v>
      </c>
      <c r="AA643" s="13" t="str">
        <f t="shared" ref="AA643:AA644" si="1931">ROUND(L643, 0) &amp; " (" &amp; ROUND(M643, 0) &amp; "-" &amp; ROUND(N643, 0) &amp; ")"</f>
        <v>65 (33-63)</v>
      </c>
      <c r="AB643" s="13" t="str">
        <f t="shared" ref="AB643:AB644" si="1932">ROUND(O643, 0) &amp; " (" &amp; ROUND(Q643, 0) &amp; "-" &amp; ROUND(S643, 0) &amp; ")"</f>
        <v>1 (1-1)</v>
      </c>
      <c r="AC643" s="13" t="str">
        <f t="shared" ref="AC643:AC644" si="1933">ROUND(U643, 0) &amp; " (" &amp; ROUND(V643, 0) &amp; "-" &amp; ROUND(W643, 0) &amp; ")"</f>
        <v>1 (1-1)</v>
      </c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</row>
    <row r="644" hidden="1">
      <c r="A644" s="24" t="s">
        <v>27</v>
      </c>
      <c r="B644" s="16" t="s">
        <v>189</v>
      </c>
      <c r="C644" s="23">
        <v>2040.0</v>
      </c>
      <c r="D644" s="17">
        <f>42411+44942</f>
        <v>87353</v>
      </c>
      <c r="E644" s="10">
        <v>1.0280928E7</v>
      </c>
      <c r="F644" s="19">
        <v>0.52</v>
      </c>
      <c r="G644" s="10">
        <f t="shared" si="1"/>
        <v>53.4608256</v>
      </c>
      <c r="H644" s="19">
        <v>0.37</v>
      </c>
      <c r="I644" s="8">
        <f t="shared" si="2"/>
        <v>38.0394336</v>
      </c>
      <c r="J644" s="19">
        <v>0.7</v>
      </c>
      <c r="K644" s="11">
        <f t="shared" si="3"/>
        <v>71.966496</v>
      </c>
      <c r="L644" s="11">
        <f t="shared" si="13"/>
        <v>61.20090392</v>
      </c>
      <c r="M644" s="11">
        <f t="shared" si="1925"/>
        <v>33.22858643</v>
      </c>
      <c r="N644" s="11">
        <f t="shared" si="1926"/>
        <v>62.86489325</v>
      </c>
      <c r="O644" s="19">
        <v>0.95</v>
      </c>
      <c r="P644" s="19"/>
      <c r="Q644" s="19">
        <v>0.59</v>
      </c>
      <c r="R644" s="19"/>
      <c r="S644" s="19">
        <v>1.47</v>
      </c>
      <c r="T644" s="14"/>
      <c r="U644" s="14">
        <f t="shared" si="1927"/>
        <v>0.8298535</v>
      </c>
      <c r="V644" s="14">
        <f t="shared" si="1928"/>
        <v>0.5153827</v>
      </c>
      <c r="W644" s="14">
        <f t="shared" si="1929"/>
        <v>1.2840891</v>
      </c>
      <c r="X644" s="13"/>
      <c r="Y644" s="13"/>
      <c r="Z644" s="13" t="str">
        <f t="shared" si="1930"/>
        <v>1 (0-1)</v>
      </c>
      <c r="AA644" s="13" t="str">
        <f t="shared" si="1931"/>
        <v>61 (33-63)</v>
      </c>
      <c r="AB644" s="13" t="str">
        <f t="shared" si="1932"/>
        <v>1 (1-1)</v>
      </c>
      <c r="AC644" s="13" t="str">
        <f t="shared" si="1933"/>
        <v>1 (1-1)</v>
      </c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 hidden="1">
      <c r="A645" s="24" t="s">
        <v>29</v>
      </c>
      <c r="B645" s="16" t="s">
        <v>189</v>
      </c>
      <c r="C645" s="23">
        <v>2050.0</v>
      </c>
      <c r="D645" s="17">
        <f>40348+42774</f>
        <v>83122</v>
      </c>
      <c r="E645" s="10">
        <v>9944832.0</v>
      </c>
      <c r="F645" s="19">
        <v>0.52</v>
      </c>
      <c r="G645" s="10">
        <f t="shared" si="1"/>
        <v>51.7131264</v>
      </c>
      <c r="H645" s="19">
        <v>0.37</v>
      </c>
      <c r="I645" s="8">
        <f t="shared" si="2"/>
        <v>36.7958784</v>
      </c>
      <c r="J645" s="19">
        <v>0.7</v>
      </c>
      <c r="K645" s="11">
        <f t="shared" si="3"/>
        <v>69.613824</v>
      </c>
      <c r="L645" s="11">
        <f t="shared" si="13"/>
        <v>62.21352518</v>
      </c>
      <c r="M645" s="11">
        <f t="shared" si="1925"/>
        <v>30.58547004</v>
      </c>
      <c r="N645" s="11">
        <f t="shared" si="1926"/>
        <v>57.86440279</v>
      </c>
      <c r="O645" s="19">
        <v>0.95</v>
      </c>
      <c r="P645" s="8">
        <f t="shared" ref="P645:P646" si="1934">(O645/100000)*E645</f>
        <v>94.475904</v>
      </c>
      <c r="Q645" s="19">
        <v>0.59</v>
      </c>
      <c r="R645" s="8">
        <f t="shared" ref="R645:R646" si="1935">(Q645/100000)*E645</f>
        <v>58.6745088</v>
      </c>
      <c r="S645" s="19">
        <v>1.47</v>
      </c>
      <c r="T645" s="11">
        <f t="shared" ref="T645:T646" si="1936">(S645/100000)*E645</f>
        <v>146.1890304</v>
      </c>
      <c r="U645" s="14">
        <f t="shared" si="1927"/>
        <v>0.789659</v>
      </c>
      <c r="V645" s="14">
        <f t="shared" si="1928"/>
        <v>0.4904198</v>
      </c>
      <c r="W645" s="14">
        <f t="shared" si="1929"/>
        <v>1.2218934</v>
      </c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>
      <c r="A646" s="24" t="s">
        <v>23</v>
      </c>
      <c r="B646" s="16" t="s">
        <v>190</v>
      </c>
      <c r="C646" s="20">
        <v>2021.0</v>
      </c>
      <c r="D646" s="17">
        <f>112+113</f>
        <v>225</v>
      </c>
      <c r="E646" s="18">
        <v>34252.0</v>
      </c>
      <c r="F646" s="19">
        <v>1.91</v>
      </c>
      <c r="G646" s="10">
        <f t="shared" si="1"/>
        <v>0.6542132</v>
      </c>
      <c r="H646" s="19">
        <v>1.48</v>
      </c>
      <c r="I646" s="8">
        <f t="shared" si="2"/>
        <v>0.5069296</v>
      </c>
      <c r="J646" s="19">
        <v>2.36</v>
      </c>
      <c r="K646" s="11">
        <f t="shared" si="3"/>
        <v>0.8083472</v>
      </c>
      <c r="L646" s="11">
        <f t="shared" si="13"/>
        <v>290.7614222</v>
      </c>
      <c r="M646" s="12">
        <f>(I646/D646)*100000</f>
        <v>225.3020444</v>
      </c>
      <c r="N646" s="11">
        <f>(K646/D646)*100000</f>
        <v>359.2654222</v>
      </c>
      <c r="O646" s="19">
        <v>2.54</v>
      </c>
      <c r="P646" s="8">
        <f t="shared" si="1934"/>
        <v>0.8700008</v>
      </c>
      <c r="Q646" s="19">
        <v>1.63</v>
      </c>
      <c r="R646" s="8">
        <f t="shared" si="1935"/>
        <v>0.5583076</v>
      </c>
      <c r="S646" s="19">
        <v>3.79</v>
      </c>
      <c r="T646" s="11">
        <f t="shared" si="1936"/>
        <v>1.2981508</v>
      </c>
      <c r="U646" s="11">
        <f>(P646/D646)*100000</f>
        <v>386.6670222</v>
      </c>
      <c r="V646" s="11">
        <f>(R646/D646)*100000</f>
        <v>248.1367111</v>
      </c>
      <c r="W646" s="11">
        <f>(T646/D646)*100000</f>
        <v>576.9559111</v>
      </c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</row>
    <row r="647" hidden="1">
      <c r="A647" s="24" t="s">
        <v>25</v>
      </c>
      <c r="B647" s="16" t="s">
        <v>190</v>
      </c>
      <c r="C647" s="23">
        <v>2030.0</v>
      </c>
      <c r="D647" s="17">
        <f>100+106</f>
        <v>206</v>
      </c>
      <c r="E647" s="10">
        <v>34140.0</v>
      </c>
      <c r="F647" s="19">
        <v>1.91</v>
      </c>
      <c r="G647" s="10">
        <f t="shared" si="1"/>
        <v>0.652074</v>
      </c>
      <c r="H647" s="19">
        <v>1.48</v>
      </c>
      <c r="I647" s="8">
        <f t="shared" si="2"/>
        <v>0.505272</v>
      </c>
      <c r="J647" s="19">
        <v>2.36</v>
      </c>
      <c r="K647" s="11">
        <f t="shared" si="3"/>
        <v>0.805704</v>
      </c>
      <c r="L647" s="11">
        <f t="shared" si="13"/>
        <v>316.5407767</v>
      </c>
      <c r="M647" s="11">
        <f t="shared" ref="M647:M649" si="1937">(I647*D647)/100000</f>
        <v>0.00104086032</v>
      </c>
      <c r="N647" s="11">
        <f t="shared" ref="N647:N649" si="1938">(K647*D647)/100000</f>
        <v>0.00165975024</v>
      </c>
      <c r="O647" s="19">
        <v>2.54</v>
      </c>
      <c r="P647" s="19"/>
      <c r="Q647" s="19">
        <v>1.63</v>
      </c>
      <c r="R647" s="19"/>
      <c r="S647" s="19">
        <v>3.79</v>
      </c>
      <c r="T647" s="14"/>
      <c r="U647" s="14">
        <f t="shared" ref="U647:U649" si="1939">(O647*D647)/100000</f>
        <v>0.0052324</v>
      </c>
      <c r="V647" s="14">
        <f t="shared" ref="V647:V649" si="1940">(Q647*D647)/100000</f>
        <v>0.0033578</v>
      </c>
      <c r="W647" s="14">
        <f t="shared" ref="W647:W649" si="1941">(S647*D647)/100000</f>
        <v>0.0078074</v>
      </c>
      <c r="X647" s="13"/>
      <c r="Y647" s="13"/>
      <c r="Z647" s="13" t="str">
        <f t="shared" ref="Z647:Z648" si="1942">ROUND(F647, 0) &amp; " (" &amp; ROUND(H647, 0) &amp; "-" &amp; ROUND(J647, 0) &amp; ")"</f>
        <v>2 (1-2)</v>
      </c>
      <c r="AA647" s="13" t="str">
        <f t="shared" ref="AA647:AA648" si="1943">ROUND(L647, 0) &amp; " (" &amp; ROUND(M647, 0) &amp; "-" &amp; ROUND(N647, 0) &amp; ")"</f>
        <v>317 (0-0)</v>
      </c>
      <c r="AB647" s="13" t="str">
        <f t="shared" ref="AB647:AB648" si="1944">ROUND(O647, 0) &amp; " (" &amp; ROUND(Q647, 0) &amp; "-" &amp; ROUND(S647, 0) &amp; ")"</f>
        <v>3 (2-4)</v>
      </c>
      <c r="AC647" s="13" t="str">
        <f t="shared" ref="AC647:AC648" si="1945">ROUND(U647, 0) &amp; " (" &amp; ROUND(V647, 0) &amp; "-" &amp; ROUND(W647, 0) &amp; ")"</f>
        <v>0 (0-0)</v>
      </c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</row>
    <row r="648" hidden="1">
      <c r="A648" s="24" t="s">
        <v>27</v>
      </c>
      <c r="B648" s="16" t="s">
        <v>190</v>
      </c>
      <c r="C648" s="23">
        <v>2040.0</v>
      </c>
      <c r="D648" s="17">
        <f>120+128</f>
        <v>248</v>
      </c>
      <c r="E648" s="10">
        <v>34370.0</v>
      </c>
      <c r="F648" s="19">
        <v>1.91</v>
      </c>
      <c r="G648" s="10">
        <f t="shared" si="1"/>
        <v>0.656467</v>
      </c>
      <c r="H648" s="19">
        <v>1.48</v>
      </c>
      <c r="I648" s="8">
        <f t="shared" si="2"/>
        <v>0.508676</v>
      </c>
      <c r="J648" s="19">
        <v>2.36</v>
      </c>
      <c r="K648" s="11">
        <f t="shared" si="3"/>
        <v>0.811132</v>
      </c>
      <c r="L648" s="11">
        <f t="shared" si="13"/>
        <v>264.7044355</v>
      </c>
      <c r="M648" s="11">
        <f t="shared" si="1937"/>
        <v>0.00126151648</v>
      </c>
      <c r="N648" s="11">
        <f t="shared" si="1938"/>
        <v>0.00201160736</v>
      </c>
      <c r="O648" s="19">
        <v>2.54</v>
      </c>
      <c r="P648" s="19"/>
      <c r="Q648" s="19">
        <v>1.63</v>
      </c>
      <c r="R648" s="19"/>
      <c r="S648" s="19">
        <v>3.79</v>
      </c>
      <c r="T648" s="14"/>
      <c r="U648" s="14">
        <f t="shared" si="1939"/>
        <v>0.0062992</v>
      </c>
      <c r="V648" s="14">
        <f t="shared" si="1940"/>
        <v>0.0040424</v>
      </c>
      <c r="W648" s="14">
        <f t="shared" si="1941"/>
        <v>0.0093992</v>
      </c>
      <c r="X648" s="13"/>
      <c r="Y648" s="13"/>
      <c r="Z648" s="13" t="str">
        <f t="shared" si="1942"/>
        <v>2 (1-2)</v>
      </c>
      <c r="AA648" s="13" t="str">
        <f t="shared" si="1943"/>
        <v>265 (0-0)</v>
      </c>
      <c r="AB648" s="13" t="str">
        <f t="shared" si="1944"/>
        <v>3 (2-4)</v>
      </c>
      <c r="AC648" s="13" t="str">
        <f t="shared" si="1945"/>
        <v>0 (0-0)</v>
      </c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</row>
    <row r="649" hidden="1">
      <c r="A649" s="24" t="s">
        <v>29</v>
      </c>
      <c r="B649" s="16" t="s">
        <v>190</v>
      </c>
      <c r="C649" s="23">
        <v>2050.0</v>
      </c>
      <c r="D649" s="17">
        <f>116+124</f>
        <v>240</v>
      </c>
      <c r="E649" s="10">
        <v>34093.0</v>
      </c>
      <c r="F649" s="19">
        <v>1.91</v>
      </c>
      <c r="G649" s="10">
        <f t="shared" si="1"/>
        <v>0.6511763</v>
      </c>
      <c r="H649" s="19">
        <v>1.48</v>
      </c>
      <c r="I649" s="8">
        <f t="shared" si="2"/>
        <v>0.5045764</v>
      </c>
      <c r="J649" s="19">
        <v>2.36</v>
      </c>
      <c r="K649" s="11">
        <f t="shared" si="3"/>
        <v>0.8045948</v>
      </c>
      <c r="L649" s="11">
        <f t="shared" si="13"/>
        <v>271.3234583</v>
      </c>
      <c r="M649" s="11">
        <f t="shared" si="1937"/>
        <v>0.00121098336</v>
      </c>
      <c r="N649" s="11">
        <f t="shared" si="1938"/>
        <v>0.00193102752</v>
      </c>
      <c r="O649" s="19">
        <v>2.54</v>
      </c>
      <c r="P649" s="8">
        <f t="shared" ref="P649:P650" si="1946">(O649/100000)*E649</f>
        <v>0.8659622</v>
      </c>
      <c r="Q649" s="19">
        <v>1.63</v>
      </c>
      <c r="R649" s="8">
        <f t="shared" ref="R649:R650" si="1947">(Q649/100000)*E649</f>
        <v>0.5557159</v>
      </c>
      <c r="S649" s="19">
        <v>3.79</v>
      </c>
      <c r="T649" s="11">
        <f t="shared" ref="T649:T650" si="1948">(S649/100000)*E649</f>
        <v>1.2921247</v>
      </c>
      <c r="U649" s="14">
        <f t="shared" si="1939"/>
        <v>0.006096</v>
      </c>
      <c r="V649" s="14">
        <f t="shared" si="1940"/>
        <v>0.003912</v>
      </c>
      <c r="W649" s="14">
        <f t="shared" si="1941"/>
        <v>0.009096</v>
      </c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</row>
    <row r="650">
      <c r="A650" s="24" t="s">
        <v>23</v>
      </c>
      <c r="B650" s="16" t="s">
        <v>191</v>
      </c>
      <c r="C650" s="20">
        <v>2021.0</v>
      </c>
      <c r="D650" s="17">
        <f>166363+175576</f>
        <v>341939</v>
      </c>
      <c r="E650" s="18">
        <v>4.7443821E7</v>
      </c>
      <c r="F650" s="19">
        <v>0.54</v>
      </c>
      <c r="G650" s="10">
        <f t="shared" si="1"/>
        <v>256.1966334</v>
      </c>
      <c r="H650" s="19">
        <v>0.4</v>
      </c>
      <c r="I650" s="8">
        <f t="shared" si="2"/>
        <v>189.775284</v>
      </c>
      <c r="J650" s="19">
        <v>0.71</v>
      </c>
      <c r="K650" s="11">
        <f t="shared" si="3"/>
        <v>336.8511291</v>
      </c>
      <c r="L650" s="11">
        <f t="shared" si="13"/>
        <v>74.92466007</v>
      </c>
      <c r="M650" s="12">
        <f>(I650/D650)*100000</f>
        <v>55.4997482</v>
      </c>
      <c r="N650" s="11">
        <f>(K650/D650)*100000</f>
        <v>98.51205306</v>
      </c>
      <c r="O650" s="19">
        <v>0.9</v>
      </c>
      <c r="P650" s="8">
        <f t="shared" si="1946"/>
        <v>426.994389</v>
      </c>
      <c r="Q650" s="19">
        <v>0.56</v>
      </c>
      <c r="R650" s="8">
        <f t="shared" si="1947"/>
        <v>265.6853976</v>
      </c>
      <c r="S650" s="19">
        <v>1.36</v>
      </c>
      <c r="T650" s="11">
        <f t="shared" si="1948"/>
        <v>645.2359656</v>
      </c>
      <c r="U650" s="11">
        <f>(P650/D650)*100000</f>
        <v>124.8744335</v>
      </c>
      <c r="V650" s="11">
        <f>(R650/D650)*100000</f>
        <v>77.69964748</v>
      </c>
      <c r="W650" s="11">
        <f>(T650/D650)*100000</f>
        <v>188.6991439</v>
      </c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</row>
    <row r="651" hidden="1">
      <c r="A651" s="24" t="s">
        <v>25</v>
      </c>
      <c r="B651" s="16" t="s">
        <v>191</v>
      </c>
      <c r="C651" s="23">
        <v>2030.0</v>
      </c>
      <c r="D651" s="17">
        <f>156256+166320</f>
        <v>322576</v>
      </c>
      <c r="E651" s="10">
        <v>4.839574E7</v>
      </c>
      <c r="F651" s="19">
        <v>0.54</v>
      </c>
      <c r="G651" s="10">
        <f t="shared" si="1"/>
        <v>261.336996</v>
      </c>
      <c r="H651" s="19">
        <v>0.4</v>
      </c>
      <c r="I651" s="8">
        <f t="shared" si="2"/>
        <v>193.58296</v>
      </c>
      <c r="J651" s="19">
        <v>0.71</v>
      </c>
      <c r="K651" s="11">
        <f t="shared" si="3"/>
        <v>343.609754</v>
      </c>
      <c r="L651" s="11">
        <f t="shared" si="13"/>
        <v>81.01563539</v>
      </c>
      <c r="M651" s="11">
        <f t="shared" ref="M651:M653" si="1949">(I651*D651)/100000</f>
        <v>624.452169</v>
      </c>
      <c r="N651" s="11">
        <f t="shared" ref="N651:N653" si="1950">(K651*D651)/100000</f>
        <v>1108.4026</v>
      </c>
      <c r="O651" s="19">
        <v>0.9</v>
      </c>
      <c r="P651" s="19"/>
      <c r="Q651" s="19">
        <v>0.56</v>
      </c>
      <c r="R651" s="19"/>
      <c r="S651" s="19">
        <v>1.36</v>
      </c>
      <c r="T651" s="14"/>
      <c r="U651" s="14">
        <f t="shared" ref="U651:U653" si="1951">(O651*D651)/100000</f>
        <v>2.903184</v>
      </c>
      <c r="V651" s="14">
        <f t="shared" ref="V651:V653" si="1952">(Q651*D651)/100000</f>
        <v>1.8064256</v>
      </c>
      <c r="W651" s="14">
        <f t="shared" ref="W651:W653" si="1953">(S651*D651)/100000</f>
        <v>4.3870336</v>
      </c>
      <c r="X651" s="13"/>
      <c r="Y651" s="13"/>
      <c r="Z651" s="13" t="str">
        <f t="shared" ref="Z651:Z652" si="1954">ROUND(F651, 0) &amp; " (" &amp; ROUND(H651, 0) &amp; "-" &amp; ROUND(J651, 0) &amp; ")"</f>
        <v>1 (0-1)</v>
      </c>
      <c r="AA651" s="13" t="str">
        <f t="shared" ref="AA651:AA652" si="1955">ROUND(L651, 0) &amp; " (" &amp; ROUND(M651, 0) &amp; "-" &amp; ROUND(N651, 0) &amp; ")"</f>
        <v>81 (624-1108)</v>
      </c>
      <c r="AB651" s="13" t="str">
        <f t="shared" ref="AB651:AB652" si="1956">ROUND(O651, 0) &amp; " (" &amp; ROUND(Q651, 0) &amp; "-" &amp; ROUND(S651, 0) &amp; ")"</f>
        <v>1 (1-1)</v>
      </c>
      <c r="AC651" s="13" t="str">
        <f t="shared" ref="AC651:AC652" si="1957">ROUND(U651, 0) &amp; " (" &amp; ROUND(V651, 0) &amp; "-" &amp; ROUND(W651, 0) &amp; ")"</f>
        <v>3 (2-4)</v>
      </c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</row>
    <row r="652" hidden="1">
      <c r="A652" s="24" t="s">
        <v>27</v>
      </c>
      <c r="B652" s="16" t="s">
        <v>191</v>
      </c>
      <c r="C652" s="23">
        <v>2040.0</v>
      </c>
      <c r="D652" s="17">
        <f>166108+177106</f>
        <v>343214</v>
      </c>
      <c r="E652" s="10">
        <v>4.7170812E7</v>
      </c>
      <c r="F652" s="19">
        <v>0.54</v>
      </c>
      <c r="G652" s="10">
        <f t="shared" si="1"/>
        <v>254.7223848</v>
      </c>
      <c r="H652" s="19">
        <v>0.4</v>
      </c>
      <c r="I652" s="8">
        <f t="shared" si="2"/>
        <v>188.683248</v>
      </c>
      <c r="J652" s="19">
        <v>0.71</v>
      </c>
      <c r="K652" s="11">
        <f t="shared" si="3"/>
        <v>334.9127652</v>
      </c>
      <c r="L652" s="11">
        <f t="shared" si="13"/>
        <v>74.2167816</v>
      </c>
      <c r="M652" s="11">
        <f t="shared" si="1949"/>
        <v>647.5873228</v>
      </c>
      <c r="N652" s="11">
        <f t="shared" si="1950"/>
        <v>1149.467498</v>
      </c>
      <c r="O652" s="19">
        <v>0.9</v>
      </c>
      <c r="P652" s="19"/>
      <c r="Q652" s="19">
        <v>0.56</v>
      </c>
      <c r="R652" s="19"/>
      <c r="S652" s="19">
        <v>1.36</v>
      </c>
      <c r="T652" s="14"/>
      <c r="U652" s="14">
        <f t="shared" si="1951"/>
        <v>3.088926</v>
      </c>
      <c r="V652" s="14">
        <f t="shared" si="1952"/>
        <v>1.9219984</v>
      </c>
      <c r="W652" s="14">
        <f t="shared" si="1953"/>
        <v>4.6677104</v>
      </c>
      <c r="X652" s="13"/>
      <c r="Y652" s="13"/>
      <c r="Z652" s="13" t="str">
        <f t="shared" si="1954"/>
        <v>1 (0-1)</v>
      </c>
      <c r="AA652" s="13" t="str">
        <f t="shared" si="1955"/>
        <v>74 (648-1149)</v>
      </c>
      <c r="AB652" s="13" t="str">
        <f t="shared" si="1956"/>
        <v>1 (1-1)</v>
      </c>
      <c r="AC652" s="13" t="str">
        <f t="shared" si="1957"/>
        <v>3 (2-5)</v>
      </c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</row>
    <row r="653" hidden="1">
      <c r="A653" s="24" t="s">
        <v>29</v>
      </c>
      <c r="B653" s="16" t="s">
        <v>191</v>
      </c>
      <c r="C653" s="23">
        <v>2050.0</v>
      </c>
      <c r="D653" s="17">
        <f>155597+165940</f>
        <v>321537</v>
      </c>
      <c r="E653" s="10">
        <v>4.5214732E7</v>
      </c>
      <c r="F653" s="19">
        <v>0.54</v>
      </c>
      <c r="G653" s="10">
        <f t="shared" si="1"/>
        <v>244.1595528</v>
      </c>
      <c r="H653" s="19">
        <v>0.4</v>
      </c>
      <c r="I653" s="8">
        <f t="shared" si="2"/>
        <v>180.858928</v>
      </c>
      <c r="J653" s="19">
        <v>0.71</v>
      </c>
      <c r="K653" s="11">
        <f t="shared" si="3"/>
        <v>321.0245972</v>
      </c>
      <c r="L653" s="11">
        <f t="shared" si="13"/>
        <v>75.93513431</v>
      </c>
      <c r="M653" s="11">
        <f t="shared" si="1949"/>
        <v>581.5283713</v>
      </c>
      <c r="N653" s="11">
        <f t="shared" si="1950"/>
        <v>1032.212859</v>
      </c>
      <c r="O653" s="19">
        <v>0.9</v>
      </c>
      <c r="P653" s="8">
        <f t="shared" ref="P653:P654" si="1958">(O653/100000)*E653</f>
        <v>406.932588</v>
      </c>
      <c r="Q653" s="19">
        <v>0.56</v>
      </c>
      <c r="R653" s="8">
        <f t="shared" ref="R653:R654" si="1959">(Q653/100000)*E653</f>
        <v>253.2024992</v>
      </c>
      <c r="S653" s="19">
        <v>1.36</v>
      </c>
      <c r="T653" s="11">
        <f t="shared" ref="T653:T654" si="1960">(S653/100000)*E653</f>
        <v>614.9203552</v>
      </c>
      <c r="U653" s="14">
        <f t="shared" si="1951"/>
        <v>2.893833</v>
      </c>
      <c r="V653" s="14">
        <f t="shared" si="1952"/>
        <v>1.8006072</v>
      </c>
      <c r="W653" s="14">
        <f t="shared" si="1953"/>
        <v>4.3729032</v>
      </c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</row>
    <row r="654">
      <c r="A654" s="24" t="s">
        <v>23</v>
      </c>
      <c r="B654" s="16" t="s">
        <v>192</v>
      </c>
      <c r="C654" s="20">
        <v>2021.0</v>
      </c>
      <c r="D654" s="17">
        <f>55538+58589</f>
        <v>114127</v>
      </c>
      <c r="E654" s="18">
        <v>1.0415811E7</v>
      </c>
      <c r="F654" s="19">
        <v>1.02</v>
      </c>
      <c r="G654" s="10">
        <f t="shared" si="1"/>
        <v>106.2412722</v>
      </c>
      <c r="H654" s="19">
        <v>0.68</v>
      </c>
      <c r="I654" s="8">
        <f t="shared" si="2"/>
        <v>70.8275148</v>
      </c>
      <c r="J654" s="19">
        <v>1.4</v>
      </c>
      <c r="K654" s="11">
        <f t="shared" si="3"/>
        <v>145.821354</v>
      </c>
      <c r="L654" s="11">
        <f t="shared" si="13"/>
        <v>93.09039246</v>
      </c>
      <c r="M654" s="12">
        <f>(I654/D654)*100000</f>
        <v>62.06026164</v>
      </c>
      <c r="N654" s="11">
        <f>(K654/D654)*100000</f>
        <v>127.7711269</v>
      </c>
      <c r="O654" s="19">
        <v>1.53</v>
      </c>
      <c r="P654" s="8">
        <f t="shared" si="1958"/>
        <v>159.3619083</v>
      </c>
      <c r="Q654" s="19">
        <v>0.93</v>
      </c>
      <c r="R654" s="8">
        <f t="shared" si="1959"/>
        <v>96.8670423</v>
      </c>
      <c r="S654" s="19">
        <v>1.4</v>
      </c>
      <c r="T654" s="11">
        <f t="shared" si="1960"/>
        <v>145.821354</v>
      </c>
      <c r="U654" s="11">
        <f>(P654/D654)*100000</f>
        <v>139.6355887</v>
      </c>
      <c r="V654" s="11">
        <f>(R654/D654)*100000</f>
        <v>84.8765343</v>
      </c>
      <c r="W654" s="11">
        <f>(T654/D654)*100000</f>
        <v>127.7711269</v>
      </c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</row>
    <row r="655" hidden="1">
      <c r="A655" s="24" t="s">
        <v>25</v>
      </c>
      <c r="B655" s="16" t="s">
        <v>192</v>
      </c>
      <c r="C655" s="23">
        <v>2030.0</v>
      </c>
      <c r="D655" s="17">
        <f>46243+48787</f>
        <v>95030</v>
      </c>
      <c r="E655" s="10">
        <v>1.075848E7</v>
      </c>
      <c r="F655" s="19">
        <v>1.02</v>
      </c>
      <c r="G655" s="10">
        <f t="shared" si="1"/>
        <v>109.736496</v>
      </c>
      <c r="H655" s="19">
        <v>0.68</v>
      </c>
      <c r="I655" s="8">
        <f t="shared" si="2"/>
        <v>73.157664</v>
      </c>
      <c r="J655" s="19">
        <v>1.4</v>
      </c>
      <c r="K655" s="11">
        <f t="shared" si="3"/>
        <v>150.61872</v>
      </c>
      <c r="L655" s="11">
        <f t="shared" si="13"/>
        <v>115.4756351</v>
      </c>
      <c r="M655" s="11">
        <f t="shared" ref="M655:M657" si="1961">(I655*D655)/100000</f>
        <v>69.5217281</v>
      </c>
      <c r="N655" s="11">
        <f t="shared" ref="N655:N657" si="1962">(K655*D655)/100000</f>
        <v>143.1329696</v>
      </c>
      <c r="O655" s="19">
        <v>1.53</v>
      </c>
      <c r="P655" s="19"/>
      <c r="Q655" s="19">
        <v>0.93</v>
      </c>
      <c r="R655" s="19"/>
      <c r="S655" s="19">
        <v>1.4</v>
      </c>
      <c r="T655" s="14"/>
      <c r="U655" s="14">
        <f t="shared" ref="U655:U657" si="1963">(O655*D655)/100000</f>
        <v>1.453959</v>
      </c>
      <c r="V655" s="14">
        <f t="shared" ref="V655:V657" si="1964">(Q655*D655)/100000</f>
        <v>0.883779</v>
      </c>
      <c r="W655" s="14">
        <f t="shared" ref="W655:W657" si="1965">(S655*D655)/100000</f>
        <v>1.33042</v>
      </c>
      <c r="X655" s="13"/>
      <c r="Y655" s="13"/>
      <c r="Z655" s="13" t="str">
        <f t="shared" ref="Z655:Z656" si="1966">ROUND(F655, 0) &amp; " (" &amp; ROUND(H655, 0) &amp; "-" &amp; ROUND(J655, 0) &amp; ")"</f>
        <v>1 (1-1)</v>
      </c>
      <c r="AA655" s="13" t="str">
        <f t="shared" ref="AA655:AA656" si="1967">ROUND(L655, 0) &amp; " (" &amp; ROUND(M655, 0) &amp; "-" &amp; ROUND(N655, 0) &amp; ")"</f>
        <v>115 (70-143)</v>
      </c>
      <c r="AB655" s="13" t="str">
        <f t="shared" ref="AB655:AB656" si="1968">ROUND(O655, 0) &amp; " (" &amp; ROUND(Q655, 0) &amp; "-" &amp; ROUND(S655, 0) &amp; ")"</f>
        <v>2 (1-1)</v>
      </c>
      <c r="AC655" s="13" t="str">
        <f t="shared" ref="AC655:AC656" si="1969">ROUND(U655, 0) &amp; " (" &amp; ROUND(V655, 0) &amp; "-" &amp; ROUND(W655, 0) &amp; ")"</f>
        <v>1 (1-1)</v>
      </c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</row>
    <row r="656" hidden="1">
      <c r="A656" s="24" t="s">
        <v>27</v>
      </c>
      <c r="B656" s="16" t="s">
        <v>192</v>
      </c>
      <c r="C656" s="23">
        <v>2040.0</v>
      </c>
      <c r="D656" s="17">
        <f>50689+53429</f>
        <v>104118</v>
      </c>
      <c r="E656" s="10">
        <v>1.0987637E7</v>
      </c>
      <c r="F656" s="19">
        <v>1.02</v>
      </c>
      <c r="G656" s="10">
        <f t="shared" si="1"/>
        <v>112.0738974</v>
      </c>
      <c r="H656" s="19">
        <v>0.68</v>
      </c>
      <c r="I656" s="8">
        <f t="shared" si="2"/>
        <v>74.7159316</v>
      </c>
      <c r="J656" s="19">
        <v>1.4</v>
      </c>
      <c r="K656" s="11">
        <f t="shared" si="3"/>
        <v>153.826918</v>
      </c>
      <c r="L656" s="11">
        <f t="shared" si="13"/>
        <v>107.6412315</v>
      </c>
      <c r="M656" s="11">
        <f t="shared" si="1961"/>
        <v>77.79273366</v>
      </c>
      <c r="N656" s="11">
        <f t="shared" si="1962"/>
        <v>160.1615105</v>
      </c>
      <c r="O656" s="19">
        <v>1.53</v>
      </c>
      <c r="P656" s="19"/>
      <c r="Q656" s="19">
        <v>0.93</v>
      </c>
      <c r="R656" s="19"/>
      <c r="S656" s="19">
        <v>1.4</v>
      </c>
      <c r="T656" s="14"/>
      <c r="U656" s="14">
        <f t="shared" si="1963"/>
        <v>1.5930054</v>
      </c>
      <c r="V656" s="14">
        <f t="shared" si="1964"/>
        <v>0.9682974</v>
      </c>
      <c r="W656" s="14">
        <f t="shared" si="1965"/>
        <v>1.457652</v>
      </c>
      <c r="X656" s="13"/>
      <c r="Y656" s="13"/>
      <c r="Z656" s="13" t="str">
        <f t="shared" si="1966"/>
        <v>1 (1-1)</v>
      </c>
      <c r="AA656" s="13" t="str">
        <f t="shared" si="1967"/>
        <v>108 (78-160)</v>
      </c>
      <c r="AB656" s="13" t="str">
        <f t="shared" si="1968"/>
        <v>2 (1-1)</v>
      </c>
      <c r="AC656" s="13" t="str">
        <f t="shared" si="1969"/>
        <v>2 (1-1)</v>
      </c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</row>
    <row r="657" hidden="1">
      <c r="A657" s="24" t="s">
        <v>29</v>
      </c>
      <c r="B657" s="16" t="s">
        <v>192</v>
      </c>
      <c r="C657" s="23">
        <v>2050.0</v>
      </c>
      <c r="D657" s="17">
        <f>51546+54327</f>
        <v>105873</v>
      </c>
      <c r="E657" s="10">
        <v>1.1206888E7</v>
      </c>
      <c r="F657" s="19">
        <v>1.02</v>
      </c>
      <c r="G657" s="10">
        <f t="shared" si="1"/>
        <v>114.3102576</v>
      </c>
      <c r="H657" s="19">
        <v>0.68</v>
      </c>
      <c r="I657" s="8">
        <f t="shared" si="2"/>
        <v>76.2068384</v>
      </c>
      <c r="J657" s="19">
        <v>1.4</v>
      </c>
      <c r="K657" s="11">
        <f t="shared" si="3"/>
        <v>156.896432</v>
      </c>
      <c r="L657" s="11">
        <f t="shared" si="13"/>
        <v>107.969225</v>
      </c>
      <c r="M657" s="11">
        <f t="shared" si="1961"/>
        <v>80.68246602</v>
      </c>
      <c r="N657" s="11">
        <f t="shared" si="1962"/>
        <v>166.1109595</v>
      </c>
      <c r="O657" s="19">
        <v>1.53</v>
      </c>
      <c r="P657" s="8">
        <f t="shared" ref="P657:P658" si="1970">(O657/100000)*E657</f>
        <v>171.4653864</v>
      </c>
      <c r="Q657" s="19">
        <v>0.93</v>
      </c>
      <c r="R657" s="8">
        <f t="shared" ref="R657:R658" si="1971">(Q657/100000)*E657</f>
        <v>104.2240584</v>
      </c>
      <c r="S657" s="19">
        <v>1.4</v>
      </c>
      <c r="T657" s="11">
        <f t="shared" ref="T657:T658" si="1972">(S657/100000)*E657</f>
        <v>156.896432</v>
      </c>
      <c r="U657" s="14">
        <f t="shared" si="1963"/>
        <v>1.6198569</v>
      </c>
      <c r="V657" s="14">
        <f t="shared" si="1964"/>
        <v>0.9846189</v>
      </c>
      <c r="W657" s="14">
        <f t="shared" si="1965"/>
        <v>1.482222</v>
      </c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</row>
    <row r="658">
      <c r="A658" s="24" t="s">
        <v>23</v>
      </c>
      <c r="B658" s="16" t="s">
        <v>193</v>
      </c>
      <c r="C658" s="20">
        <v>2021.0</v>
      </c>
      <c r="D658" s="17">
        <f>41936+44349</f>
        <v>86285</v>
      </c>
      <c r="E658" s="18">
        <v>8704546.0</v>
      </c>
      <c r="F658" s="19">
        <v>1.9</v>
      </c>
      <c r="G658" s="10">
        <f t="shared" si="1"/>
        <v>165.386374</v>
      </c>
      <c r="H658" s="19">
        <v>1.49</v>
      </c>
      <c r="I658" s="8">
        <f t="shared" si="2"/>
        <v>129.6977354</v>
      </c>
      <c r="J658" s="19">
        <v>2.33</v>
      </c>
      <c r="K658" s="11">
        <f t="shared" si="3"/>
        <v>202.8159218</v>
      </c>
      <c r="L658" s="11">
        <f t="shared" si="13"/>
        <v>191.6745367</v>
      </c>
      <c r="M658" s="12">
        <f>(I658/D658)*100000</f>
        <v>150.3131893</v>
      </c>
      <c r="N658" s="11">
        <f>(K658/D658)*100000</f>
        <v>235.0535108</v>
      </c>
      <c r="O658" s="19">
        <v>1.81</v>
      </c>
      <c r="P658" s="8">
        <f t="shared" si="1970"/>
        <v>157.5522826</v>
      </c>
      <c r="Q658" s="19">
        <v>1.14</v>
      </c>
      <c r="R658" s="8">
        <f t="shared" si="1971"/>
        <v>99.2318244</v>
      </c>
      <c r="S658" s="19">
        <v>2.68</v>
      </c>
      <c r="T658" s="11">
        <f t="shared" si="1972"/>
        <v>233.2818328</v>
      </c>
      <c r="U658" s="11">
        <f>(P658/D658)*100000</f>
        <v>182.5952165</v>
      </c>
      <c r="V658" s="11">
        <f>(R658/D658)*100000</f>
        <v>115.004722</v>
      </c>
      <c r="W658" s="11">
        <f>(T658/D658)*100000</f>
        <v>270.3619781</v>
      </c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</row>
    <row r="659" hidden="1">
      <c r="A659" s="24" t="s">
        <v>25</v>
      </c>
      <c r="B659" s="16" t="s">
        <v>193</v>
      </c>
      <c r="C659" s="23">
        <v>2030.0</v>
      </c>
      <c r="D659" s="17">
        <f>37444+39346</f>
        <v>76790</v>
      </c>
      <c r="E659" s="10">
        <v>9210672.0</v>
      </c>
      <c r="F659" s="19">
        <v>1.9</v>
      </c>
      <c r="G659" s="10">
        <f t="shared" si="1"/>
        <v>175.002768</v>
      </c>
      <c r="H659" s="19">
        <v>1.49</v>
      </c>
      <c r="I659" s="8">
        <f t="shared" si="2"/>
        <v>137.2390128</v>
      </c>
      <c r="J659" s="19">
        <v>2.33</v>
      </c>
      <c r="K659" s="11">
        <f t="shared" si="3"/>
        <v>214.6086576</v>
      </c>
      <c r="L659" s="11">
        <f t="shared" si="13"/>
        <v>227.8978617</v>
      </c>
      <c r="M659" s="11">
        <f t="shared" ref="M659:M661" si="1973">(I659*D659)/100000</f>
        <v>105.3858379</v>
      </c>
      <c r="N659" s="11">
        <f t="shared" ref="N659:N661" si="1974">(K659*D659)/100000</f>
        <v>164.7979882</v>
      </c>
      <c r="O659" s="19">
        <v>1.81</v>
      </c>
      <c r="P659" s="19"/>
      <c r="Q659" s="19">
        <v>1.14</v>
      </c>
      <c r="R659" s="19"/>
      <c r="S659" s="19">
        <v>2.68</v>
      </c>
      <c r="T659" s="14"/>
      <c r="U659" s="14">
        <f t="shared" ref="U659:U661" si="1975">(O659*D659)/100000</f>
        <v>1.389899</v>
      </c>
      <c r="V659" s="14">
        <f t="shared" ref="V659:V661" si="1976">(Q659*D659)/100000</f>
        <v>0.875406</v>
      </c>
      <c r="W659" s="14">
        <f t="shared" ref="W659:W661" si="1977">(S659*D659)/100000</f>
        <v>2.057972</v>
      </c>
      <c r="X659" s="13"/>
      <c r="Y659" s="13"/>
      <c r="Z659" s="13" t="str">
        <f t="shared" ref="Z659:Z660" si="1978">ROUND(F659, 0) &amp; " (" &amp; ROUND(H659, 0) &amp; "-" &amp; ROUND(J659, 0) &amp; ")"</f>
        <v>2 (1-2)</v>
      </c>
      <c r="AA659" s="13" t="str">
        <f t="shared" ref="AA659:AA660" si="1979">ROUND(L659, 0) &amp; " (" &amp; ROUND(M659, 0) &amp; "-" &amp; ROUND(N659, 0) &amp; ")"</f>
        <v>228 (105-165)</v>
      </c>
      <c r="AB659" s="13" t="str">
        <f t="shared" ref="AB659:AB660" si="1980">ROUND(O659, 0) &amp; " (" &amp; ROUND(Q659, 0) &amp; "-" &amp; ROUND(S659, 0) &amp; ")"</f>
        <v>2 (1-3)</v>
      </c>
      <c r="AC659" s="13" t="str">
        <f t="shared" ref="AC659:AC660" si="1981">ROUND(U659, 0) &amp; " (" &amp; ROUND(V659, 0) &amp; "-" &amp; ROUND(W659, 0) &amp; ")"</f>
        <v>1 (1-2)</v>
      </c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</row>
    <row r="660" hidden="1">
      <c r="A660" s="24" t="s">
        <v>27</v>
      </c>
      <c r="B660" s="16" t="s">
        <v>193</v>
      </c>
      <c r="C660" s="23">
        <v>2040.0</v>
      </c>
      <c r="D660" s="17">
        <f>37379+39286</f>
        <v>76665</v>
      </c>
      <c r="E660" s="10">
        <v>9334065.0</v>
      </c>
      <c r="F660" s="19">
        <v>1.9</v>
      </c>
      <c r="G660" s="10">
        <f t="shared" si="1"/>
        <v>177.347235</v>
      </c>
      <c r="H660" s="19">
        <v>1.49</v>
      </c>
      <c r="I660" s="8">
        <f t="shared" si="2"/>
        <v>139.0775685</v>
      </c>
      <c r="J660" s="19">
        <v>2.33</v>
      </c>
      <c r="K660" s="11">
        <f t="shared" si="3"/>
        <v>217.4837145</v>
      </c>
      <c r="L660" s="11">
        <f t="shared" si="13"/>
        <v>231.3275093</v>
      </c>
      <c r="M660" s="11">
        <f t="shared" si="1973"/>
        <v>106.6238179</v>
      </c>
      <c r="N660" s="11">
        <f t="shared" si="1974"/>
        <v>166.7338897</v>
      </c>
      <c r="O660" s="19">
        <v>1.81</v>
      </c>
      <c r="P660" s="19"/>
      <c r="Q660" s="19">
        <v>1.14</v>
      </c>
      <c r="R660" s="19"/>
      <c r="S660" s="19">
        <v>2.68</v>
      </c>
      <c r="T660" s="14"/>
      <c r="U660" s="14">
        <f t="shared" si="1975"/>
        <v>1.3876365</v>
      </c>
      <c r="V660" s="14">
        <f t="shared" si="1976"/>
        <v>0.873981</v>
      </c>
      <c r="W660" s="14">
        <f t="shared" si="1977"/>
        <v>2.054622</v>
      </c>
      <c r="X660" s="13"/>
      <c r="Y660" s="13"/>
      <c r="Z660" s="13" t="str">
        <f t="shared" si="1978"/>
        <v>2 (1-2)</v>
      </c>
      <c r="AA660" s="13" t="str">
        <f t="shared" si="1979"/>
        <v>231 (107-167)</v>
      </c>
      <c r="AB660" s="13" t="str">
        <f t="shared" si="1980"/>
        <v>2 (1-3)</v>
      </c>
      <c r="AC660" s="13" t="str">
        <f t="shared" si="1981"/>
        <v>1 (1-2)</v>
      </c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</row>
    <row r="661" hidden="1">
      <c r="A661" s="24" t="s">
        <v>29</v>
      </c>
      <c r="B661" s="16" t="s">
        <v>193</v>
      </c>
      <c r="C661" s="23">
        <v>2050.0</v>
      </c>
      <c r="D661" s="17">
        <f>40030+42077</f>
        <v>82107</v>
      </c>
      <c r="E661" s="10">
        <v>9350089.0</v>
      </c>
      <c r="F661" s="19">
        <v>1.9</v>
      </c>
      <c r="G661" s="10">
        <f t="shared" si="1"/>
        <v>177.651691</v>
      </c>
      <c r="H661" s="19">
        <v>1.49</v>
      </c>
      <c r="I661" s="8">
        <f t="shared" si="2"/>
        <v>139.3163261</v>
      </c>
      <c r="J661" s="19">
        <v>2.33</v>
      </c>
      <c r="K661" s="11">
        <f t="shared" si="3"/>
        <v>217.8570737</v>
      </c>
      <c r="L661" s="11">
        <f t="shared" si="13"/>
        <v>216.3660723</v>
      </c>
      <c r="M661" s="11">
        <f t="shared" si="1973"/>
        <v>114.3884559</v>
      </c>
      <c r="N661" s="11">
        <f t="shared" si="1974"/>
        <v>178.8759075</v>
      </c>
      <c r="O661" s="19">
        <v>1.81</v>
      </c>
      <c r="P661" s="8">
        <f t="shared" ref="P661:P662" si="1982">(O661/100000)*E661</f>
        <v>169.2366109</v>
      </c>
      <c r="Q661" s="19">
        <v>1.14</v>
      </c>
      <c r="R661" s="8">
        <f t="shared" ref="R661:R662" si="1983">(Q661/100000)*E661</f>
        <v>106.5910146</v>
      </c>
      <c r="S661" s="19">
        <v>2.68</v>
      </c>
      <c r="T661" s="11">
        <f t="shared" ref="T661:T662" si="1984">(S661/100000)*E661</f>
        <v>250.5823852</v>
      </c>
      <c r="U661" s="14">
        <f t="shared" si="1975"/>
        <v>1.4861367</v>
      </c>
      <c r="V661" s="14">
        <f t="shared" si="1976"/>
        <v>0.9360198</v>
      </c>
      <c r="W661" s="14">
        <f t="shared" si="1977"/>
        <v>2.2004676</v>
      </c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</row>
    <row r="662">
      <c r="A662" s="24" t="s">
        <v>23</v>
      </c>
      <c r="B662" s="16" t="s">
        <v>194</v>
      </c>
      <c r="C662" s="20">
        <v>2021.0</v>
      </c>
      <c r="D662" s="17">
        <f>341201.5+359457</f>
        <v>700658.5</v>
      </c>
      <c r="E662" s="18">
        <v>6.6984E7</v>
      </c>
      <c r="F662" s="19">
        <v>1.51</v>
      </c>
      <c r="G662" s="10">
        <f t="shared" si="1"/>
        <v>1011.4584</v>
      </c>
      <c r="H662" s="19">
        <v>1.03</v>
      </c>
      <c r="I662" s="8">
        <f t="shared" si="2"/>
        <v>689.9352</v>
      </c>
      <c r="J662" s="19">
        <v>2.03</v>
      </c>
      <c r="K662" s="11">
        <f t="shared" si="3"/>
        <v>1359.7752</v>
      </c>
      <c r="L662" s="11">
        <f t="shared" si="13"/>
        <v>144.3582573</v>
      </c>
      <c r="M662" s="12">
        <f>(I662/D662)*100000</f>
        <v>98.46953973</v>
      </c>
      <c r="N662" s="11">
        <f>(K662/D662)*100000</f>
        <v>194.0710346</v>
      </c>
      <c r="O662" s="19">
        <v>2.17</v>
      </c>
      <c r="P662" s="8">
        <f t="shared" si="1982"/>
        <v>1453.5528</v>
      </c>
      <c r="Q662" s="19">
        <v>1.32</v>
      </c>
      <c r="R662" s="8">
        <f t="shared" si="1983"/>
        <v>884.1888</v>
      </c>
      <c r="S662" s="19">
        <v>3.32</v>
      </c>
      <c r="T662" s="11">
        <f t="shared" si="1984"/>
        <v>2223.8688</v>
      </c>
      <c r="U662" s="11">
        <f>(P662/D662)*100000</f>
        <v>207.4552439</v>
      </c>
      <c r="V662" s="11">
        <f>(R662/D662)*100000</f>
        <v>126.1939732</v>
      </c>
      <c r="W662" s="11">
        <f>(T662/D662)*100000</f>
        <v>317.396963</v>
      </c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</row>
    <row r="663" hidden="1">
      <c r="A663" s="24" t="s">
        <v>25</v>
      </c>
      <c r="B663" s="16" t="s">
        <v>194</v>
      </c>
      <c r="C663" s="23">
        <v>2030.0</v>
      </c>
      <c r="D663" s="17">
        <f>333181+351156</f>
        <v>684337</v>
      </c>
      <c r="E663" s="10">
        <v>7.1176648E7</v>
      </c>
      <c r="F663" s="19">
        <v>1.51</v>
      </c>
      <c r="G663" s="10">
        <f t="shared" si="1"/>
        <v>1074.767385</v>
      </c>
      <c r="H663" s="19">
        <v>1.03</v>
      </c>
      <c r="I663" s="8">
        <f t="shared" si="2"/>
        <v>733.1194744</v>
      </c>
      <c r="J663" s="19">
        <v>2.03</v>
      </c>
      <c r="K663" s="11">
        <f t="shared" si="3"/>
        <v>1444.885954</v>
      </c>
      <c r="L663" s="11">
        <f t="shared" si="13"/>
        <v>157.0523565</v>
      </c>
      <c r="M663" s="11">
        <f t="shared" ref="M663:M665" si="1985">(I663*D663)/100000</f>
        <v>5017.007818</v>
      </c>
      <c r="N663" s="11">
        <f t="shared" ref="N663:N665" si="1986">(K663*D663)/100000</f>
        <v>9887.889194</v>
      </c>
      <c r="O663" s="19">
        <v>2.17</v>
      </c>
      <c r="P663" s="19"/>
      <c r="Q663" s="19">
        <v>1.32</v>
      </c>
      <c r="R663" s="19"/>
      <c r="S663" s="19">
        <v>3.32</v>
      </c>
      <c r="T663" s="14"/>
      <c r="U663" s="14">
        <f t="shared" ref="U663:U665" si="1987">(O663*D663)/100000</f>
        <v>14.8501129</v>
      </c>
      <c r="V663" s="14">
        <f t="shared" ref="V663:V665" si="1988">(Q663*D663)/100000</f>
        <v>9.0332484</v>
      </c>
      <c r="W663" s="14">
        <f t="shared" ref="W663:W665" si="1989">(S663*D663)/100000</f>
        <v>22.7199884</v>
      </c>
      <c r="X663" s="13"/>
      <c r="Y663" s="13"/>
      <c r="Z663" s="13" t="str">
        <f t="shared" ref="Z663:Z664" si="1990">ROUND(F663, 0) &amp; " (" &amp; ROUND(H663, 0) &amp; "-" &amp; ROUND(J663, 0) &amp; ")"</f>
        <v>2 (1-2)</v>
      </c>
      <c r="AA663" s="13" t="str">
        <f t="shared" ref="AA663:AA664" si="1991">ROUND(L663, 0) &amp; " (" &amp; ROUND(M663, 0) &amp; "-" &amp; ROUND(N663, 0) &amp; ")"</f>
        <v>157 (5017-9888)</v>
      </c>
      <c r="AB663" s="13" t="str">
        <f t="shared" ref="AB663:AB664" si="1992">ROUND(O663, 0) &amp; " (" &amp; ROUND(Q663, 0) &amp; "-" &amp; ROUND(S663, 0) &amp; ")"</f>
        <v>2 (1-3)</v>
      </c>
      <c r="AC663" s="13" t="str">
        <f t="shared" ref="AC663:AC664" si="1993">ROUND(U663, 0) &amp; " (" &amp; ROUND(V663, 0) &amp; "-" &amp; ROUND(W663, 0) &amp; ")"</f>
        <v>15 (9-23)</v>
      </c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</row>
    <row r="664" hidden="1">
      <c r="A664" s="24" t="s">
        <v>27</v>
      </c>
      <c r="B664" s="16" t="s">
        <v>194</v>
      </c>
      <c r="C664" s="23">
        <v>2040.0</v>
      </c>
      <c r="D664" s="17">
        <f>355207+374441</f>
        <v>729648</v>
      </c>
      <c r="E664" s="10">
        <v>7.3484672E7</v>
      </c>
      <c r="F664" s="19">
        <v>1.51</v>
      </c>
      <c r="G664" s="10">
        <f t="shared" si="1"/>
        <v>1109.618547</v>
      </c>
      <c r="H664" s="19">
        <v>1.03</v>
      </c>
      <c r="I664" s="8">
        <f t="shared" si="2"/>
        <v>756.8921216</v>
      </c>
      <c r="J664" s="19">
        <v>2.03</v>
      </c>
      <c r="K664" s="11">
        <f t="shared" si="3"/>
        <v>1491.738842</v>
      </c>
      <c r="L664" s="11">
        <f t="shared" si="13"/>
        <v>152.0758704</v>
      </c>
      <c r="M664" s="11">
        <f t="shared" si="1985"/>
        <v>5522.648227</v>
      </c>
      <c r="N664" s="11">
        <f t="shared" si="1986"/>
        <v>10884.44262</v>
      </c>
      <c r="O664" s="19">
        <v>2.17</v>
      </c>
      <c r="P664" s="19"/>
      <c r="Q664" s="19">
        <v>1.32</v>
      </c>
      <c r="R664" s="19"/>
      <c r="S664" s="19">
        <v>3.32</v>
      </c>
      <c r="T664" s="14"/>
      <c r="U664" s="14">
        <f t="shared" si="1987"/>
        <v>15.8333616</v>
      </c>
      <c r="V664" s="14">
        <f t="shared" si="1988"/>
        <v>9.6313536</v>
      </c>
      <c r="W664" s="14">
        <f t="shared" si="1989"/>
        <v>24.2243136</v>
      </c>
      <c r="X664" s="13"/>
      <c r="Y664" s="13"/>
      <c r="Z664" s="13" t="str">
        <f t="shared" si="1990"/>
        <v>2 (1-2)</v>
      </c>
      <c r="AA664" s="13" t="str">
        <f t="shared" si="1991"/>
        <v>152 (5523-10884)</v>
      </c>
      <c r="AB664" s="13" t="str">
        <f t="shared" si="1992"/>
        <v>2 (1-3)</v>
      </c>
      <c r="AC664" s="13" t="str">
        <f t="shared" si="1993"/>
        <v>16 (10-24)</v>
      </c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</row>
    <row r="665" hidden="1">
      <c r="A665" s="24" t="s">
        <v>29</v>
      </c>
      <c r="B665" s="16" t="s">
        <v>194</v>
      </c>
      <c r="C665" s="23">
        <v>2050.0</v>
      </c>
      <c r="D665" s="17">
        <f>356938+376300</f>
        <v>733238</v>
      </c>
      <c r="E665" s="10">
        <v>7.50544E7</v>
      </c>
      <c r="F665" s="19">
        <v>1.51</v>
      </c>
      <c r="G665" s="10">
        <f t="shared" si="1"/>
        <v>1133.32144</v>
      </c>
      <c r="H665" s="19">
        <v>1.03</v>
      </c>
      <c r="I665" s="8">
        <f t="shared" si="2"/>
        <v>773.06032</v>
      </c>
      <c r="J665" s="19">
        <v>2.03</v>
      </c>
      <c r="K665" s="11">
        <f t="shared" si="3"/>
        <v>1523.60432</v>
      </c>
      <c r="L665" s="11">
        <f t="shared" si="13"/>
        <v>154.563926</v>
      </c>
      <c r="M665" s="11">
        <f t="shared" si="1985"/>
        <v>5668.372029</v>
      </c>
      <c r="N665" s="11">
        <f t="shared" si="1986"/>
        <v>11171.64584</v>
      </c>
      <c r="O665" s="19">
        <v>2.17</v>
      </c>
      <c r="P665" s="8">
        <f t="shared" ref="P665:P666" si="1994">(O665/100000)*E665</f>
        <v>1628.68048</v>
      </c>
      <c r="Q665" s="19">
        <v>1.32</v>
      </c>
      <c r="R665" s="8">
        <f t="shared" ref="R665:R666" si="1995">(Q665/100000)*E665</f>
        <v>990.71808</v>
      </c>
      <c r="S665" s="19">
        <v>3.32</v>
      </c>
      <c r="T665" s="11">
        <f t="shared" ref="T665:T666" si="1996">(S665/100000)*E665</f>
        <v>2491.80608</v>
      </c>
      <c r="U665" s="14">
        <f t="shared" si="1987"/>
        <v>15.9112646</v>
      </c>
      <c r="V665" s="14">
        <f t="shared" si="1988"/>
        <v>9.6787416</v>
      </c>
      <c r="W665" s="14">
        <f t="shared" si="1989"/>
        <v>24.3435016</v>
      </c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</row>
    <row r="666">
      <c r="A666" s="24" t="s">
        <v>23</v>
      </c>
      <c r="B666" s="16" t="s">
        <v>195</v>
      </c>
      <c r="C666" s="20">
        <v>2021.0</v>
      </c>
      <c r="D666" s="17">
        <f>123922+128555.5</f>
        <v>252477.5</v>
      </c>
      <c r="E666" s="18">
        <v>1.193736E7</v>
      </c>
      <c r="F666" s="19">
        <v>2.89</v>
      </c>
      <c r="G666" s="10">
        <f t="shared" si="1"/>
        <v>344.989704</v>
      </c>
      <c r="H666" s="19">
        <v>2.06</v>
      </c>
      <c r="I666" s="8">
        <f t="shared" si="2"/>
        <v>245.909616</v>
      </c>
      <c r="J666" s="19">
        <v>3.92</v>
      </c>
      <c r="K666" s="11">
        <f t="shared" si="3"/>
        <v>467.944512</v>
      </c>
      <c r="L666" s="11">
        <f t="shared" si="13"/>
        <v>136.6417617</v>
      </c>
      <c r="M666" s="12">
        <f>(I666/D666)*100000</f>
        <v>97.39862602</v>
      </c>
      <c r="N666" s="11">
        <f>(K666/D666)*100000</f>
        <v>185.3410747</v>
      </c>
      <c r="O666" s="19">
        <v>7.09</v>
      </c>
      <c r="P666" s="8">
        <f t="shared" si="1994"/>
        <v>846.358824</v>
      </c>
      <c r="Q666" s="19">
        <v>4.39</v>
      </c>
      <c r="R666" s="8">
        <f t="shared" si="1995"/>
        <v>524.050104</v>
      </c>
      <c r="S666" s="19">
        <v>11.31</v>
      </c>
      <c r="T666" s="11">
        <f t="shared" si="1996"/>
        <v>1350.115416</v>
      </c>
      <c r="U666" s="11">
        <f>(P666/D666)*100000</f>
        <v>335.2214847</v>
      </c>
      <c r="V666" s="11">
        <f>(R666/D666)*100000</f>
        <v>207.5630914</v>
      </c>
      <c r="W666" s="11">
        <f>(T666/D666)*100000</f>
        <v>534.7468254</v>
      </c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</row>
    <row r="667" hidden="1">
      <c r="A667" s="24" t="s">
        <v>25</v>
      </c>
      <c r="B667" s="16" t="s">
        <v>195</v>
      </c>
      <c r="C667" s="23">
        <v>2030.0</v>
      </c>
      <c r="D667" s="17">
        <f>125319+129860</f>
        <v>255179</v>
      </c>
      <c r="E667" s="10">
        <v>1.3405564E7</v>
      </c>
      <c r="F667" s="19">
        <v>2.89</v>
      </c>
      <c r="G667" s="10">
        <f t="shared" si="1"/>
        <v>387.4207996</v>
      </c>
      <c r="H667" s="19">
        <v>2.06</v>
      </c>
      <c r="I667" s="8">
        <f t="shared" si="2"/>
        <v>276.1546184</v>
      </c>
      <c r="J667" s="19">
        <v>3.92</v>
      </c>
      <c r="K667" s="11">
        <f t="shared" si="3"/>
        <v>525.4981088</v>
      </c>
      <c r="L667" s="11">
        <f t="shared" si="13"/>
        <v>151.8231514</v>
      </c>
      <c r="M667" s="11">
        <f t="shared" ref="M667:M669" si="1997">(I667*D667)/100000</f>
        <v>704.6885937</v>
      </c>
      <c r="N667" s="11">
        <f t="shared" ref="N667:N669" si="1998">(K667*D667)/100000</f>
        <v>1340.960819</v>
      </c>
      <c r="O667" s="19">
        <v>7.09</v>
      </c>
      <c r="P667" s="19"/>
      <c r="Q667" s="19">
        <v>4.39</v>
      </c>
      <c r="R667" s="19"/>
      <c r="S667" s="19">
        <v>11.31</v>
      </c>
      <c r="T667" s="14"/>
      <c r="U667" s="14">
        <f t="shared" ref="U667:U669" si="1999">(O667*D667)/100000</f>
        <v>18.0921911</v>
      </c>
      <c r="V667" s="14">
        <f t="shared" ref="V667:V669" si="2000">(Q667*D667)/100000</f>
        <v>11.2023581</v>
      </c>
      <c r="W667" s="14">
        <f t="shared" ref="W667:W669" si="2001">(S667*D667)/100000</f>
        <v>28.8607449</v>
      </c>
      <c r="X667" s="13"/>
      <c r="Y667" s="13"/>
      <c r="Z667" s="13" t="str">
        <f t="shared" ref="Z667:Z668" si="2002">ROUND(F667, 0) &amp; " (" &amp; ROUND(H667, 0) &amp; "-" &amp; ROUND(J667, 0) &amp; ")"</f>
        <v>3 (2-4)</v>
      </c>
      <c r="AA667" s="13" t="str">
        <f t="shared" ref="AA667:AA668" si="2003">ROUND(L667, 0) &amp; " (" &amp; ROUND(M667, 0) &amp; "-" &amp; ROUND(N667, 0) &amp; ")"</f>
        <v>152 (705-1341)</v>
      </c>
      <c r="AB667" s="13" t="str">
        <f t="shared" ref="AB667:AB668" si="2004">ROUND(O667, 0) &amp; " (" &amp; ROUND(Q667, 0) &amp; "-" &amp; ROUND(S667, 0) &amp; ")"</f>
        <v>7 (4-11)</v>
      </c>
      <c r="AC667" s="13" t="str">
        <f t="shared" ref="AC667:AC668" si="2005">ROUND(U667, 0) &amp; " (" &amp; ROUND(V667, 0) &amp; "-" &amp; ROUND(W667, 0) &amp; ")"</f>
        <v>18 (11-29)</v>
      </c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</row>
    <row r="668" hidden="1">
      <c r="A668" s="24" t="s">
        <v>27</v>
      </c>
      <c r="B668" s="16" t="s">
        <v>195</v>
      </c>
      <c r="C668" s="23">
        <v>2040.0</v>
      </c>
      <c r="D668" s="17">
        <f>122917+127248</f>
        <v>250165</v>
      </c>
      <c r="E668" s="10">
        <v>1.4899397E7</v>
      </c>
      <c r="F668" s="19">
        <v>2.89</v>
      </c>
      <c r="G668" s="10">
        <f t="shared" si="1"/>
        <v>430.5925733</v>
      </c>
      <c r="H668" s="19">
        <v>2.06</v>
      </c>
      <c r="I668" s="8">
        <f t="shared" si="2"/>
        <v>306.9275782</v>
      </c>
      <c r="J668" s="19">
        <v>3.92</v>
      </c>
      <c r="K668" s="11">
        <f t="shared" si="3"/>
        <v>584.0563624</v>
      </c>
      <c r="L668" s="11">
        <f t="shared" si="13"/>
        <v>172.1234279</v>
      </c>
      <c r="M668" s="11">
        <f t="shared" si="1997"/>
        <v>767.825376</v>
      </c>
      <c r="N668" s="11">
        <f t="shared" si="1998"/>
        <v>1461.104599</v>
      </c>
      <c r="O668" s="19">
        <v>7.09</v>
      </c>
      <c r="P668" s="19"/>
      <c r="Q668" s="19">
        <v>4.39</v>
      </c>
      <c r="R668" s="19"/>
      <c r="S668" s="19">
        <v>11.31</v>
      </c>
      <c r="T668" s="14"/>
      <c r="U668" s="14">
        <f t="shared" si="1999"/>
        <v>17.7366985</v>
      </c>
      <c r="V668" s="14">
        <f t="shared" si="2000"/>
        <v>10.9822435</v>
      </c>
      <c r="W668" s="14">
        <f t="shared" si="2001"/>
        <v>28.2936615</v>
      </c>
      <c r="X668" s="13"/>
      <c r="Y668" s="13"/>
      <c r="Z668" s="13" t="str">
        <f t="shared" si="2002"/>
        <v>3 (2-4)</v>
      </c>
      <c r="AA668" s="13" t="str">
        <f t="shared" si="2003"/>
        <v>172 (768-1461)</v>
      </c>
      <c r="AB668" s="13" t="str">
        <f t="shared" si="2004"/>
        <v>7 (4-11)</v>
      </c>
      <c r="AC668" s="13" t="str">
        <f t="shared" si="2005"/>
        <v>18 (11-28)</v>
      </c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</row>
    <row r="669" hidden="1">
      <c r="A669" s="24" t="s">
        <v>29</v>
      </c>
      <c r="B669" s="16" t="s">
        <v>195</v>
      </c>
      <c r="C669" s="23">
        <v>2050.0</v>
      </c>
      <c r="D669" s="17">
        <f>119224+123421</f>
        <v>242645</v>
      </c>
      <c r="E669" s="10">
        <v>1.6110162E7</v>
      </c>
      <c r="F669" s="19">
        <v>2.89</v>
      </c>
      <c r="G669" s="10">
        <f t="shared" si="1"/>
        <v>465.5836818</v>
      </c>
      <c r="H669" s="19">
        <v>2.06</v>
      </c>
      <c r="I669" s="8">
        <f t="shared" si="2"/>
        <v>331.8693372</v>
      </c>
      <c r="J669" s="19">
        <v>3.92</v>
      </c>
      <c r="K669" s="11">
        <f t="shared" si="3"/>
        <v>631.5183504</v>
      </c>
      <c r="L669" s="11">
        <f t="shared" si="13"/>
        <v>191.8785393</v>
      </c>
      <c r="M669" s="11">
        <f t="shared" si="1997"/>
        <v>805.2643532</v>
      </c>
      <c r="N669" s="11">
        <f t="shared" si="1998"/>
        <v>1532.347701</v>
      </c>
      <c r="O669" s="19">
        <v>7.09</v>
      </c>
      <c r="P669" s="8">
        <f t="shared" ref="P669:P670" si="2006">(O669/100000)*E669</f>
        <v>1142.210486</v>
      </c>
      <c r="Q669" s="19">
        <v>4.39</v>
      </c>
      <c r="R669" s="8">
        <f t="shared" ref="R669:R670" si="2007">(Q669/100000)*E669</f>
        <v>707.2361118</v>
      </c>
      <c r="S669" s="19">
        <v>11.31</v>
      </c>
      <c r="T669" s="11">
        <f t="shared" ref="T669:T670" si="2008">(S669/100000)*E669</f>
        <v>1822.059322</v>
      </c>
      <c r="U669" s="14">
        <f t="shared" si="1999"/>
        <v>17.2035305</v>
      </c>
      <c r="V669" s="14">
        <f t="shared" si="2000"/>
        <v>10.6521155</v>
      </c>
      <c r="W669" s="14">
        <f t="shared" si="2001"/>
        <v>27.4431495</v>
      </c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</row>
    <row r="670">
      <c r="A670" s="24" t="s">
        <v>23</v>
      </c>
      <c r="B670" s="16" t="s">
        <v>196</v>
      </c>
      <c r="C670" s="20">
        <v>2021.0</v>
      </c>
      <c r="D670" s="17">
        <f>137620+143682.5</f>
        <v>281302.5</v>
      </c>
      <c r="E670" s="18">
        <v>1.7682454E7</v>
      </c>
      <c r="F670" s="19">
        <v>1.97</v>
      </c>
      <c r="G670" s="10">
        <f t="shared" si="1"/>
        <v>348.3443438</v>
      </c>
      <c r="H670" s="19">
        <v>1.56</v>
      </c>
      <c r="I670" s="8">
        <f t="shared" si="2"/>
        <v>275.8462824</v>
      </c>
      <c r="J670" s="19">
        <v>2.46</v>
      </c>
      <c r="K670" s="11">
        <f t="shared" si="3"/>
        <v>434.9883684</v>
      </c>
      <c r="L670" s="11">
        <f t="shared" si="13"/>
        <v>123.8326513</v>
      </c>
      <c r="M670" s="12">
        <f>(I670/D670)*100000</f>
        <v>98.06037358</v>
      </c>
      <c r="N670" s="11">
        <f>(K670/D670)*100000</f>
        <v>154.633666</v>
      </c>
      <c r="O670" s="19">
        <v>2.33</v>
      </c>
      <c r="P670" s="8">
        <f t="shared" si="2006"/>
        <v>412.0011782</v>
      </c>
      <c r="Q670" s="19">
        <v>1.56</v>
      </c>
      <c r="R670" s="8">
        <f t="shared" si="2007"/>
        <v>275.8462824</v>
      </c>
      <c r="S670" s="19">
        <v>3.49</v>
      </c>
      <c r="T670" s="11">
        <f t="shared" si="2008"/>
        <v>617.1176446</v>
      </c>
      <c r="U670" s="11">
        <f>(P670/D670)*100000</f>
        <v>146.4619682</v>
      </c>
      <c r="V670" s="11">
        <f>(R670/D670)*100000</f>
        <v>98.06037358</v>
      </c>
      <c r="W670" s="11">
        <f>(T670/D670)*100000</f>
        <v>219.3786563</v>
      </c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</row>
    <row r="671" hidden="1">
      <c r="A671" s="24" t="s">
        <v>25</v>
      </c>
      <c r="B671" s="16" t="s">
        <v>196</v>
      </c>
      <c r="C671" s="23">
        <v>2030.0</v>
      </c>
      <c r="D671" s="17">
        <f>128731+134374</f>
        <v>263105</v>
      </c>
      <c r="E671" s="10">
        <v>1.9069719E7</v>
      </c>
      <c r="F671" s="19">
        <v>1.97</v>
      </c>
      <c r="G671" s="10">
        <f t="shared" si="1"/>
        <v>375.6734643</v>
      </c>
      <c r="H671" s="19">
        <v>1.56</v>
      </c>
      <c r="I671" s="8">
        <f t="shared" si="2"/>
        <v>297.4876164</v>
      </c>
      <c r="J671" s="19">
        <v>2.46</v>
      </c>
      <c r="K671" s="11">
        <f t="shared" si="3"/>
        <v>469.1150874</v>
      </c>
      <c r="L671" s="11">
        <f t="shared" si="13"/>
        <v>142.7846161</v>
      </c>
      <c r="M671" s="11">
        <f t="shared" ref="M671:M673" si="2009">(I671*D671)/100000</f>
        <v>782.7047931</v>
      </c>
      <c r="N671" s="11">
        <f t="shared" ref="N671:N673" si="2010">(K671*D671)/100000</f>
        <v>1234.265251</v>
      </c>
      <c r="O671" s="19">
        <v>2.33</v>
      </c>
      <c r="P671" s="19"/>
      <c r="Q671" s="19">
        <v>1.56</v>
      </c>
      <c r="R671" s="19"/>
      <c r="S671" s="19">
        <v>3.49</v>
      </c>
      <c r="T671" s="14"/>
      <c r="U671" s="14">
        <f t="shared" ref="U671:U673" si="2011">(O671*D671)/100000</f>
        <v>6.1303465</v>
      </c>
      <c r="V671" s="14">
        <f t="shared" ref="V671:V673" si="2012">(Q671*D671)/100000</f>
        <v>4.104438</v>
      </c>
      <c r="W671" s="14">
        <f t="shared" ref="W671:W673" si="2013">(S671*D671)/100000</f>
        <v>9.1823645</v>
      </c>
      <c r="X671" s="13"/>
      <c r="Y671" s="13"/>
      <c r="Z671" s="13" t="str">
        <f t="shared" ref="Z671:Z672" si="2014">ROUND(F671, 0) &amp; " (" &amp; ROUND(H671, 0) &amp; "-" &amp; ROUND(J671, 0) &amp; ")"</f>
        <v>2 (2-2)</v>
      </c>
      <c r="AA671" s="13" t="str">
        <f t="shared" ref="AA671:AA672" si="2015">ROUND(L671, 0) &amp; " (" &amp; ROUND(M671, 0) &amp; "-" &amp; ROUND(N671, 0) &amp; ")"</f>
        <v>143 (783-1234)</v>
      </c>
      <c r="AB671" s="13" t="str">
        <f t="shared" ref="AB671:AB672" si="2016">ROUND(O671, 0) &amp; " (" &amp; ROUND(Q671, 0) &amp; "-" &amp; ROUND(S671, 0) &amp; ")"</f>
        <v>2 (2-3)</v>
      </c>
      <c r="AC671" s="13" t="str">
        <f t="shared" ref="AC671:AC672" si="2017">ROUND(U671, 0) &amp; " (" &amp; ROUND(V671, 0) &amp; "-" &amp; ROUND(W671, 0) &amp; ")"</f>
        <v>6 (4-9)</v>
      </c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</row>
    <row r="672" hidden="1">
      <c r="A672" s="24" t="s">
        <v>27</v>
      </c>
      <c r="B672" s="16" t="s">
        <v>196</v>
      </c>
      <c r="C672" s="23">
        <v>2040.0</v>
      </c>
      <c r="D672" s="17">
        <f>122254+127710</f>
        <v>249964</v>
      </c>
      <c r="E672" s="10">
        <v>2.043422E7</v>
      </c>
      <c r="F672" s="19">
        <v>1.97</v>
      </c>
      <c r="G672" s="10">
        <f t="shared" si="1"/>
        <v>402.554134</v>
      </c>
      <c r="H672" s="19">
        <v>1.56</v>
      </c>
      <c r="I672" s="8">
        <f t="shared" si="2"/>
        <v>318.773832</v>
      </c>
      <c r="J672" s="19">
        <v>2.46</v>
      </c>
      <c r="K672" s="11">
        <f t="shared" si="3"/>
        <v>502.681812</v>
      </c>
      <c r="L672" s="11">
        <f t="shared" si="13"/>
        <v>161.0448441</v>
      </c>
      <c r="M672" s="11">
        <f t="shared" si="2009"/>
        <v>796.8198214</v>
      </c>
      <c r="N672" s="11">
        <f t="shared" si="2010"/>
        <v>1256.523565</v>
      </c>
      <c r="O672" s="19">
        <v>2.33</v>
      </c>
      <c r="P672" s="19"/>
      <c r="Q672" s="19">
        <v>1.56</v>
      </c>
      <c r="R672" s="19"/>
      <c r="S672" s="19">
        <v>3.49</v>
      </c>
      <c r="T672" s="14"/>
      <c r="U672" s="14">
        <f t="shared" si="2011"/>
        <v>5.8241612</v>
      </c>
      <c r="V672" s="14">
        <f t="shared" si="2012"/>
        <v>3.8994384</v>
      </c>
      <c r="W672" s="14">
        <f t="shared" si="2013"/>
        <v>8.7237436</v>
      </c>
      <c r="X672" s="13"/>
      <c r="Y672" s="13"/>
      <c r="Z672" s="13" t="str">
        <f t="shared" si="2014"/>
        <v>2 (2-2)</v>
      </c>
      <c r="AA672" s="13" t="str">
        <f t="shared" si="2015"/>
        <v>161 (797-1257)</v>
      </c>
      <c r="AB672" s="13" t="str">
        <f t="shared" si="2016"/>
        <v>2 (2-3)</v>
      </c>
      <c r="AC672" s="13" t="str">
        <f t="shared" si="2017"/>
        <v>6 (4-9)</v>
      </c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</row>
    <row r="673" hidden="1">
      <c r="A673" s="24" t="s">
        <v>29</v>
      </c>
      <c r="B673" s="16" t="s">
        <v>196</v>
      </c>
      <c r="C673" s="23">
        <v>2050.0</v>
      </c>
      <c r="D673" s="17">
        <f>111331+116361</f>
        <v>227692</v>
      </c>
      <c r="E673" s="10">
        <v>2.1337237E7</v>
      </c>
      <c r="F673" s="19">
        <v>1.97</v>
      </c>
      <c r="G673" s="10">
        <f t="shared" si="1"/>
        <v>420.3435689</v>
      </c>
      <c r="H673" s="19">
        <v>1.56</v>
      </c>
      <c r="I673" s="8">
        <f t="shared" si="2"/>
        <v>332.8608972</v>
      </c>
      <c r="J673" s="19">
        <v>2.46</v>
      </c>
      <c r="K673" s="11">
        <f t="shared" si="3"/>
        <v>524.8960302</v>
      </c>
      <c r="L673" s="11">
        <f t="shared" si="13"/>
        <v>184.6106007</v>
      </c>
      <c r="M673" s="11">
        <f t="shared" si="2009"/>
        <v>757.8976341</v>
      </c>
      <c r="N673" s="11">
        <f t="shared" si="2010"/>
        <v>1195.146269</v>
      </c>
      <c r="O673" s="19">
        <v>2.33</v>
      </c>
      <c r="P673" s="8">
        <f t="shared" ref="P673:P674" si="2018">(O673/100000)*E673</f>
        <v>497.1576221</v>
      </c>
      <c r="Q673" s="19">
        <v>1.56</v>
      </c>
      <c r="R673" s="8">
        <f t="shared" ref="R673:R674" si="2019">(Q673/100000)*E673</f>
        <v>332.8608972</v>
      </c>
      <c r="S673" s="19">
        <v>3.49</v>
      </c>
      <c r="T673" s="11">
        <f t="shared" ref="T673:T674" si="2020">(S673/100000)*E673</f>
        <v>744.6695713</v>
      </c>
      <c r="U673" s="14">
        <f t="shared" si="2011"/>
        <v>5.3052236</v>
      </c>
      <c r="V673" s="14">
        <f t="shared" si="2012"/>
        <v>3.5519952</v>
      </c>
      <c r="W673" s="14">
        <f t="shared" si="2013"/>
        <v>7.9464508</v>
      </c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</row>
    <row r="674">
      <c r="A674" s="24" t="s">
        <v>23</v>
      </c>
      <c r="B674" s="16" t="s">
        <v>197</v>
      </c>
      <c r="C674" s="20">
        <v>2021.0</v>
      </c>
      <c r="D674" s="17">
        <f>264694+274820.5</f>
        <v>539514.5</v>
      </c>
      <c r="E674" s="18">
        <v>3.3155882E7</v>
      </c>
      <c r="F674" s="19">
        <v>3.8</v>
      </c>
      <c r="G674" s="10">
        <f t="shared" si="1"/>
        <v>1259.923516</v>
      </c>
      <c r="H674" s="19">
        <v>2.6</v>
      </c>
      <c r="I674" s="8">
        <f t="shared" si="2"/>
        <v>862.052932</v>
      </c>
      <c r="J674" s="19">
        <v>5.16</v>
      </c>
      <c r="K674" s="11">
        <f t="shared" si="3"/>
        <v>1710.843511</v>
      </c>
      <c r="L674" s="11">
        <f t="shared" si="13"/>
        <v>233.5291296</v>
      </c>
      <c r="M674" s="12">
        <f>(I674/D674)*100000</f>
        <v>159.7830887</v>
      </c>
      <c r="N674" s="11">
        <f>(K674/D674)*100000</f>
        <v>317.107976</v>
      </c>
      <c r="O674" s="19">
        <v>5.39</v>
      </c>
      <c r="P674" s="8">
        <f t="shared" si="2018"/>
        <v>1787.10204</v>
      </c>
      <c r="Q674" s="19">
        <v>3.68</v>
      </c>
      <c r="R674" s="8">
        <f t="shared" si="2019"/>
        <v>1220.136458</v>
      </c>
      <c r="S674" s="19">
        <v>7.98</v>
      </c>
      <c r="T674" s="11">
        <f t="shared" si="2020"/>
        <v>2645.839384</v>
      </c>
      <c r="U674" s="11">
        <f>(P674/D674)*100000</f>
        <v>331.2426338</v>
      </c>
      <c r="V674" s="11">
        <f>(R674/D674)*100000</f>
        <v>226.1545255</v>
      </c>
      <c r="W674" s="11">
        <f>(T674/D674)*100000</f>
        <v>490.4111722</v>
      </c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</row>
    <row r="675" hidden="1">
      <c r="A675" s="24" t="s">
        <v>25</v>
      </c>
      <c r="B675" s="16" t="s">
        <v>197</v>
      </c>
      <c r="C675" s="23">
        <v>2030.0</v>
      </c>
      <c r="D675" s="17">
        <f>254328+264219</f>
        <v>518547</v>
      </c>
      <c r="E675" s="10">
        <v>3.619388E7</v>
      </c>
      <c r="F675" s="19">
        <v>3.8</v>
      </c>
      <c r="G675" s="10">
        <f t="shared" si="1"/>
        <v>1375.36744</v>
      </c>
      <c r="H675" s="19">
        <v>2.6</v>
      </c>
      <c r="I675" s="8">
        <f t="shared" si="2"/>
        <v>941.04088</v>
      </c>
      <c r="J675" s="19">
        <v>5.16</v>
      </c>
      <c r="K675" s="11">
        <f t="shared" si="3"/>
        <v>1867.604208</v>
      </c>
      <c r="L675" s="11">
        <f t="shared" si="13"/>
        <v>265.2348659</v>
      </c>
      <c r="M675" s="11">
        <f t="shared" ref="M675:M677" si="2021">(I675*D675)/100000</f>
        <v>4879.739252</v>
      </c>
      <c r="N675" s="11">
        <f t="shared" ref="N675:N677" si="2022">(K675*D675)/100000</f>
        <v>9684.405592</v>
      </c>
      <c r="O675" s="19">
        <v>5.39</v>
      </c>
      <c r="P675" s="19"/>
      <c r="Q675" s="19">
        <v>3.68</v>
      </c>
      <c r="R675" s="19"/>
      <c r="S675" s="19">
        <v>7.98</v>
      </c>
      <c r="T675" s="14"/>
      <c r="U675" s="14">
        <f t="shared" ref="U675:U677" si="2023">(O675*D675)/100000</f>
        <v>27.9496833</v>
      </c>
      <c r="V675" s="14">
        <f t="shared" ref="V675:V677" si="2024">(Q675*D675)/100000</f>
        <v>19.0825296</v>
      </c>
      <c r="W675" s="14">
        <f t="shared" ref="W675:W677" si="2025">(S675*D675)/100000</f>
        <v>41.3800506</v>
      </c>
      <c r="X675" s="13"/>
      <c r="Y675" s="13"/>
      <c r="Z675" s="13" t="str">
        <f t="shared" ref="Z675:Z676" si="2026">ROUND(F675, 0) &amp; " (" &amp; ROUND(H675, 0) &amp; "-" &amp; ROUND(J675, 0) &amp; ")"</f>
        <v>4 (3-5)</v>
      </c>
      <c r="AA675" s="13" t="str">
        <f t="shared" ref="AA675:AA676" si="2027">ROUND(L675, 0) &amp; " (" &amp; ROUND(M675, 0) &amp; "-" &amp; ROUND(N675, 0) &amp; ")"</f>
        <v>265 (4880-9684)</v>
      </c>
      <c r="AB675" s="13" t="str">
        <f t="shared" ref="AB675:AB676" si="2028">ROUND(O675, 0) &amp; " (" &amp; ROUND(Q675, 0) &amp; "-" &amp; ROUND(S675, 0) &amp; ")"</f>
        <v>5 (4-8)</v>
      </c>
      <c r="AC675" s="13" t="str">
        <f t="shared" ref="AC675:AC676" si="2029">ROUND(U675, 0) &amp; " (" &amp; ROUND(V675, 0) &amp; "-" &amp; ROUND(W675, 0) &amp; ")"</f>
        <v>28 (19-41)</v>
      </c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</row>
    <row r="676" hidden="1">
      <c r="A676" s="24" t="s">
        <v>27</v>
      </c>
      <c r="B676" s="16" t="s">
        <v>197</v>
      </c>
      <c r="C676" s="23">
        <v>2040.0</v>
      </c>
      <c r="D676" s="17">
        <f>238856+248474</f>
        <v>487330</v>
      </c>
      <c r="E676" s="10">
        <v>3.8794649E7</v>
      </c>
      <c r="F676" s="19">
        <v>3.8</v>
      </c>
      <c r="G676" s="10">
        <f t="shared" si="1"/>
        <v>1474.196662</v>
      </c>
      <c r="H676" s="19">
        <v>2.6</v>
      </c>
      <c r="I676" s="8">
        <f t="shared" si="2"/>
        <v>1008.660874</v>
      </c>
      <c r="J676" s="19">
        <v>5.16</v>
      </c>
      <c r="K676" s="11">
        <f t="shared" si="3"/>
        <v>2001.803888</v>
      </c>
      <c r="L676" s="11">
        <f t="shared" si="13"/>
        <v>302.5048041</v>
      </c>
      <c r="M676" s="11">
        <f t="shared" si="2021"/>
        <v>4915.507037</v>
      </c>
      <c r="N676" s="11">
        <f t="shared" si="2022"/>
        <v>9755.390889</v>
      </c>
      <c r="O676" s="19">
        <v>5.39</v>
      </c>
      <c r="P676" s="19"/>
      <c r="Q676" s="19">
        <v>3.68</v>
      </c>
      <c r="R676" s="19"/>
      <c r="S676" s="19">
        <v>7.98</v>
      </c>
      <c r="T676" s="14"/>
      <c r="U676" s="14">
        <f t="shared" si="2023"/>
        <v>26.267087</v>
      </c>
      <c r="V676" s="14">
        <f t="shared" si="2024"/>
        <v>17.933744</v>
      </c>
      <c r="W676" s="14">
        <f t="shared" si="2025"/>
        <v>38.888934</v>
      </c>
      <c r="X676" s="13"/>
      <c r="Y676" s="13"/>
      <c r="Z676" s="13" t="str">
        <f t="shared" si="2026"/>
        <v>4 (3-5)</v>
      </c>
      <c r="AA676" s="13" t="str">
        <f t="shared" si="2027"/>
        <v>303 (4916-9755)</v>
      </c>
      <c r="AB676" s="13" t="str">
        <f t="shared" si="2028"/>
        <v>5 (4-8)</v>
      </c>
      <c r="AC676" s="13" t="str">
        <f t="shared" si="2029"/>
        <v>26 (18-39)</v>
      </c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</row>
    <row r="677" hidden="1">
      <c r="A677" s="24" t="s">
        <v>29</v>
      </c>
      <c r="B677" s="16" t="s">
        <v>197</v>
      </c>
      <c r="C677" s="23">
        <v>2050.0</v>
      </c>
      <c r="D677" s="17">
        <f>222644+231694</f>
        <v>454338</v>
      </c>
      <c r="E677" s="10">
        <v>4.0583876E7</v>
      </c>
      <c r="F677" s="19">
        <v>3.8</v>
      </c>
      <c r="G677" s="10">
        <f t="shared" si="1"/>
        <v>1542.187288</v>
      </c>
      <c r="H677" s="19">
        <v>2.6</v>
      </c>
      <c r="I677" s="8">
        <f t="shared" si="2"/>
        <v>1055.180776</v>
      </c>
      <c r="J677" s="19">
        <v>5.16</v>
      </c>
      <c r="K677" s="11">
        <f t="shared" si="3"/>
        <v>2094.128002</v>
      </c>
      <c r="L677" s="11">
        <f t="shared" si="13"/>
        <v>339.436122</v>
      </c>
      <c r="M677" s="11">
        <f t="shared" si="2021"/>
        <v>4794.087234</v>
      </c>
      <c r="N677" s="11">
        <f t="shared" si="2022"/>
        <v>9514.41928</v>
      </c>
      <c r="O677" s="19">
        <v>5.39</v>
      </c>
      <c r="P677" s="8">
        <f t="shared" ref="P677:P678" si="2030">(O677/100000)*E677</f>
        <v>2187.470916</v>
      </c>
      <c r="Q677" s="19">
        <v>3.68</v>
      </c>
      <c r="R677" s="8">
        <f t="shared" ref="R677:R678" si="2031">(Q677/100000)*E677</f>
        <v>1493.486637</v>
      </c>
      <c r="S677" s="19">
        <v>7.98</v>
      </c>
      <c r="T677" s="11">
        <f t="shared" ref="T677:T678" si="2032">(S677/100000)*E677</f>
        <v>3238.593305</v>
      </c>
      <c r="U677" s="14">
        <f t="shared" si="2023"/>
        <v>24.4888182</v>
      </c>
      <c r="V677" s="14">
        <f t="shared" si="2024"/>
        <v>16.7196384</v>
      </c>
      <c r="W677" s="14">
        <f t="shared" si="2025"/>
        <v>36.2561724</v>
      </c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</row>
    <row r="678">
      <c r="A678" s="24" t="s">
        <v>23</v>
      </c>
      <c r="B678" s="16" t="s">
        <v>198</v>
      </c>
      <c r="C678" s="20">
        <v>2021.0</v>
      </c>
      <c r="D678" s="17">
        <f>547.5+564.5</f>
        <v>1112</v>
      </c>
      <c r="E678" s="18">
        <v>92349.0</v>
      </c>
      <c r="F678" s="19">
        <v>2.02</v>
      </c>
      <c r="G678" s="10">
        <f t="shared" si="1"/>
        <v>1.8654498</v>
      </c>
      <c r="H678" s="19">
        <v>1.5</v>
      </c>
      <c r="I678" s="8">
        <f t="shared" si="2"/>
        <v>1.385235</v>
      </c>
      <c r="J678" s="19">
        <v>2.65</v>
      </c>
      <c r="K678" s="11">
        <f t="shared" si="3"/>
        <v>2.4472485</v>
      </c>
      <c r="L678" s="11">
        <f t="shared" si="13"/>
        <v>167.756277</v>
      </c>
      <c r="M678" s="12">
        <f>(I678/D678)*100000</f>
        <v>124.5714928</v>
      </c>
      <c r="N678" s="11">
        <f>(K678/D678)*100000</f>
        <v>220.076304</v>
      </c>
      <c r="O678" s="19">
        <v>3.33</v>
      </c>
      <c r="P678" s="8">
        <f t="shared" si="2030"/>
        <v>3.0752217</v>
      </c>
      <c r="Q678" s="19">
        <v>2.08</v>
      </c>
      <c r="R678" s="8">
        <f t="shared" si="2031"/>
        <v>1.9208592</v>
      </c>
      <c r="S678" s="19">
        <v>4.85</v>
      </c>
      <c r="T678" s="11">
        <f t="shared" si="2032"/>
        <v>4.4789265</v>
      </c>
      <c r="U678" s="11">
        <f>(P678/D678)*100000</f>
        <v>276.548714</v>
      </c>
      <c r="V678" s="11">
        <f>(R678/D678)*100000</f>
        <v>172.7391367</v>
      </c>
      <c r="W678" s="11">
        <f>(T678/D678)*100000</f>
        <v>402.7811601</v>
      </c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</row>
    <row r="679" hidden="1">
      <c r="A679" s="24" t="s">
        <v>25</v>
      </c>
      <c r="B679" s="16" t="s">
        <v>198</v>
      </c>
      <c r="C679" s="23">
        <v>2030.0</v>
      </c>
      <c r="D679" s="17">
        <f>513+529</f>
        <v>1042</v>
      </c>
      <c r="E679" s="10">
        <v>96000.0</v>
      </c>
      <c r="F679" s="19">
        <v>2.02</v>
      </c>
      <c r="G679" s="10">
        <f t="shared" si="1"/>
        <v>1.9392</v>
      </c>
      <c r="H679" s="19">
        <v>1.5</v>
      </c>
      <c r="I679" s="8">
        <f t="shared" si="2"/>
        <v>1.44</v>
      </c>
      <c r="J679" s="19">
        <v>2.65</v>
      </c>
      <c r="K679" s="11">
        <f t="shared" si="3"/>
        <v>2.544</v>
      </c>
      <c r="L679" s="11">
        <f t="shared" si="13"/>
        <v>186.1036468</v>
      </c>
      <c r="M679" s="11">
        <f t="shared" ref="M679:M681" si="2033">(I679*D679)/100000</f>
        <v>0.0150048</v>
      </c>
      <c r="N679" s="11">
        <f t="shared" ref="N679:N681" si="2034">(K679*D679)/100000</f>
        <v>0.02650848</v>
      </c>
      <c r="O679" s="19">
        <v>3.33</v>
      </c>
      <c r="P679" s="19"/>
      <c r="Q679" s="19">
        <v>2.08</v>
      </c>
      <c r="R679" s="19"/>
      <c r="S679" s="19">
        <v>4.85</v>
      </c>
      <c r="T679" s="14"/>
      <c r="U679" s="14">
        <f t="shared" ref="U679:U681" si="2035">(O679*D679)/100000</f>
        <v>0.0346986</v>
      </c>
      <c r="V679" s="14">
        <f t="shared" ref="V679:V681" si="2036">(Q679*D679)/100000</f>
        <v>0.0216736</v>
      </c>
      <c r="W679" s="14">
        <f t="shared" ref="W679:W681" si="2037">(S679*D679)/100000</f>
        <v>0.050537</v>
      </c>
      <c r="X679" s="13"/>
      <c r="Y679" s="13"/>
      <c r="Z679" s="13" t="str">
        <f t="shared" ref="Z679:Z680" si="2038">ROUND(F679, 0) &amp; " (" &amp; ROUND(H679, 0) &amp; "-" &amp; ROUND(J679, 0) &amp; ")"</f>
        <v>2 (2-3)</v>
      </c>
      <c r="AA679" s="13" t="str">
        <f t="shared" ref="AA679:AA680" si="2039">ROUND(L679, 0) &amp; " (" &amp; ROUND(M679, 0) &amp; "-" &amp; ROUND(N679, 0) &amp; ")"</f>
        <v>186 (0-0)</v>
      </c>
      <c r="AB679" s="13" t="str">
        <f t="shared" ref="AB679:AB680" si="2040">ROUND(O679, 0) &amp; " (" &amp; ROUND(Q679, 0) &amp; "-" &amp; ROUND(S679, 0) &amp; ")"</f>
        <v>3 (2-5)</v>
      </c>
      <c r="AC679" s="13" t="str">
        <f t="shared" ref="AC679:AC680" si="2041">ROUND(U679, 0) &amp; " (" &amp; ROUND(V679, 0) &amp; "-" &amp; ROUND(W679, 0) &amp; ")"</f>
        <v>0 (0-0)</v>
      </c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</row>
    <row r="680" hidden="1">
      <c r="A680" s="24" t="s">
        <v>27</v>
      </c>
      <c r="B680" s="16" t="s">
        <v>198</v>
      </c>
      <c r="C680" s="23">
        <v>2040.0</v>
      </c>
      <c r="D680" s="17">
        <f>448+463</f>
        <v>911</v>
      </c>
      <c r="E680" s="10">
        <v>97133.0</v>
      </c>
      <c r="F680" s="19">
        <v>2.02</v>
      </c>
      <c r="G680" s="10">
        <f t="shared" si="1"/>
        <v>1.9620866</v>
      </c>
      <c r="H680" s="19">
        <v>1.5</v>
      </c>
      <c r="I680" s="8">
        <f t="shared" si="2"/>
        <v>1.456995</v>
      </c>
      <c r="J680" s="19">
        <v>2.65</v>
      </c>
      <c r="K680" s="11">
        <f t="shared" si="3"/>
        <v>2.5740245</v>
      </c>
      <c r="L680" s="11">
        <f t="shared" si="13"/>
        <v>215.3772338</v>
      </c>
      <c r="M680" s="11">
        <f t="shared" si="2033"/>
        <v>0.01327322445</v>
      </c>
      <c r="N680" s="11">
        <f t="shared" si="2034"/>
        <v>0.0234493632</v>
      </c>
      <c r="O680" s="19">
        <v>3.33</v>
      </c>
      <c r="P680" s="19"/>
      <c r="Q680" s="19">
        <v>2.08</v>
      </c>
      <c r="R680" s="19"/>
      <c r="S680" s="19">
        <v>4.85</v>
      </c>
      <c r="T680" s="14"/>
      <c r="U680" s="14">
        <f t="shared" si="2035"/>
        <v>0.0303363</v>
      </c>
      <c r="V680" s="14">
        <f t="shared" si="2036"/>
        <v>0.0189488</v>
      </c>
      <c r="W680" s="14">
        <f t="shared" si="2037"/>
        <v>0.0441835</v>
      </c>
      <c r="X680" s="13"/>
      <c r="Y680" s="13"/>
      <c r="Z680" s="13" t="str">
        <f t="shared" si="2038"/>
        <v>2 (2-3)</v>
      </c>
      <c r="AA680" s="13" t="str">
        <f t="shared" si="2039"/>
        <v>215 (0-0)</v>
      </c>
      <c r="AB680" s="13" t="str">
        <f t="shared" si="2040"/>
        <v>3 (2-5)</v>
      </c>
      <c r="AC680" s="13" t="str">
        <f t="shared" si="2041"/>
        <v>0 (0-0)</v>
      </c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</row>
    <row r="681" hidden="1">
      <c r="A681" s="24" t="s">
        <v>29</v>
      </c>
      <c r="B681" s="16" t="s">
        <v>198</v>
      </c>
      <c r="C681" s="23">
        <v>2050.0</v>
      </c>
      <c r="D681" s="17">
        <f>404+417</f>
        <v>821</v>
      </c>
      <c r="E681" s="10">
        <v>95055.0</v>
      </c>
      <c r="F681" s="19">
        <v>2.02</v>
      </c>
      <c r="G681" s="10">
        <f t="shared" si="1"/>
        <v>1.920111</v>
      </c>
      <c r="H681" s="19">
        <v>1.5</v>
      </c>
      <c r="I681" s="8">
        <f t="shared" si="2"/>
        <v>1.425825</v>
      </c>
      <c r="J681" s="19">
        <v>2.65</v>
      </c>
      <c r="K681" s="11">
        <f t="shared" si="3"/>
        <v>2.5189575</v>
      </c>
      <c r="L681" s="11">
        <f t="shared" si="13"/>
        <v>233.874665</v>
      </c>
      <c r="M681" s="11">
        <f t="shared" si="2033"/>
        <v>0.01170602325</v>
      </c>
      <c r="N681" s="11">
        <f t="shared" si="2034"/>
        <v>0.02068064108</v>
      </c>
      <c r="O681" s="19">
        <v>3.33</v>
      </c>
      <c r="P681" s="8">
        <f t="shared" ref="P681:P682" si="2042">(O681/100000)*E681</f>
        <v>3.1653315</v>
      </c>
      <c r="Q681" s="19">
        <v>2.08</v>
      </c>
      <c r="R681" s="8">
        <f t="shared" ref="R681:R682" si="2043">(Q681/100000)*E681</f>
        <v>1.977144</v>
      </c>
      <c r="S681" s="19">
        <v>4.85</v>
      </c>
      <c r="T681" s="11">
        <f t="shared" ref="T681:T682" si="2044">(S681/100000)*E681</f>
        <v>4.6101675</v>
      </c>
      <c r="U681" s="14">
        <f t="shared" si="2035"/>
        <v>0.0273393</v>
      </c>
      <c r="V681" s="14">
        <f t="shared" si="2036"/>
        <v>0.0170768</v>
      </c>
      <c r="W681" s="14">
        <f t="shared" si="2037"/>
        <v>0.0398185</v>
      </c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</row>
    <row r="682">
      <c r="A682" s="24" t="s">
        <v>23</v>
      </c>
      <c r="B682" s="16" t="s">
        <v>199</v>
      </c>
      <c r="C682" s="20">
        <v>2021.0</v>
      </c>
      <c r="D682" s="17">
        <f>2145+2201</f>
        <v>4346</v>
      </c>
      <c r="E682" s="18">
        <v>396373.0</v>
      </c>
      <c r="F682" s="19">
        <v>1.03</v>
      </c>
      <c r="G682" s="10">
        <f t="shared" si="1"/>
        <v>4.0826419</v>
      </c>
      <c r="H682" s="19">
        <v>0.67</v>
      </c>
      <c r="I682" s="8">
        <f t="shared" si="2"/>
        <v>2.6556991</v>
      </c>
      <c r="J682" s="19">
        <v>1.57</v>
      </c>
      <c r="K682" s="11">
        <f t="shared" si="3"/>
        <v>6.2230561</v>
      </c>
      <c r="L682" s="11">
        <f t="shared" si="13"/>
        <v>93.94021859</v>
      </c>
      <c r="M682" s="12">
        <f>(I682/D682)*100000</f>
        <v>61.10674413</v>
      </c>
      <c r="N682" s="11">
        <f>(K682/D682)*100000</f>
        <v>143.1904303</v>
      </c>
      <c r="O682" s="19">
        <v>2.87</v>
      </c>
      <c r="P682" s="8">
        <f t="shared" si="2042"/>
        <v>11.3759051</v>
      </c>
      <c r="Q682" s="19">
        <v>1.7</v>
      </c>
      <c r="R682" s="8">
        <f t="shared" si="2043"/>
        <v>6.738341</v>
      </c>
      <c r="S682" s="19">
        <v>4.4</v>
      </c>
      <c r="T682" s="11">
        <f t="shared" si="2044"/>
        <v>17.440412</v>
      </c>
      <c r="U682" s="11">
        <f>(P682/D682)*100000</f>
        <v>261.7557547</v>
      </c>
      <c r="V682" s="11">
        <f>(R682/D682)*100000</f>
        <v>155.0469627</v>
      </c>
      <c r="W682" s="11">
        <f>(T682/D682)*100000</f>
        <v>401.2980212</v>
      </c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</row>
    <row r="683" hidden="1">
      <c r="A683" s="24" t="s">
        <v>25</v>
      </c>
      <c r="B683" s="16" t="s">
        <v>199</v>
      </c>
      <c r="C683" s="23">
        <v>2030.0</v>
      </c>
      <c r="D683" s="17">
        <f>2071+2121</f>
        <v>4192</v>
      </c>
      <c r="E683" s="10">
        <v>410267.0</v>
      </c>
      <c r="F683" s="19">
        <v>1.03</v>
      </c>
      <c r="G683" s="10">
        <f t="shared" si="1"/>
        <v>4.2257501</v>
      </c>
      <c r="H683" s="19">
        <v>0.67</v>
      </c>
      <c r="I683" s="8">
        <f t="shared" si="2"/>
        <v>2.7487889</v>
      </c>
      <c r="J683" s="19">
        <v>1.57</v>
      </c>
      <c r="K683" s="11">
        <f t="shared" si="3"/>
        <v>6.4411919</v>
      </c>
      <c r="L683" s="11">
        <f t="shared" si="13"/>
        <v>100.8051073</v>
      </c>
      <c r="M683" s="11">
        <f t="shared" ref="M683:M685" si="2045">(I683*D683)/100000</f>
        <v>0.1152292307</v>
      </c>
      <c r="N683" s="11">
        <f t="shared" ref="N683:N685" si="2046">(K683*D683)/100000</f>
        <v>0.2700147644</v>
      </c>
      <c r="O683" s="19">
        <v>2.87</v>
      </c>
      <c r="P683" s="19"/>
      <c r="Q683" s="19">
        <v>1.7</v>
      </c>
      <c r="R683" s="19"/>
      <c r="S683" s="19">
        <v>4.4</v>
      </c>
      <c r="T683" s="14"/>
      <c r="U683" s="14">
        <f t="shared" ref="U683:U685" si="2047">(O683*D683)/100000</f>
        <v>0.1203104</v>
      </c>
      <c r="V683" s="14">
        <f t="shared" ref="V683:V685" si="2048">(Q683*D683)/100000</f>
        <v>0.071264</v>
      </c>
      <c r="W683" s="14">
        <f t="shared" ref="W683:W685" si="2049">(S683*D683)/100000</f>
        <v>0.184448</v>
      </c>
      <c r="X683" s="13"/>
      <c r="Y683" s="13"/>
      <c r="Z683" s="13" t="str">
        <f t="shared" ref="Z683:Z684" si="2050">ROUND(F683, 0) &amp; " (" &amp; ROUND(H683, 0) &amp; "-" &amp; ROUND(J683, 0) &amp; ")"</f>
        <v>1 (1-2)</v>
      </c>
      <c r="AA683" s="13" t="str">
        <f t="shared" ref="AA683:AA684" si="2051">ROUND(L683, 0) &amp; " (" &amp; ROUND(M683, 0) &amp; "-" &amp; ROUND(N683, 0) &amp; ")"</f>
        <v>101 (0-0)</v>
      </c>
      <c r="AB683" s="13" t="str">
        <f t="shared" ref="AB683:AB684" si="2052">ROUND(O683, 0) &amp; " (" &amp; ROUND(Q683, 0) &amp; "-" &amp; ROUND(S683, 0) &amp; ")"</f>
        <v>3 (2-4)</v>
      </c>
      <c r="AC683" s="13" t="str">
        <f t="shared" ref="AC683:AC684" si="2053">ROUND(U683, 0) &amp; " (" &amp; ROUND(V683, 0) &amp; "-" &amp; ROUND(W683, 0) &amp; ")"</f>
        <v>0 (0-0)</v>
      </c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</row>
    <row r="684" hidden="1">
      <c r="A684" s="24" t="s">
        <v>27</v>
      </c>
      <c r="B684" s="16" t="s">
        <v>199</v>
      </c>
      <c r="C684" s="23">
        <v>2040.0</v>
      </c>
      <c r="D684" s="17">
        <f>1990+2039</f>
        <v>4029</v>
      </c>
      <c r="E684" s="10">
        <v>420346.0</v>
      </c>
      <c r="F684" s="19">
        <v>1.03</v>
      </c>
      <c r="G684" s="10">
        <f t="shared" si="1"/>
        <v>4.3295638</v>
      </c>
      <c r="H684" s="19">
        <v>0.67</v>
      </c>
      <c r="I684" s="8">
        <f t="shared" si="2"/>
        <v>2.8163182</v>
      </c>
      <c r="J684" s="19">
        <v>1.57</v>
      </c>
      <c r="K684" s="11">
        <f t="shared" si="3"/>
        <v>6.5994322</v>
      </c>
      <c r="L684" s="11">
        <f t="shared" si="13"/>
        <v>107.4600099</v>
      </c>
      <c r="M684" s="11">
        <f t="shared" si="2045"/>
        <v>0.1134694603</v>
      </c>
      <c r="N684" s="11">
        <f t="shared" si="2046"/>
        <v>0.2658911233</v>
      </c>
      <c r="O684" s="19">
        <v>2.87</v>
      </c>
      <c r="P684" s="19"/>
      <c r="Q684" s="19">
        <v>1.7</v>
      </c>
      <c r="R684" s="19"/>
      <c r="S684" s="19">
        <v>4.4</v>
      </c>
      <c r="T684" s="14"/>
      <c r="U684" s="14">
        <f t="shared" si="2047"/>
        <v>0.1156323</v>
      </c>
      <c r="V684" s="14">
        <f t="shared" si="2048"/>
        <v>0.068493</v>
      </c>
      <c r="W684" s="14">
        <f t="shared" si="2049"/>
        <v>0.177276</v>
      </c>
      <c r="X684" s="13"/>
      <c r="Y684" s="13"/>
      <c r="Z684" s="13" t="str">
        <f t="shared" si="2050"/>
        <v>1 (1-2)</v>
      </c>
      <c r="AA684" s="13" t="str">
        <f t="shared" si="2051"/>
        <v>107 (0-0)</v>
      </c>
      <c r="AB684" s="13" t="str">
        <f t="shared" si="2052"/>
        <v>3 (2-4)</v>
      </c>
      <c r="AC684" s="13" t="str">
        <f t="shared" si="2053"/>
        <v>0 (0-0)</v>
      </c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</row>
    <row r="685" hidden="1">
      <c r="A685" s="24" t="s">
        <v>29</v>
      </c>
      <c r="B685" s="16" t="s">
        <v>199</v>
      </c>
      <c r="C685" s="23">
        <v>2050.0</v>
      </c>
      <c r="D685" s="17">
        <f>1873+1921</f>
        <v>3794</v>
      </c>
      <c r="E685" s="10">
        <v>424265.0</v>
      </c>
      <c r="F685" s="19">
        <v>1.03</v>
      </c>
      <c r="G685" s="10">
        <f t="shared" si="1"/>
        <v>4.3699295</v>
      </c>
      <c r="H685" s="19">
        <v>0.67</v>
      </c>
      <c r="I685" s="8">
        <f t="shared" si="2"/>
        <v>2.8425755</v>
      </c>
      <c r="J685" s="19">
        <v>1.57</v>
      </c>
      <c r="K685" s="11">
        <f t="shared" si="3"/>
        <v>6.6609605</v>
      </c>
      <c r="L685" s="11">
        <f t="shared" si="13"/>
        <v>115.1800079</v>
      </c>
      <c r="M685" s="11">
        <f t="shared" si="2045"/>
        <v>0.1078473145</v>
      </c>
      <c r="N685" s="11">
        <f t="shared" si="2046"/>
        <v>0.2527168414</v>
      </c>
      <c r="O685" s="19">
        <v>2.87</v>
      </c>
      <c r="P685" s="8">
        <f t="shared" ref="P685:P686" si="2054">(O685/100000)*E685</f>
        <v>12.1764055</v>
      </c>
      <c r="Q685" s="19">
        <v>1.7</v>
      </c>
      <c r="R685" s="8">
        <f t="shared" ref="R685:R686" si="2055">(Q685/100000)*E685</f>
        <v>7.212505</v>
      </c>
      <c r="S685" s="19">
        <v>4.4</v>
      </c>
      <c r="T685" s="11">
        <f t="shared" ref="T685:T686" si="2056">(S685/100000)*E685</f>
        <v>18.66766</v>
      </c>
      <c r="U685" s="14">
        <f t="shared" si="2047"/>
        <v>0.1088878</v>
      </c>
      <c r="V685" s="14">
        <f t="shared" si="2048"/>
        <v>0.064498</v>
      </c>
      <c r="W685" s="14">
        <f t="shared" si="2049"/>
        <v>0.166936</v>
      </c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</row>
    <row r="686">
      <c r="A686" s="24" t="s">
        <v>23</v>
      </c>
      <c r="B686" s="16" t="s">
        <v>200</v>
      </c>
      <c r="C686" s="20">
        <v>2021.0</v>
      </c>
      <c r="D686" s="18">
        <f>1554+1606</f>
        <v>3160</v>
      </c>
      <c r="E686" s="18">
        <v>282147.0</v>
      </c>
      <c r="F686" s="19">
        <v>0.88</v>
      </c>
      <c r="G686" s="10">
        <f t="shared" si="1"/>
        <v>2.4828936</v>
      </c>
      <c r="H686" s="19">
        <v>0.59</v>
      </c>
      <c r="I686" s="8">
        <f t="shared" si="2"/>
        <v>1.6646673</v>
      </c>
      <c r="J686" s="19">
        <v>1.28</v>
      </c>
      <c r="K686" s="11">
        <f t="shared" si="3"/>
        <v>3.6114816</v>
      </c>
      <c r="L686" s="11">
        <f t="shared" si="13"/>
        <v>78.57258228</v>
      </c>
      <c r="M686" s="12">
        <f>(I686/D686)*100000</f>
        <v>52.67934494</v>
      </c>
      <c r="N686" s="11">
        <f>(K686/D686)*100000</f>
        <v>114.2873924</v>
      </c>
      <c r="O686" s="19">
        <v>2.71</v>
      </c>
      <c r="P686" s="8">
        <f t="shared" si="2054"/>
        <v>7.6461837</v>
      </c>
      <c r="Q686" s="19">
        <v>1.64</v>
      </c>
      <c r="R686" s="8">
        <f t="shared" si="2055"/>
        <v>4.6272108</v>
      </c>
      <c r="S686" s="19">
        <v>4.29</v>
      </c>
      <c r="T686" s="11">
        <f t="shared" si="2056"/>
        <v>12.1041063</v>
      </c>
      <c r="U686" s="11">
        <f>(P686/D686)*100000</f>
        <v>241.9678386</v>
      </c>
      <c r="V686" s="11">
        <f>(R686/D686)*100000</f>
        <v>146.4307215</v>
      </c>
      <c r="W686" s="11">
        <f>(T686/D686)*100000</f>
        <v>383.0413386</v>
      </c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</row>
    <row r="687" hidden="1">
      <c r="A687" s="24" t="s">
        <v>25</v>
      </c>
      <c r="B687" s="16" t="s">
        <v>200</v>
      </c>
      <c r="C687" s="23">
        <v>2030.0</v>
      </c>
      <c r="D687" s="17">
        <f>1475+1522</f>
        <v>2997</v>
      </c>
      <c r="E687" s="10">
        <v>282490.0</v>
      </c>
      <c r="F687" s="19">
        <v>0.88</v>
      </c>
      <c r="G687" s="10">
        <f t="shared" si="1"/>
        <v>2.485912</v>
      </c>
      <c r="H687" s="19">
        <v>0.59</v>
      </c>
      <c r="I687" s="8">
        <f t="shared" si="2"/>
        <v>1.666691</v>
      </c>
      <c r="J687" s="19">
        <v>1.28</v>
      </c>
      <c r="K687" s="11">
        <f t="shared" si="3"/>
        <v>3.615872</v>
      </c>
      <c r="L687" s="11">
        <f t="shared" si="13"/>
        <v>82.94668001</v>
      </c>
      <c r="M687" s="11">
        <f t="shared" ref="M687:M689" si="2057">(I687*D687)/100000</f>
        <v>0.04995072927</v>
      </c>
      <c r="N687" s="11">
        <f t="shared" ref="N687:N689" si="2058">(K687*D687)/100000</f>
        <v>0.1083676838</v>
      </c>
      <c r="O687" s="19">
        <v>2.71</v>
      </c>
      <c r="P687" s="19"/>
      <c r="Q687" s="19">
        <v>1.64</v>
      </c>
      <c r="R687" s="19"/>
      <c r="S687" s="19">
        <v>4.29</v>
      </c>
      <c r="T687" s="14"/>
      <c r="U687" s="14">
        <f t="shared" ref="U687:U689" si="2059">(O687*D687)/100000</f>
        <v>0.0812187</v>
      </c>
      <c r="V687" s="14">
        <f t="shared" ref="V687:V689" si="2060">(Q687*D687)/100000</f>
        <v>0.0491508</v>
      </c>
      <c r="W687" s="14">
        <f t="shared" ref="W687:W689" si="2061">(S687*D687)/100000</f>
        <v>0.1285713</v>
      </c>
      <c r="X687" s="13"/>
      <c r="Y687" s="13"/>
      <c r="Z687" s="13" t="str">
        <f t="shared" ref="Z687:Z688" si="2062">ROUND(F687, 0) &amp; " (" &amp; ROUND(H687, 0) &amp; "-" &amp; ROUND(J687, 0) &amp; ")"</f>
        <v>1 (1-1)</v>
      </c>
      <c r="AA687" s="13" t="str">
        <f t="shared" ref="AA687:AA688" si="2063">ROUND(L687, 0) &amp; " (" &amp; ROUND(M687, 0) &amp; "-" &amp; ROUND(N687, 0) &amp; ")"</f>
        <v>83 (0-0)</v>
      </c>
      <c r="AB687" s="13" t="str">
        <f t="shared" ref="AB687:AB688" si="2064">ROUND(O687, 0) &amp; " (" &amp; ROUND(Q687, 0) &amp; "-" &amp; ROUND(S687, 0) &amp; ")"</f>
        <v>3 (2-4)</v>
      </c>
      <c r="AC687" s="13" t="str">
        <f t="shared" ref="AC687:AC688" si="2065">ROUND(U687, 0) &amp; " (" &amp; ROUND(V687, 0) &amp; "-" &amp; ROUND(W687, 0) &amp; ")"</f>
        <v>0 (0-0)</v>
      </c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</row>
    <row r="688" hidden="1">
      <c r="A688" s="24" t="s">
        <v>27</v>
      </c>
      <c r="B688" s="16" t="s">
        <v>200</v>
      </c>
      <c r="C688" s="23">
        <v>2040.0</v>
      </c>
      <c r="D688" s="17">
        <f>1340+1383</f>
        <v>2723</v>
      </c>
      <c r="E688" s="10">
        <v>276346.0</v>
      </c>
      <c r="F688" s="19">
        <v>0.88</v>
      </c>
      <c r="G688" s="10">
        <f t="shared" si="1"/>
        <v>2.4318448</v>
      </c>
      <c r="H688" s="19">
        <v>0.59</v>
      </c>
      <c r="I688" s="8">
        <f t="shared" si="2"/>
        <v>1.6304414</v>
      </c>
      <c r="J688" s="19">
        <v>1.28</v>
      </c>
      <c r="K688" s="11">
        <f t="shared" si="3"/>
        <v>3.5372288</v>
      </c>
      <c r="L688" s="11">
        <f t="shared" si="13"/>
        <v>89.30755784</v>
      </c>
      <c r="M688" s="11">
        <f t="shared" si="2057"/>
        <v>0.04439691932</v>
      </c>
      <c r="N688" s="11">
        <f t="shared" si="2058"/>
        <v>0.09631874022</v>
      </c>
      <c r="O688" s="19">
        <v>2.71</v>
      </c>
      <c r="P688" s="19"/>
      <c r="Q688" s="19">
        <v>1.64</v>
      </c>
      <c r="R688" s="19"/>
      <c r="S688" s="19">
        <v>4.29</v>
      </c>
      <c r="T688" s="14"/>
      <c r="U688" s="14">
        <f t="shared" si="2059"/>
        <v>0.0737933</v>
      </c>
      <c r="V688" s="14">
        <f t="shared" si="2060"/>
        <v>0.0446572</v>
      </c>
      <c r="W688" s="14">
        <f t="shared" si="2061"/>
        <v>0.1168167</v>
      </c>
      <c r="X688" s="13"/>
      <c r="Y688" s="13"/>
      <c r="Z688" s="13" t="str">
        <f t="shared" si="2062"/>
        <v>1 (1-1)</v>
      </c>
      <c r="AA688" s="13" t="str">
        <f t="shared" si="2063"/>
        <v>89 (0-0)</v>
      </c>
      <c r="AB688" s="13" t="str">
        <f t="shared" si="2064"/>
        <v>3 (2-4)</v>
      </c>
      <c r="AC688" s="13" t="str">
        <f t="shared" si="2065"/>
        <v>0 (0-0)</v>
      </c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</row>
    <row r="689" hidden="1">
      <c r="A689" s="24" t="s">
        <v>29</v>
      </c>
      <c r="B689" s="16" t="s">
        <v>200</v>
      </c>
      <c r="C689" s="23">
        <v>2050.0</v>
      </c>
      <c r="D689" s="17">
        <f>1216+1257</f>
        <v>2473</v>
      </c>
      <c r="E689" s="10">
        <v>264216.0</v>
      </c>
      <c r="F689" s="19">
        <v>0.88</v>
      </c>
      <c r="G689" s="10">
        <f t="shared" si="1"/>
        <v>2.3251008</v>
      </c>
      <c r="H689" s="19">
        <v>0.59</v>
      </c>
      <c r="I689" s="8">
        <f t="shared" si="2"/>
        <v>1.5588744</v>
      </c>
      <c r="J689" s="19">
        <v>1.28</v>
      </c>
      <c r="K689" s="11">
        <f t="shared" si="3"/>
        <v>3.3819648</v>
      </c>
      <c r="L689" s="11">
        <f t="shared" si="13"/>
        <v>94.01944197</v>
      </c>
      <c r="M689" s="11">
        <f t="shared" si="2057"/>
        <v>0.03855096391</v>
      </c>
      <c r="N689" s="11">
        <f t="shared" si="2058"/>
        <v>0.0836359895</v>
      </c>
      <c r="O689" s="19">
        <v>2.71</v>
      </c>
      <c r="P689" s="8">
        <f t="shared" ref="P689:P690" si="2066">(O689/100000)*E689</f>
        <v>7.1602536</v>
      </c>
      <c r="Q689" s="19">
        <v>1.64</v>
      </c>
      <c r="R689" s="8">
        <f t="shared" ref="R689:R690" si="2067">(Q689/100000)*E689</f>
        <v>4.3331424</v>
      </c>
      <c r="S689" s="19">
        <v>4.29</v>
      </c>
      <c r="T689" s="11">
        <f t="shared" ref="T689:T690" si="2068">(S689/100000)*E689</f>
        <v>11.3348664</v>
      </c>
      <c r="U689" s="14">
        <f t="shared" si="2059"/>
        <v>0.0670183</v>
      </c>
      <c r="V689" s="14">
        <f t="shared" si="2060"/>
        <v>0.0405572</v>
      </c>
      <c r="W689" s="14">
        <f t="shared" si="2061"/>
        <v>0.1060917</v>
      </c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</row>
    <row r="690">
      <c r="A690" s="24" t="s">
        <v>23</v>
      </c>
      <c r="B690" s="16" t="s">
        <v>201</v>
      </c>
      <c r="C690" s="20">
        <v>2021.0</v>
      </c>
      <c r="D690" s="17">
        <f>3315+3479.5</f>
        <v>6794.5</v>
      </c>
      <c r="E690" s="18">
        <v>395346.0</v>
      </c>
      <c r="F690" s="19">
        <v>1.78</v>
      </c>
      <c r="G690" s="10">
        <f t="shared" si="1"/>
        <v>7.0371588</v>
      </c>
      <c r="H690" s="19">
        <v>1.26</v>
      </c>
      <c r="I690" s="8">
        <f t="shared" si="2"/>
        <v>4.9813596</v>
      </c>
      <c r="J690" s="19">
        <v>2.5</v>
      </c>
      <c r="K690" s="11">
        <f t="shared" si="3"/>
        <v>9.88365</v>
      </c>
      <c r="L690" s="11">
        <f t="shared" si="13"/>
        <v>103.5714004</v>
      </c>
      <c r="M690" s="12">
        <f>(I690/D690)*100000</f>
        <v>73.3145868</v>
      </c>
      <c r="N690" s="11">
        <f>(K690/D690)*100000</f>
        <v>145.46545</v>
      </c>
      <c r="O690" s="19">
        <v>3.2</v>
      </c>
      <c r="P690" s="8">
        <f t="shared" si="2066"/>
        <v>12.651072</v>
      </c>
      <c r="Q690" s="19">
        <v>2.04</v>
      </c>
      <c r="R690" s="8">
        <f t="shared" si="2067"/>
        <v>8.0650584</v>
      </c>
      <c r="S690" s="19">
        <v>4.68</v>
      </c>
      <c r="T690" s="11">
        <f t="shared" si="2068"/>
        <v>18.5021928</v>
      </c>
      <c r="U690" s="11">
        <f>(P690/D690)*100000</f>
        <v>186.195776</v>
      </c>
      <c r="V690" s="11">
        <f>(R690/D690)*100000</f>
        <v>118.6998072</v>
      </c>
      <c r="W690" s="11">
        <f>(T690/D690)*100000</f>
        <v>272.3113224</v>
      </c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</row>
    <row r="691" hidden="1">
      <c r="A691" s="24" t="s">
        <v>25</v>
      </c>
      <c r="B691" s="16" t="s">
        <v>201</v>
      </c>
      <c r="C691" s="23">
        <v>2030.0</v>
      </c>
      <c r="D691" s="17">
        <f>3498+3674</f>
        <v>7172</v>
      </c>
      <c r="E691" s="10">
        <v>449839.0</v>
      </c>
      <c r="F691" s="19">
        <v>1.78</v>
      </c>
      <c r="G691" s="10">
        <f t="shared" si="1"/>
        <v>8.0071342</v>
      </c>
      <c r="H691" s="19">
        <v>1.26</v>
      </c>
      <c r="I691" s="8">
        <f t="shared" si="2"/>
        <v>5.6679714</v>
      </c>
      <c r="J691" s="19">
        <v>2.5</v>
      </c>
      <c r="K691" s="11">
        <f t="shared" si="3"/>
        <v>11.245975</v>
      </c>
      <c r="L691" s="11">
        <f t="shared" si="13"/>
        <v>111.6443698</v>
      </c>
      <c r="M691" s="11">
        <f t="shared" ref="M691:M693" si="2069">(I691*D691)/100000</f>
        <v>0.4065069088</v>
      </c>
      <c r="N691" s="11">
        <f t="shared" ref="N691:N693" si="2070">(K691*D691)/100000</f>
        <v>0.806561327</v>
      </c>
      <c r="O691" s="19">
        <v>3.2</v>
      </c>
      <c r="P691" s="19"/>
      <c r="Q691" s="19">
        <v>2.04</v>
      </c>
      <c r="R691" s="19"/>
      <c r="S691" s="19">
        <v>4.68</v>
      </c>
      <c r="T691" s="14"/>
      <c r="U691" s="14">
        <f t="shared" ref="U691:U693" si="2071">(O691*D691)/100000</f>
        <v>0.229504</v>
      </c>
      <c r="V691" s="14">
        <f t="shared" ref="V691:V693" si="2072">(Q691*D691)/100000</f>
        <v>0.1463088</v>
      </c>
      <c r="W691" s="14">
        <f t="shared" ref="W691:W693" si="2073">(S691*D691)/100000</f>
        <v>0.3356496</v>
      </c>
      <c r="X691" s="13"/>
      <c r="Y691" s="13"/>
      <c r="Z691" s="13" t="str">
        <f t="shared" ref="Z691:Z692" si="2074">ROUND(F691, 0) &amp; " (" &amp; ROUND(H691, 0) &amp; "-" &amp; ROUND(J691, 0) &amp; ")"</f>
        <v>2 (1-3)</v>
      </c>
      <c r="AA691" s="13" t="str">
        <f t="shared" ref="AA691:AA692" si="2075">ROUND(L691, 0) &amp; " (" &amp; ROUND(M691, 0) &amp; "-" &amp; ROUND(N691, 0) &amp; ")"</f>
        <v>112 (0-1)</v>
      </c>
      <c r="AB691" s="13" t="str">
        <f t="shared" ref="AB691:AB692" si="2076">ROUND(O691, 0) &amp; " (" &amp; ROUND(Q691, 0) &amp; "-" &amp; ROUND(S691, 0) &amp; ")"</f>
        <v>3 (2-5)</v>
      </c>
      <c r="AC691" s="13" t="str">
        <f t="shared" ref="AC691:AC692" si="2077">ROUND(U691, 0) &amp; " (" &amp; ROUND(V691, 0) &amp; "-" &amp; ROUND(W691, 0) &amp; ")"</f>
        <v>0 (0-0)</v>
      </c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</row>
    <row r="692" hidden="1">
      <c r="A692" s="24" t="s">
        <v>27</v>
      </c>
      <c r="B692" s="16" t="s">
        <v>201</v>
      </c>
      <c r="C692" s="23">
        <v>2040.0</v>
      </c>
      <c r="D692" s="17">
        <f>3141+3301</f>
        <v>6442</v>
      </c>
      <c r="E692" s="10">
        <v>491595.0</v>
      </c>
      <c r="F692" s="19">
        <v>1.78</v>
      </c>
      <c r="G692" s="10">
        <f t="shared" si="1"/>
        <v>8.750391</v>
      </c>
      <c r="H692" s="19">
        <v>1.26</v>
      </c>
      <c r="I692" s="8">
        <f t="shared" si="2"/>
        <v>6.194097</v>
      </c>
      <c r="J692" s="19">
        <v>2.5</v>
      </c>
      <c r="K692" s="11">
        <f t="shared" si="3"/>
        <v>12.289875</v>
      </c>
      <c r="L692" s="11">
        <f t="shared" si="13"/>
        <v>135.8334523</v>
      </c>
      <c r="M692" s="11">
        <f t="shared" si="2069"/>
        <v>0.3990237287</v>
      </c>
      <c r="N692" s="11">
        <f t="shared" si="2070"/>
        <v>0.7917137475</v>
      </c>
      <c r="O692" s="19">
        <v>3.2</v>
      </c>
      <c r="P692" s="19"/>
      <c r="Q692" s="19">
        <v>2.04</v>
      </c>
      <c r="R692" s="19"/>
      <c r="S692" s="19">
        <v>4.68</v>
      </c>
      <c r="T692" s="14"/>
      <c r="U692" s="14">
        <f t="shared" si="2071"/>
        <v>0.206144</v>
      </c>
      <c r="V692" s="14">
        <f t="shared" si="2072"/>
        <v>0.1314168</v>
      </c>
      <c r="W692" s="14">
        <f t="shared" si="2073"/>
        <v>0.3014856</v>
      </c>
      <c r="X692" s="13"/>
      <c r="Y692" s="13"/>
      <c r="Z692" s="13" t="str">
        <f t="shared" si="2074"/>
        <v>2 (1-3)</v>
      </c>
      <c r="AA692" s="13" t="str">
        <f t="shared" si="2075"/>
        <v>136 (0-1)</v>
      </c>
      <c r="AB692" s="13" t="str">
        <f t="shared" si="2076"/>
        <v>3 (2-5)</v>
      </c>
      <c r="AC692" s="13" t="str">
        <f t="shared" si="2077"/>
        <v>0 (0-0)</v>
      </c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</row>
    <row r="693" hidden="1">
      <c r="A693" s="24" t="s">
        <v>29</v>
      </c>
      <c r="B693" s="16" t="s">
        <v>201</v>
      </c>
      <c r="C693" s="23">
        <v>2050.0</v>
      </c>
      <c r="D693" s="17">
        <f>2878+3027</f>
        <v>5905</v>
      </c>
      <c r="E693" s="10">
        <v>516627.0</v>
      </c>
      <c r="F693" s="19">
        <v>1.78</v>
      </c>
      <c r="G693" s="10">
        <f t="shared" si="1"/>
        <v>9.1959606</v>
      </c>
      <c r="H693" s="19">
        <v>1.26</v>
      </c>
      <c r="I693" s="8">
        <f t="shared" si="2"/>
        <v>6.5095002</v>
      </c>
      <c r="J693" s="19">
        <v>2.5</v>
      </c>
      <c r="K693" s="11">
        <f t="shared" si="3"/>
        <v>12.915675</v>
      </c>
      <c r="L693" s="11">
        <f t="shared" si="13"/>
        <v>155.7317629</v>
      </c>
      <c r="M693" s="11">
        <f t="shared" si="2069"/>
        <v>0.3843859868</v>
      </c>
      <c r="N693" s="11">
        <f t="shared" si="2070"/>
        <v>0.7626706088</v>
      </c>
      <c r="O693" s="19">
        <v>3.2</v>
      </c>
      <c r="P693" s="8">
        <f t="shared" ref="P693:P694" si="2078">(O693/100000)*E693</f>
        <v>16.532064</v>
      </c>
      <c r="Q693" s="19">
        <v>2.04</v>
      </c>
      <c r="R693" s="8">
        <f t="shared" ref="R693:R694" si="2079">(Q693/100000)*E693</f>
        <v>10.5391908</v>
      </c>
      <c r="S693" s="19">
        <v>4.68</v>
      </c>
      <c r="T693" s="11">
        <f t="shared" ref="T693:T694" si="2080">(S693/100000)*E693</f>
        <v>24.1781436</v>
      </c>
      <c r="U693" s="14">
        <f t="shared" si="2071"/>
        <v>0.18896</v>
      </c>
      <c r="V693" s="14">
        <f t="shared" si="2072"/>
        <v>0.120462</v>
      </c>
      <c r="W693" s="14">
        <f t="shared" si="2073"/>
        <v>0.276354</v>
      </c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</row>
    <row r="694">
      <c r="A694" s="24" t="s">
        <v>23</v>
      </c>
      <c r="B694" s="16" t="s">
        <v>202</v>
      </c>
      <c r="C694" s="20">
        <v>2021.0</v>
      </c>
      <c r="D694" s="17">
        <f>270+280</f>
        <v>550</v>
      </c>
      <c r="E694" s="18">
        <v>64648.0</v>
      </c>
      <c r="F694" s="19">
        <v>0.85</v>
      </c>
      <c r="G694" s="10">
        <f t="shared" si="1"/>
        <v>0.549508</v>
      </c>
      <c r="H694" s="19">
        <v>0.55</v>
      </c>
      <c r="I694" s="8">
        <f t="shared" si="2"/>
        <v>0.355564</v>
      </c>
      <c r="J694" s="19">
        <v>1.25</v>
      </c>
      <c r="K694" s="11">
        <f t="shared" si="3"/>
        <v>0.8081</v>
      </c>
      <c r="L694" s="11">
        <f t="shared" si="13"/>
        <v>99.91054545</v>
      </c>
      <c r="M694" s="12">
        <f>(I694/D694)*100000</f>
        <v>64.648</v>
      </c>
      <c r="N694" s="11">
        <f>(K694/D694)*100000</f>
        <v>146.9272727</v>
      </c>
      <c r="O694" s="19">
        <v>2.7</v>
      </c>
      <c r="P694" s="8">
        <f t="shared" si="2078"/>
        <v>1.745496</v>
      </c>
      <c r="Q694" s="19">
        <v>1.65</v>
      </c>
      <c r="R694" s="8">
        <f t="shared" si="2079"/>
        <v>1.066692</v>
      </c>
      <c r="S694" s="19">
        <v>4.17</v>
      </c>
      <c r="T694" s="11">
        <f t="shared" si="2080"/>
        <v>2.6958216</v>
      </c>
      <c r="U694" s="11">
        <f>(P694/D694)*100000</f>
        <v>317.3629091</v>
      </c>
      <c r="V694" s="11">
        <f>(R694/D694)*100000</f>
        <v>193.944</v>
      </c>
      <c r="W694" s="11">
        <f>(T694/D694)*100000</f>
        <v>490.1493818</v>
      </c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</row>
    <row r="695" hidden="1">
      <c r="A695" s="24" t="s">
        <v>25</v>
      </c>
      <c r="B695" s="16" t="s">
        <v>202</v>
      </c>
      <c r="C695" s="23">
        <v>2030.0</v>
      </c>
      <c r="D695" s="17">
        <f>238+247</f>
        <v>485</v>
      </c>
      <c r="E695" s="10">
        <v>63868.0</v>
      </c>
      <c r="F695" s="19">
        <v>0.85</v>
      </c>
      <c r="G695" s="10">
        <f t="shared" si="1"/>
        <v>0.542878</v>
      </c>
      <c r="H695" s="19">
        <v>0.55</v>
      </c>
      <c r="I695" s="8">
        <f t="shared" si="2"/>
        <v>0.351274</v>
      </c>
      <c r="J695" s="19">
        <v>1.25</v>
      </c>
      <c r="K695" s="11">
        <f t="shared" si="3"/>
        <v>0.79835</v>
      </c>
      <c r="L695" s="11">
        <f t="shared" si="13"/>
        <v>111.9336082</v>
      </c>
      <c r="M695" s="11">
        <f t="shared" ref="M695:M697" si="2081">(I695*D695)/100000</f>
        <v>0.0017036789</v>
      </c>
      <c r="N695" s="11">
        <f t="shared" ref="N695:N697" si="2082">(K695*D695)/100000</f>
        <v>0.0038719975</v>
      </c>
      <c r="O695" s="19">
        <v>2.7</v>
      </c>
      <c r="P695" s="19"/>
      <c r="Q695" s="19">
        <v>1.65</v>
      </c>
      <c r="R695" s="19"/>
      <c r="S695" s="19">
        <v>4.17</v>
      </c>
      <c r="T695" s="14"/>
      <c r="U695" s="14">
        <f t="shared" ref="U695:U697" si="2083">(O695*D695)/100000</f>
        <v>0.013095</v>
      </c>
      <c r="V695" s="14">
        <f t="shared" ref="V695:V697" si="2084">(Q695*D695)/100000</f>
        <v>0.0080025</v>
      </c>
      <c r="W695" s="14">
        <f t="shared" ref="W695:W697" si="2085">(S695*D695)/100000</f>
        <v>0.0202245</v>
      </c>
      <c r="X695" s="13"/>
      <c r="Y695" s="13"/>
      <c r="Z695" s="13" t="str">
        <f t="shared" ref="Z695:Z696" si="2086">ROUND(F695, 0) &amp; " (" &amp; ROUND(H695, 0) &amp; "-" &amp; ROUND(J695, 0) &amp; ")"</f>
        <v>1 (1-1)</v>
      </c>
      <c r="AA695" s="13" t="str">
        <f t="shared" ref="AA695:AA696" si="2087">ROUND(L695, 0) &amp; " (" &amp; ROUND(M695, 0) &amp; "-" &amp; ROUND(N695, 0) &amp; ")"</f>
        <v>112 (0-0)</v>
      </c>
      <c r="AB695" s="13" t="str">
        <f t="shared" ref="AB695:AB696" si="2088">ROUND(O695, 0) &amp; " (" &amp; ROUND(Q695, 0) &amp; "-" &amp; ROUND(S695, 0) &amp; ")"</f>
        <v>3 (2-4)</v>
      </c>
      <c r="AC695" s="13" t="str">
        <f t="shared" ref="AC695:AC696" si="2089">ROUND(U695, 0) &amp; " (" &amp; ROUND(V695, 0) &amp; "-" &amp; ROUND(W695, 0) &amp; ")"</f>
        <v>0 (0-0)</v>
      </c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</row>
    <row r="696" hidden="1">
      <c r="A696" s="24" t="s">
        <v>27</v>
      </c>
      <c r="B696" s="16" t="s">
        <v>202</v>
      </c>
      <c r="C696" s="23">
        <v>2040.0</v>
      </c>
      <c r="D696" s="17">
        <f>220+229</f>
        <v>449</v>
      </c>
      <c r="E696" s="10">
        <v>61215.0</v>
      </c>
      <c r="F696" s="19">
        <v>0.85</v>
      </c>
      <c r="G696" s="10">
        <f t="shared" si="1"/>
        <v>0.5203275</v>
      </c>
      <c r="H696" s="19">
        <v>0.55</v>
      </c>
      <c r="I696" s="8">
        <f t="shared" si="2"/>
        <v>0.3366825</v>
      </c>
      <c r="J696" s="19">
        <v>1.25</v>
      </c>
      <c r="K696" s="11">
        <f t="shared" si="3"/>
        <v>0.7651875</v>
      </c>
      <c r="L696" s="11">
        <f t="shared" si="13"/>
        <v>115.8858575</v>
      </c>
      <c r="M696" s="11">
        <f t="shared" si="2081"/>
        <v>0.001511704425</v>
      </c>
      <c r="N696" s="11">
        <f t="shared" si="2082"/>
        <v>0.003435691875</v>
      </c>
      <c r="O696" s="19">
        <v>2.7</v>
      </c>
      <c r="P696" s="19"/>
      <c r="Q696" s="19">
        <v>1.65</v>
      </c>
      <c r="R696" s="19"/>
      <c r="S696" s="19">
        <v>4.17</v>
      </c>
      <c r="T696" s="14"/>
      <c r="U696" s="14">
        <f t="shared" si="2083"/>
        <v>0.012123</v>
      </c>
      <c r="V696" s="14">
        <f t="shared" si="2084"/>
        <v>0.0074085</v>
      </c>
      <c r="W696" s="14">
        <f t="shared" si="2085"/>
        <v>0.0187233</v>
      </c>
      <c r="X696" s="13"/>
      <c r="Y696" s="13"/>
      <c r="Z696" s="13" t="str">
        <f t="shared" si="2086"/>
        <v>1 (1-1)</v>
      </c>
      <c r="AA696" s="13" t="str">
        <f t="shared" si="2087"/>
        <v>116 (0-0)</v>
      </c>
      <c r="AB696" s="13" t="str">
        <f t="shared" si="2088"/>
        <v>3 (2-4)</v>
      </c>
      <c r="AC696" s="13" t="str">
        <f t="shared" si="2089"/>
        <v>0 (0-0)</v>
      </c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</row>
    <row r="697" hidden="1">
      <c r="A697" s="24" t="s">
        <v>29</v>
      </c>
      <c r="B697" s="16" t="s">
        <v>202</v>
      </c>
      <c r="C697" s="23">
        <v>2050.0</v>
      </c>
      <c r="D697" s="17">
        <f>197+205</f>
        <v>402</v>
      </c>
      <c r="E697" s="10">
        <v>56937.0</v>
      </c>
      <c r="F697" s="19">
        <v>0.85</v>
      </c>
      <c r="G697" s="21">
        <f t="shared" si="1"/>
        <v>0.4839645</v>
      </c>
      <c r="H697" s="19">
        <v>0.55</v>
      </c>
      <c r="I697" s="8">
        <f t="shared" si="2"/>
        <v>0.3131535</v>
      </c>
      <c r="J697" s="19">
        <v>1.25</v>
      </c>
      <c r="K697" s="11">
        <f t="shared" si="3"/>
        <v>0.7117125</v>
      </c>
      <c r="L697" s="11">
        <f t="shared" si="13"/>
        <v>120.3891791</v>
      </c>
      <c r="M697" s="11">
        <f t="shared" si="2081"/>
        <v>0.00125887707</v>
      </c>
      <c r="N697" s="11">
        <f t="shared" si="2082"/>
        <v>0.00286108425</v>
      </c>
      <c r="O697" s="19">
        <v>2.7</v>
      </c>
      <c r="P697" s="8">
        <f t="shared" ref="P697:P698" si="2090">(O697/100000)*E697</f>
        <v>1.537299</v>
      </c>
      <c r="Q697" s="19">
        <v>1.65</v>
      </c>
      <c r="R697" s="8">
        <f t="shared" ref="R697:R698" si="2091">(Q697/100000)*E697</f>
        <v>0.9394605</v>
      </c>
      <c r="S697" s="19">
        <v>4.17</v>
      </c>
      <c r="T697" s="11">
        <f t="shared" ref="T697:T698" si="2092">(S697/100000)*E697</f>
        <v>2.3742729</v>
      </c>
      <c r="U697" s="14">
        <f t="shared" si="2083"/>
        <v>0.010854</v>
      </c>
      <c r="V697" s="14">
        <f t="shared" si="2084"/>
        <v>0.006633</v>
      </c>
      <c r="W697" s="14">
        <f t="shared" si="2085"/>
        <v>0.0167634</v>
      </c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</row>
    <row r="698">
      <c r="A698" s="24" t="s">
        <v>23</v>
      </c>
      <c r="B698" s="16" t="s">
        <v>203</v>
      </c>
      <c r="C698" s="20">
        <v>2021.0</v>
      </c>
      <c r="D698" s="17">
        <f>48266+51769</f>
        <v>100035</v>
      </c>
      <c r="E698" s="18">
        <v>1.1122168E7</v>
      </c>
      <c r="F698" s="19">
        <v>0.7</v>
      </c>
      <c r="G698" s="10">
        <f t="shared" si="1"/>
        <v>77.855176</v>
      </c>
      <c r="H698" s="19">
        <v>0.45</v>
      </c>
      <c r="I698" s="8">
        <f t="shared" si="2"/>
        <v>50.049756</v>
      </c>
      <c r="J698" s="19">
        <v>1.03</v>
      </c>
      <c r="K698" s="11">
        <f t="shared" si="3"/>
        <v>114.5583304</v>
      </c>
      <c r="L698" s="11">
        <f t="shared" si="13"/>
        <v>77.82793622</v>
      </c>
      <c r="M698" s="12">
        <f>(I698/D698)*100000</f>
        <v>50.03224471</v>
      </c>
      <c r="N698" s="11">
        <f>(K698/D698)*100000</f>
        <v>114.518249</v>
      </c>
      <c r="O698" s="19">
        <v>2.19</v>
      </c>
      <c r="P698" s="8">
        <f t="shared" si="2090"/>
        <v>243.5754792</v>
      </c>
      <c r="Q698" s="19">
        <v>1.3</v>
      </c>
      <c r="R698" s="8">
        <f t="shared" si="2091"/>
        <v>144.588184</v>
      </c>
      <c r="S698" s="19">
        <v>3.45</v>
      </c>
      <c r="T698" s="11">
        <f t="shared" si="2092"/>
        <v>383.714796</v>
      </c>
      <c r="U698" s="11">
        <f>(P698/D698)*100000</f>
        <v>243.4902576</v>
      </c>
      <c r="V698" s="11">
        <f>(R698/D698)*100000</f>
        <v>144.5375958</v>
      </c>
      <c r="W698" s="11">
        <f>(T698/D698)*100000</f>
        <v>383.5805428</v>
      </c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</row>
    <row r="699" hidden="1">
      <c r="A699" s="24" t="s">
        <v>25</v>
      </c>
      <c r="B699" s="16" t="s">
        <v>203</v>
      </c>
      <c r="C699" s="23">
        <v>2030.0</v>
      </c>
      <c r="D699" s="17">
        <f>42665+45578</f>
        <v>88243</v>
      </c>
      <c r="E699" s="10">
        <v>1.0700822E7</v>
      </c>
      <c r="F699" s="19">
        <v>0.7</v>
      </c>
      <c r="G699" s="10">
        <f t="shared" si="1"/>
        <v>74.905754</v>
      </c>
      <c r="H699" s="19">
        <v>0.45</v>
      </c>
      <c r="I699" s="8">
        <f t="shared" si="2"/>
        <v>48.153699</v>
      </c>
      <c r="J699" s="19">
        <v>1.03</v>
      </c>
      <c r="K699" s="11">
        <f t="shared" si="3"/>
        <v>110.2184666</v>
      </c>
      <c r="L699" s="11">
        <f t="shared" si="13"/>
        <v>84.88577451</v>
      </c>
      <c r="M699" s="11">
        <f t="shared" ref="M699:M701" si="2093">(I699*D699)/100000</f>
        <v>42.49226861</v>
      </c>
      <c r="N699" s="11">
        <f t="shared" ref="N699:N701" si="2094">(K699*D699)/100000</f>
        <v>97.26008148</v>
      </c>
      <c r="O699" s="19">
        <v>2.19</v>
      </c>
      <c r="P699" s="19"/>
      <c r="Q699" s="19">
        <v>1.3</v>
      </c>
      <c r="R699" s="19"/>
      <c r="S699" s="19">
        <v>3.45</v>
      </c>
      <c r="T699" s="14"/>
      <c r="U699" s="14">
        <f t="shared" ref="U699:U701" si="2095">(O699*D699)/100000</f>
        <v>1.9325217</v>
      </c>
      <c r="V699" s="14">
        <f t="shared" ref="V699:V701" si="2096">(Q699*D699)/100000</f>
        <v>1.147159</v>
      </c>
      <c r="W699" s="14">
        <f t="shared" ref="W699:W701" si="2097">(S699*D699)/100000</f>
        <v>3.0443835</v>
      </c>
      <c r="X699" s="13"/>
      <c r="Y699" s="13"/>
      <c r="Z699" s="13" t="str">
        <f t="shared" ref="Z699:Z700" si="2098">ROUND(F699, 0) &amp; " (" &amp; ROUND(H699, 0) &amp; "-" &amp; ROUND(J699, 0) &amp; ")"</f>
        <v>1 (0-1)</v>
      </c>
      <c r="AA699" s="13" t="str">
        <f t="shared" ref="AA699:AA700" si="2099">ROUND(L699, 0) &amp; " (" &amp; ROUND(M699, 0) &amp; "-" &amp; ROUND(N699, 0) &amp; ")"</f>
        <v>85 (42-97)</v>
      </c>
      <c r="AB699" s="13" t="str">
        <f t="shared" ref="AB699:AB700" si="2100">ROUND(O699, 0) &amp; " (" &amp; ROUND(Q699, 0) &amp; "-" &amp; ROUND(S699, 0) &amp; ")"</f>
        <v>2 (1-3)</v>
      </c>
      <c r="AC699" s="13" t="str">
        <f t="shared" ref="AC699:AC700" si="2101">ROUND(U699, 0) &amp; " (" &amp; ROUND(V699, 0) &amp; "-" &amp; ROUND(W699, 0) &amp; ")"</f>
        <v>2 (1-3)</v>
      </c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</row>
    <row r="700" hidden="1">
      <c r="A700" s="24" t="s">
        <v>27</v>
      </c>
      <c r="B700" s="16" t="s">
        <v>203</v>
      </c>
      <c r="C700" s="23">
        <v>2040.0</v>
      </c>
      <c r="D700" s="17">
        <f>38125+40690</f>
        <v>78815</v>
      </c>
      <c r="E700" s="10">
        <v>1.0125837E7</v>
      </c>
      <c r="F700" s="19">
        <v>0.7</v>
      </c>
      <c r="G700" s="10">
        <f t="shared" si="1"/>
        <v>70.880859</v>
      </c>
      <c r="H700" s="19">
        <v>0.45</v>
      </c>
      <c r="I700" s="8">
        <f t="shared" si="2"/>
        <v>45.5662665</v>
      </c>
      <c r="J700" s="19">
        <v>1.03</v>
      </c>
      <c r="K700" s="11">
        <f t="shared" si="3"/>
        <v>104.2961211</v>
      </c>
      <c r="L700" s="11">
        <f t="shared" si="13"/>
        <v>89.93320941</v>
      </c>
      <c r="M700" s="11">
        <f t="shared" si="2093"/>
        <v>35.91305294</v>
      </c>
      <c r="N700" s="11">
        <f t="shared" si="2094"/>
        <v>82.20098784</v>
      </c>
      <c r="O700" s="19">
        <v>2.19</v>
      </c>
      <c r="P700" s="19"/>
      <c r="Q700" s="19">
        <v>1.3</v>
      </c>
      <c r="R700" s="19"/>
      <c r="S700" s="19">
        <v>3.45</v>
      </c>
      <c r="T700" s="14"/>
      <c r="U700" s="14">
        <f t="shared" si="2095"/>
        <v>1.7260485</v>
      </c>
      <c r="V700" s="14">
        <f t="shared" si="2096"/>
        <v>1.024595</v>
      </c>
      <c r="W700" s="14">
        <f t="shared" si="2097"/>
        <v>2.7191175</v>
      </c>
      <c r="X700" s="13"/>
      <c r="Y700" s="13"/>
      <c r="Z700" s="13" t="str">
        <f t="shared" si="2098"/>
        <v>1 (0-1)</v>
      </c>
      <c r="AA700" s="13" t="str">
        <f t="shared" si="2099"/>
        <v>90 (36-82)</v>
      </c>
      <c r="AB700" s="13" t="str">
        <f t="shared" si="2100"/>
        <v>2 (1-3)</v>
      </c>
      <c r="AC700" s="13" t="str">
        <f t="shared" si="2101"/>
        <v>2 (1-3)</v>
      </c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</row>
    <row r="701" hidden="1">
      <c r="A701" s="24" t="s">
        <v>29</v>
      </c>
      <c r="B701" s="16" t="s">
        <v>203</v>
      </c>
      <c r="C701" s="23">
        <v>2050.0</v>
      </c>
      <c r="D701" s="17">
        <f>32674+34867</f>
        <v>67541</v>
      </c>
      <c r="E701" s="10">
        <v>9381999.0</v>
      </c>
      <c r="F701" s="19">
        <v>0.7</v>
      </c>
      <c r="G701" s="10">
        <f t="shared" si="1"/>
        <v>65.673993</v>
      </c>
      <c r="H701" s="19">
        <v>0.45</v>
      </c>
      <c r="I701" s="8">
        <f t="shared" si="2"/>
        <v>42.2189955</v>
      </c>
      <c r="J701" s="19">
        <v>1.03</v>
      </c>
      <c r="K701" s="11">
        <f t="shared" si="3"/>
        <v>96.6345897</v>
      </c>
      <c r="L701" s="11">
        <f t="shared" si="13"/>
        <v>97.23574273</v>
      </c>
      <c r="M701" s="11">
        <f t="shared" si="2093"/>
        <v>28.51513175</v>
      </c>
      <c r="N701" s="11">
        <f t="shared" si="2094"/>
        <v>65.26796823</v>
      </c>
      <c r="O701" s="19">
        <v>2.19</v>
      </c>
      <c r="P701" s="8">
        <f t="shared" ref="P701:P702" si="2102">(O701/100000)*E701</f>
        <v>205.4657781</v>
      </c>
      <c r="Q701" s="19">
        <v>1.3</v>
      </c>
      <c r="R701" s="8">
        <f t="shared" ref="R701:R702" si="2103">(Q701/100000)*E701</f>
        <v>121.965987</v>
      </c>
      <c r="S701" s="19">
        <v>3.45</v>
      </c>
      <c r="T701" s="11">
        <f t="shared" ref="T701:T702" si="2104">(S701/100000)*E701</f>
        <v>323.6789655</v>
      </c>
      <c r="U701" s="14">
        <f t="shared" si="2095"/>
        <v>1.4791479</v>
      </c>
      <c r="V701" s="14">
        <f t="shared" si="2096"/>
        <v>0.878033</v>
      </c>
      <c r="W701" s="14">
        <f t="shared" si="2097"/>
        <v>2.3301645</v>
      </c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</row>
    <row r="702">
      <c r="A702" s="24" t="s">
        <v>23</v>
      </c>
      <c r="B702" s="16" t="s">
        <v>204</v>
      </c>
      <c r="C702" s="20">
        <v>2021.0</v>
      </c>
      <c r="D702" s="17">
        <f>365.5+377</f>
        <v>742.5</v>
      </c>
      <c r="E702" s="18">
        <v>67202.0</v>
      </c>
      <c r="F702" s="19">
        <v>1.46</v>
      </c>
      <c r="G702" s="10">
        <f t="shared" si="1"/>
        <v>0.9811492</v>
      </c>
      <c r="H702" s="19">
        <v>1.08</v>
      </c>
      <c r="I702" s="8">
        <f t="shared" si="2"/>
        <v>0.7257816</v>
      </c>
      <c r="J702" s="19">
        <v>1.9</v>
      </c>
      <c r="K702" s="11">
        <f t="shared" si="3"/>
        <v>1.276838</v>
      </c>
      <c r="L702" s="11">
        <f t="shared" si="13"/>
        <v>132.1413064</v>
      </c>
      <c r="M702" s="12">
        <f>(I702/D702)*100000</f>
        <v>97.74836364</v>
      </c>
      <c r="N702" s="11">
        <f>(K702/D702)*100000</f>
        <v>171.9647138</v>
      </c>
      <c r="O702" s="19">
        <v>5.33</v>
      </c>
      <c r="P702" s="8">
        <f t="shared" si="2102"/>
        <v>3.5818666</v>
      </c>
      <c r="Q702" s="19">
        <v>3.37</v>
      </c>
      <c r="R702" s="8">
        <f t="shared" si="2103"/>
        <v>2.2647074</v>
      </c>
      <c r="S702" s="19">
        <v>8.42</v>
      </c>
      <c r="T702" s="11">
        <f t="shared" si="2104"/>
        <v>5.6584084</v>
      </c>
      <c r="U702" s="11">
        <f>(P702/D702)*100000</f>
        <v>482.4062761</v>
      </c>
      <c r="V702" s="11">
        <f>(R702/D702)*100000</f>
        <v>305.0110976</v>
      </c>
      <c r="W702" s="11">
        <f>(T702/D702)*100000</f>
        <v>762.0752054</v>
      </c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</row>
    <row r="703" hidden="1">
      <c r="A703" s="24" t="s">
        <v>25</v>
      </c>
      <c r="B703" s="16" t="s">
        <v>204</v>
      </c>
      <c r="C703" s="23">
        <v>2030.0</v>
      </c>
      <c r="D703" s="17">
        <f>316+325</f>
        <v>641</v>
      </c>
      <c r="E703" s="10">
        <v>64169.0</v>
      </c>
      <c r="F703" s="19">
        <v>1.46</v>
      </c>
      <c r="G703" s="10">
        <f t="shared" si="1"/>
        <v>0.9368674</v>
      </c>
      <c r="H703" s="19">
        <v>1.08</v>
      </c>
      <c r="I703" s="8">
        <f t="shared" si="2"/>
        <v>0.6930252</v>
      </c>
      <c r="J703" s="19">
        <v>1.9</v>
      </c>
      <c r="K703" s="11">
        <f t="shared" si="3"/>
        <v>1.219211</v>
      </c>
      <c r="L703" s="11">
        <f t="shared" si="13"/>
        <v>146.1571607</v>
      </c>
      <c r="M703" s="11">
        <f t="shared" ref="M703:M705" si="2105">(I703*D703)/100000</f>
        <v>0.004442291532</v>
      </c>
      <c r="N703" s="11">
        <f t="shared" ref="N703:N705" si="2106">(K703*D703)/100000</f>
        <v>0.00781514251</v>
      </c>
      <c r="O703" s="19">
        <v>5.33</v>
      </c>
      <c r="P703" s="19"/>
      <c r="Q703" s="19">
        <v>3.37</v>
      </c>
      <c r="R703" s="19"/>
      <c r="S703" s="19">
        <v>8.42</v>
      </c>
      <c r="T703" s="14"/>
      <c r="U703" s="14">
        <f t="shared" ref="U703:U705" si="2107">(O703*D703)/100000</f>
        <v>0.0341653</v>
      </c>
      <c r="V703" s="14">
        <f t="shared" ref="V703:V705" si="2108">(Q703*D703)/100000</f>
        <v>0.0216017</v>
      </c>
      <c r="W703" s="14">
        <f t="shared" ref="W703:W705" si="2109">(S703*D703)/100000</f>
        <v>0.0539722</v>
      </c>
      <c r="X703" s="13"/>
      <c r="Y703" s="13"/>
      <c r="Z703" s="13" t="str">
        <f t="shared" ref="Z703:Z704" si="2110">ROUND(F703, 0) &amp; " (" &amp; ROUND(H703, 0) &amp; "-" &amp; ROUND(J703, 0) &amp; ")"</f>
        <v>1 (1-2)</v>
      </c>
      <c r="AA703" s="13" t="str">
        <f t="shared" ref="AA703:AA704" si="2111">ROUND(L703, 0) &amp; " (" &amp; ROUND(M703, 0) &amp; "-" &amp; ROUND(N703, 0) &amp; ")"</f>
        <v>146 (0-0)</v>
      </c>
      <c r="AB703" s="13" t="str">
        <f t="shared" ref="AB703:AB704" si="2112">ROUND(O703, 0) &amp; " (" &amp; ROUND(Q703, 0) &amp; "-" &amp; ROUND(S703, 0) &amp; ")"</f>
        <v>5 (3-8)</v>
      </c>
      <c r="AC703" s="13" t="str">
        <f t="shared" ref="AC703:AC704" si="2113">ROUND(U703, 0) &amp; " (" &amp; ROUND(V703, 0) &amp; "-" &amp; ROUND(W703, 0) &amp; ")"</f>
        <v>0 (0-0)</v>
      </c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</row>
    <row r="704" hidden="1">
      <c r="A704" s="24" t="s">
        <v>27</v>
      </c>
      <c r="B704" s="16" t="s">
        <v>204</v>
      </c>
      <c r="C704" s="23">
        <v>2040.0</v>
      </c>
      <c r="D704" s="17">
        <f>305+315</f>
        <v>620</v>
      </c>
      <c r="E704" s="10">
        <v>63799.0</v>
      </c>
      <c r="F704" s="19">
        <v>1.46</v>
      </c>
      <c r="G704" s="10">
        <f t="shared" si="1"/>
        <v>0.9314654</v>
      </c>
      <c r="H704" s="19">
        <v>1.08</v>
      </c>
      <c r="I704" s="8">
        <f t="shared" si="2"/>
        <v>0.6890292</v>
      </c>
      <c r="J704" s="19">
        <v>1.9</v>
      </c>
      <c r="K704" s="11">
        <f t="shared" si="3"/>
        <v>1.212181</v>
      </c>
      <c r="L704" s="11">
        <f t="shared" si="13"/>
        <v>150.2363548</v>
      </c>
      <c r="M704" s="11">
        <f t="shared" si="2105"/>
        <v>0.00427198104</v>
      </c>
      <c r="N704" s="11">
        <f t="shared" si="2106"/>
        <v>0.0075155222</v>
      </c>
      <c r="O704" s="19">
        <v>5.33</v>
      </c>
      <c r="P704" s="19"/>
      <c r="Q704" s="19">
        <v>3.37</v>
      </c>
      <c r="R704" s="19"/>
      <c r="S704" s="19">
        <v>8.42</v>
      </c>
      <c r="T704" s="14"/>
      <c r="U704" s="14">
        <f t="shared" si="2107"/>
        <v>0.033046</v>
      </c>
      <c r="V704" s="14">
        <f t="shared" si="2108"/>
        <v>0.020894</v>
      </c>
      <c r="W704" s="14">
        <f t="shared" si="2109"/>
        <v>0.052204</v>
      </c>
      <c r="X704" s="13"/>
      <c r="Y704" s="13"/>
      <c r="Z704" s="13" t="str">
        <f t="shared" si="2110"/>
        <v>1 (1-2)</v>
      </c>
      <c r="AA704" s="13" t="str">
        <f t="shared" si="2111"/>
        <v>150 (0-0)</v>
      </c>
      <c r="AB704" s="13" t="str">
        <f t="shared" si="2112"/>
        <v>5 (3-8)</v>
      </c>
      <c r="AC704" s="13" t="str">
        <f t="shared" si="2113"/>
        <v>0 (0-0)</v>
      </c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</row>
    <row r="705" hidden="1">
      <c r="A705" s="24" t="s">
        <v>29</v>
      </c>
      <c r="B705" s="16" t="s">
        <v>204</v>
      </c>
      <c r="C705" s="23">
        <v>2050.0</v>
      </c>
      <c r="D705" s="17">
        <f>288+297</f>
        <v>585</v>
      </c>
      <c r="E705" s="10">
        <v>63192.0</v>
      </c>
      <c r="F705" s="19">
        <v>1.46</v>
      </c>
      <c r="G705" s="10">
        <f t="shared" si="1"/>
        <v>0.9226032</v>
      </c>
      <c r="H705" s="19">
        <v>1.08</v>
      </c>
      <c r="I705" s="8">
        <f t="shared" si="2"/>
        <v>0.6824736</v>
      </c>
      <c r="J705" s="19">
        <v>1.9</v>
      </c>
      <c r="K705" s="11">
        <f t="shared" si="3"/>
        <v>1.200648</v>
      </c>
      <c r="L705" s="11">
        <f t="shared" si="13"/>
        <v>157.7099487</v>
      </c>
      <c r="M705" s="11">
        <f t="shared" si="2105"/>
        <v>0.00399247056</v>
      </c>
      <c r="N705" s="11">
        <f t="shared" si="2106"/>
        <v>0.0070237908</v>
      </c>
      <c r="O705" s="19">
        <v>5.33</v>
      </c>
      <c r="P705" s="8">
        <f t="shared" ref="P705:P706" si="2114">(O705/100000)*E705</f>
        <v>3.3681336</v>
      </c>
      <c r="Q705" s="19">
        <v>3.37</v>
      </c>
      <c r="R705" s="8">
        <f t="shared" ref="R705:R706" si="2115">(Q705/100000)*E705</f>
        <v>2.1295704</v>
      </c>
      <c r="S705" s="19">
        <v>8.42</v>
      </c>
      <c r="T705" s="11">
        <f t="shared" ref="T705:T706" si="2116">(S705/100000)*E705</f>
        <v>5.3207664</v>
      </c>
      <c r="U705" s="14">
        <f t="shared" si="2107"/>
        <v>0.0311805</v>
      </c>
      <c r="V705" s="14">
        <f t="shared" si="2108"/>
        <v>0.0197145</v>
      </c>
      <c r="W705" s="14">
        <f t="shared" si="2109"/>
        <v>0.049257</v>
      </c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</row>
    <row r="706">
      <c r="A706" s="24" t="s">
        <v>23</v>
      </c>
      <c r="B706" s="16" t="s">
        <v>205</v>
      </c>
      <c r="C706" s="20">
        <v>2021.0</v>
      </c>
      <c r="D706" s="17">
        <f>99328.5+103168</f>
        <v>202496.5</v>
      </c>
      <c r="E706" s="18">
        <v>1.1123476E7</v>
      </c>
      <c r="F706" s="19">
        <v>2.32</v>
      </c>
      <c r="G706" s="10">
        <f t="shared" si="1"/>
        <v>258.0646432</v>
      </c>
      <c r="H706" s="19">
        <v>1.59</v>
      </c>
      <c r="I706" s="8">
        <f t="shared" si="2"/>
        <v>176.8632684</v>
      </c>
      <c r="J706" s="19">
        <v>3.2</v>
      </c>
      <c r="K706" s="11">
        <f t="shared" si="3"/>
        <v>355.951232</v>
      </c>
      <c r="L706" s="11">
        <f t="shared" si="13"/>
        <v>127.4415327</v>
      </c>
      <c r="M706" s="12">
        <f>(I706/D706)*100000</f>
        <v>87.34139523</v>
      </c>
      <c r="N706" s="11">
        <f>(K706/D706)*100000</f>
        <v>175.7814244</v>
      </c>
      <c r="O706" s="19">
        <v>3.28</v>
      </c>
      <c r="P706" s="8">
        <f t="shared" si="2114"/>
        <v>364.8500128</v>
      </c>
      <c r="Q706" s="19">
        <v>2.14</v>
      </c>
      <c r="R706" s="8">
        <f t="shared" si="2115"/>
        <v>238.0423864</v>
      </c>
      <c r="S706" s="19">
        <v>4.97</v>
      </c>
      <c r="T706" s="11">
        <f t="shared" si="2116"/>
        <v>552.8367572</v>
      </c>
      <c r="U706" s="11">
        <f>(P706/D706)*100000</f>
        <v>180.17596</v>
      </c>
      <c r="V706" s="11">
        <f>(R706/D706)*100000</f>
        <v>117.5538275</v>
      </c>
      <c r="W706" s="11">
        <f>(T706/D706)*100000</f>
        <v>273.0105247</v>
      </c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</row>
    <row r="707" hidden="1">
      <c r="A707" s="24" t="s">
        <v>25</v>
      </c>
      <c r="B707" s="16" t="s">
        <v>205</v>
      </c>
      <c r="C707" s="23">
        <v>2030.0</v>
      </c>
      <c r="D707" s="17">
        <f>91284+94924</f>
        <v>186208</v>
      </c>
      <c r="E707" s="10">
        <v>1.1938852E7</v>
      </c>
      <c r="F707" s="19">
        <v>2.32</v>
      </c>
      <c r="G707" s="10">
        <f t="shared" si="1"/>
        <v>276.9813664</v>
      </c>
      <c r="H707" s="19">
        <v>1.59</v>
      </c>
      <c r="I707" s="8">
        <f t="shared" si="2"/>
        <v>189.8277468</v>
      </c>
      <c r="J707" s="19">
        <v>3.2</v>
      </c>
      <c r="K707" s="11">
        <f t="shared" si="3"/>
        <v>382.043264</v>
      </c>
      <c r="L707" s="11">
        <f t="shared" si="13"/>
        <v>148.7483709</v>
      </c>
      <c r="M707" s="11">
        <f t="shared" ref="M707:M709" si="2117">(I707*D707)/100000</f>
        <v>353.4744508</v>
      </c>
      <c r="N707" s="11">
        <f t="shared" ref="N707:N709" si="2118">(K707*D707)/100000</f>
        <v>711.395121</v>
      </c>
      <c r="O707" s="19">
        <v>3.28</v>
      </c>
      <c r="P707" s="19"/>
      <c r="Q707" s="19">
        <v>2.14</v>
      </c>
      <c r="R707" s="19"/>
      <c r="S707" s="19">
        <v>4.97</v>
      </c>
      <c r="T707" s="14"/>
      <c r="U707" s="14">
        <f t="shared" ref="U707:U709" si="2119">(O707*D707)/100000</f>
        <v>6.1076224</v>
      </c>
      <c r="V707" s="14">
        <f t="shared" ref="V707:V709" si="2120">(Q707*D707)/100000</f>
        <v>3.9848512</v>
      </c>
      <c r="W707" s="14">
        <f t="shared" ref="W707:W709" si="2121">(S707*D707)/100000</f>
        <v>9.2545376</v>
      </c>
      <c r="X707" s="13"/>
      <c r="Y707" s="13"/>
      <c r="Z707" s="13" t="str">
        <f t="shared" ref="Z707:Z708" si="2122">ROUND(F707, 0) &amp; " (" &amp; ROUND(H707, 0) &amp; "-" &amp; ROUND(J707, 0) &amp; ")"</f>
        <v>2 (2-3)</v>
      </c>
      <c r="AA707" s="13" t="str">
        <f t="shared" ref="AA707:AA708" si="2123">ROUND(L707, 0) &amp; " (" &amp; ROUND(M707, 0) &amp; "-" &amp; ROUND(N707, 0) &amp; ")"</f>
        <v>149 (353-711)</v>
      </c>
      <c r="AB707" s="13" t="str">
        <f t="shared" ref="AB707:AB708" si="2124">ROUND(O707, 0) &amp; " (" &amp; ROUND(Q707, 0) &amp; "-" &amp; ROUND(S707, 0) &amp; ")"</f>
        <v>3 (2-5)</v>
      </c>
      <c r="AC707" s="13" t="str">
        <f t="shared" ref="AC707:AC708" si="2125">ROUND(U707, 0) &amp; " (" &amp; ROUND(V707, 0) &amp; "-" &amp; ROUND(W707, 0) &amp; ")"</f>
        <v>6 (4-9)</v>
      </c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</row>
    <row r="708" hidden="1">
      <c r="A708" s="24" t="s">
        <v>27</v>
      </c>
      <c r="B708" s="16" t="s">
        <v>205</v>
      </c>
      <c r="C708" s="23">
        <v>2040.0</v>
      </c>
      <c r="D708" s="17">
        <f>85702+89194</f>
        <v>174896</v>
      </c>
      <c r="E708" s="10">
        <v>1.257932E7</v>
      </c>
      <c r="F708" s="19">
        <v>2.32</v>
      </c>
      <c r="G708" s="10">
        <f t="shared" si="1"/>
        <v>291.840224</v>
      </c>
      <c r="H708" s="19">
        <v>1.59</v>
      </c>
      <c r="I708" s="8">
        <f t="shared" si="2"/>
        <v>200.011188</v>
      </c>
      <c r="J708" s="19">
        <v>3.2</v>
      </c>
      <c r="K708" s="11">
        <f t="shared" si="3"/>
        <v>402.53824</v>
      </c>
      <c r="L708" s="11">
        <f t="shared" si="13"/>
        <v>166.8650078</v>
      </c>
      <c r="M708" s="11">
        <f t="shared" si="2117"/>
        <v>349.8115674</v>
      </c>
      <c r="N708" s="11">
        <f t="shared" si="2118"/>
        <v>704.0232802</v>
      </c>
      <c r="O708" s="19">
        <v>3.28</v>
      </c>
      <c r="P708" s="19"/>
      <c r="Q708" s="19">
        <v>2.14</v>
      </c>
      <c r="R708" s="19"/>
      <c r="S708" s="19">
        <v>4.97</v>
      </c>
      <c r="T708" s="14"/>
      <c r="U708" s="14">
        <f t="shared" si="2119"/>
        <v>5.7365888</v>
      </c>
      <c r="V708" s="14">
        <f t="shared" si="2120"/>
        <v>3.7427744</v>
      </c>
      <c r="W708" s="14">
        <f t="shared" si="2121"/>
        <v>8.6923312</v>
      </c>
      <c r="X708" s="13"/>
      <c r="Y708" s="13"/>
      <c r="Z708" s="13" t="str">
        <f t="shared" si="2122"/>
        <v>2 (2-3)</v>
      </c>
      <c r="AA708" s="13" t="str">
        <f t="shared" si="2123"/>
        <v>167 (350-704)</v>
      </c>
      <c r="AB708" s="13" t="str">
        <f t="shared" si="2124"/>
        <v>3 (2-5)</v>
      </c>
      <c r="AC708" s="13" t="str">
        <f t="shared" si="2125"/>
        <v>6 (4-9)</v>
      </c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</row>
    <row r="709" hidden="1">
      <c r="A709" s="24" t="s">
        <v>29</v>
      </c>
      <c r="B709" s="16" t="s">
        <v>205</v>
      </c>
      <c r="C709" s="23">
        <v>2050.0</v>
      </c>
      <c r="D709" s="17">
        <f>80425+83794</f>
        <v>164219</v>
      </c>
      <c r="E709" s="10">
        <v>1.2996293E7</v>
      </c>
      <c r="F709" s="19">
        <v>2.32</v>
      </c>
      <c r="G709" s="10">
        <f t="shared" si="1"/>
        <v>301.5139976</v>
      </c>
      <c r="H709" s="19">
        <v>1.59</v>
      </c>
      <c r="I709" s="8">
        <f t="shared" si="2"/>
        <v>206.6410587</v>
      </c>
      <c r="J709" s="19">
        <v>3.2</v>
      </c>
      <c r="K709" s="11">
        <f t="shared" si="3"/>
        <v>415.881376</v>
      </c>
      <c r="L709" s="11">
        <f t="shared" si="13"/>
        <v>183.6048189</v>
      </c>
      <c r="M709" s="11">
        <f t="shared" si="2117"/>
        <v>339.3438802</v>
      </c>
      <c r="N709" s="11">
        <f t="shared" si="2118"/>
        <v>682.9562369</v>
      </c>
      <c r="O709" s="19">
        <v>3.28</v>
      </c>
      <c r="P709" s="8">
        <f t="shared" ref="P709:P710" si="2126">(O709/100000)*E709</f>
        <v>426.2784104</v>
      </c>
      <c r="Q709" s="19">
        <v>2.14</v>
      </c>
      <c r="R709" s="8">
        <f t="shared" ref="R709:R710" si="2127">(Q709/100000)*E709</f>
        <v>278.1206702</v>
      </c>
      <c r="S709" s="19">
        <v>4.97</v>
      </c>
      <c r="T709" s="11">
        <f t="shared" ref="T709:T710" si="2128">(S709/100000)*E709</f>
        <v>645.9157621</v>
      </c>
      <c r="U709" s="14">
        <f t="shared" si="2119"/>
        <v>5.3863832</v>
      </c>
      <c r="V709" s="14">
        <f t="shared" si="2120"/>
        <v>3.5142866</v>
      </c>
      <c r="W709" s="14">
        <f t="shared" si="2121"/>
        <v>8.1616843</v>
      </c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</row>
    <row r="710">
      <c r="A710" s="24" t="s">
        <v>23</v>
      </c>
      <c r="B710" s="16" t="s">
        <v>206</v>
      </c>
      <c r="C710" s="20">
        <v>2021.0</v>
      </c>
      <c r="D710" s="17">
        <f>691+717.5</f>
        <v>1408.5</v>
      </c>
      <c r="E710" s="18">
        <v>116688.0</v>
      </c>
      <c r="F710" s="19">
        <v>1.33</v>
      </c>
      <c r="G710" s="10">
        <f t="shared" si="1"/>
        <v>1.5519504</v>
      </c>
      <c r="H710" s="19">
        <v>0.92</v>
      </c>
      <c r="I710" s="8">
        <f t="shared" si="2"/>
        <v>1.0735296</v>
      </c>
      <c r="J710" s="19">
        <v>1.98</v>
      </c>
      <c r="K710" s="11">
        <f t="shared" si="3"/>
        <v>2.3104224</v>
      </c>
      <c r="L710" s="11">
        <f t="shared" si="13"/>
        <v>110.1846219</v>
      </c>
      <c r="M710" s="12">
        <f>(I710/D710)*100000</f>
        <v>76.21793397</v>
      </c>
      <c r="N710" s="11">
        <f>(K710/D710)*100000</f>
        <v>164.0342492</v>
      </c>
      <c r="O710" s="19">
        <v>2.8</v>
      </c>
      <c r="P710" s="8">
        <f t="shared" si="2126"/>
        <v>3.267264</v>
      </c>
      <c r="Q710" s="19">
        <v>1.64</v>
      </c>
      <c r="R710" s="8">
        <f t="shared" si="2127"/>
        <v>1.9136832</v>
      </c>
      <c r="S710" s="19">
        <v>4.32</v>
      </c>
      <c r="T710" s="11">
        <f t="shared" si="2128"/>
        <v>5.0409216</v>
      </c>
      <c r="U710" s="11">
        <f>(P710/D710)*100000</f>
        <v>231.9676251</v>
      </c>
      <c r="V710" s="11">
        <f>(R710/D710)*100000</f>
        <v>135.8667519</v>
      </c>
      <c r="W710" s="11">
        <f>(T710/D710)*100000</f>
        <v>357.8929073</v>
      </c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</row>
    <row r="711" hidden="1">
      <c r="A711" s="24" t="s">
        <v>25</v>
      </c>
      <c r="B711" s="16" t="s">
        <v>206</v>
      </c>
      <c r="C711" s="23">
        <v>2030.0</v>
      </c>
      <c r="D711" s="17">
        <f>602+624</f>
        <v>1226</v>
      </c>
      <c r="E711" s="10">
        <v>117466.0</v>
      </c>
      <c r="F711" s="19">
        <v>1.33</v>
      </c>
      <c r="G711" s="10">
        <f t="shared" si="1"/>
        <v>1.5622978</v>
      </c>
      <c r="H711" s="19">
        <v>0.92</v>
      </c>
      <c r="I711" s="8">
        <f t="shared" si="2"/>
        <v>1.0806872</v>
      </c>
      <c r="J711" s="19">
        <v>1.98</v>
      </c>
      <c r="K711" s="11">
        <f t="shared" si="3"/>
        <v>2.3258268</v>
      </c>
      <c r="L711" s="11">
        <f t="shared" si="13"/>
        <v>127.4304894</v>
      </c>
      <c r="M711" s="11">
        <f t="shared" ref="M711:M713" si="2129">(I711*D711)/100000</f>
        <v>0.01324922507</v>
      </c>
      <c r="N711" s="11">
        <f t="shared" ref="N711:N713" si="2130">(K711*D711)/100000</f>
        <v>0.02851463657</v>
      </c>
      <c r="O711" s="19">
        <v>2.8</v>
      </c>
      <c r="P711" s="19"/>
      <c r="Q711" s="19">
        <v>1.64</v>
      </c>
      <c r="R711" s="19"/>
      <c r="S711" s="19">
        <v>4.32</v>
      </c>
      <c r="T711" s="14"/>
      <c r="U711" s="14">
        <f t="shared" ref="U711:U713" si="2131">(O711*D711)/100000</f>
        <v>0.034328</v>
      </c>
      <c r="V711" s="14">
        <f t="shared" ref="V711:V713" si="2132">(Q711*D711)/100000</f>
        <v>0.0201064</v>
      </c>
      <c r="W711" s="14">
        <f t="shared" ref="W711:W713" si="2133">(S711*D711)/100000</f>
        <v>0.0529632</v>
      </c>
      <c r="X711" s="13"/>
      <c r="Y711" s="13"/>
      <c r="Z711" s="13" t="str">
        <f t="shared" ref="Z711:Z712" si="2134">ROUND(F711, 0) &amp; " (" &amp; ROUND(H711, 0) &amp; "-" &amp; ROUND(J711, 0) &amp; ")"</f>
        <v>1 (1-2)</v>
      </c>
      <c r="AA711" s="13" t="str">
        <f t="shared" ref="AA711:AA712" si="2135">ROUND(L711, 0) &amp; " (" &amp; ROUND(M711, 0) &amp; "-" &amp; ROUND(N711, 0) &amp; ")"</f>
        <v>127 (0-0)</v>
      </c>
      <c r="AB711" s="13" t="str">
        <f t="shared" ref="AB711:AB712" si="2136">ROUND(O711, 0) &amp; " (" &amp; ROUND(Q711, 0) &amp; "-" &amp; ROUND(S711, 0) &amp; ")"</f>
        <v>3 (2-4)</v>
      </c>
      <c r="AC711" s="13" t="str">
        <f t="shared" ref="AC711:AC712" si="2137">ROUND(U711, 0) &amp; " (" &amp; ROUND(V711, 0) &amp; "-" &amp; ROUND(W711, 0) &amp; ")"</f>
        <v>0 (0-0)</v>
      </c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</row>
    <row r="712" hidden="1">
      <c r="A712" s="24" t="s">
        <v>27</v>
      </c>
      <c r="B712" s="16" t="s">
        <v>206</v>
      </c>
      <c r="C712" s="23">
        <v>2040.0</v>
      </c>
      <c r="D712" s="17">
        <f>536+556</f>
        <v>1092</v>
      </c>
      <c r="E712" s="10">
        <v>116493.0</v>
      </c>
      <c r="F712" s="19">
        <v>1.33</v>
      </c>
      <c r="G712" s="10">
        <f t="shared" si="1"/>
        <v>1.5493569</v>
      </c>
      <c r="H712" s="19">
        <v>0.92</v>
      </c>
      <c r="I712" s="8">
        <f t="shared" si="2"/>
        <v>1.0717356</v>
      </c>
      <c r="J712" s="19">
        <v>1.98</v>
      </c>
      <c r="K712" s="11">
        <f t="shared" si="3"/>
        <v>2.3065614</v>
      </c>
      <c r="L712" s="11">
        <f t="shared" si="13"/>
        <v>141.8825</v>
      </c>
      <c r="M712" s="11">
        <f t="shared" si="2129"/>
        <v>0.01170335275</v>
      </c>
      <c r="N712" s="11">
        <f t="shared" si="2130"/>
        <v>0.02518765049</v>
      </c>
      <c r="O712" s="19">
        <v>2.8</v>
      </c>
      <c r="P712" s="19"/>
      <c r="Q712" s="19">
        <v>1.64</v>
      </c>
      <c r="R712" s="19"/>
      <c r="S712" s="19">
        <v>4.32</v>
      </c>
      <c r="T712" s="14"/>
      <c r="U712" s="14">
        <f t="shared" si="2131"/>
        <v>0.030576</v>
      </c>
      <c r="V712" s="14">
        <f t="shared" si="2132"/>
        <v>0.0179088</v>
      </c>
      <c r="W712" s="14">
        <f t="shared" si="2133"/>
        <v>0.0471744</v>
      </c>
      <c r="X712" s="13"/>
      <c r="Y712" s="13"/>
      <c r="Z712" s="13" t="str">
        <f t="shared" si="2134"/>
        <v>1 (1-2)</v>
      </c>
      <c r="AA712" s="13" t="str">
        <f t="shared" si="2135"/>
        <v>142 (0-0)</v>
      </c>
      <c r="AB712" s="13" t="str">
        <f t="shared" si="2136"/>
        <v>3 (2-4)</v>
      </c>
      <c r="AC712" s="13" t="str">
        <f t="shared" si="2137"/>
        <v>0 (0-0)</v>
      </c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</row>
    <row r="713" hidden="1">
      <c r="A713" s="24" t="s">
        <v>29</v>
      </c>
      <c r="B713" s="16" t="s">
        <v>206</v>
      </c>
      <c r="C713" s="23">
        <v>2050.0</v>
      </c>
      <c r="D713" s="17">
        <f>473+491</f>
        <v>964</v>
      </c>
      <c r="E713" s="10">
        <v>113243.0</v>
      </c>
      <c r="F713" s="19">
        <v>1.33</v>
      </c>
      <c r="G713" s="10">
        <f t="shared" si="1"/>
        <v>1.5061319</v>
      </c>
      <c r="H713" s="19">
        <v>0.92</v>
      </c>
      <c r="I713" s="8">
        <f t="shared" si="2"/>
        <v>1.0418356</v>
      </c>
      <c r="J713" s="19">
        <v>1.98</v>
      </c>
      <c r="K713" s="11">
        <f t="shared" si="3"/>
        <v>2.2422114</v>
      </c>
      <c r="L713" s="11">
        <f t="shared" si="13"/>
        <v>156.237749</v>
      </c>
      <c r="M713" s="11">
        <f t="shared" si="2129"/>
        <v>0.01004329518</v>
      </c>
      <c r="N713" s="11">
        <f t="shared" si="2130"/>
        <v>0.0216149179</v>
      </c>
      <c r="O713" s="19">
        <v>2.8</v>
      </c>
      <c r="P713" s="8">
        <f t="shared" ref="P713:P714" si="2138">(O713/100000)*E713</f>
        <v>3.170804</v>
      </c>
      <c r="Q713" s="19">
        <v>1.64</v>
      </c>
      <c r="R713" s="8">
        <f t="shared" ref="R713:R714" si="2139">(Q713/100000)*E713</f>
        <v>1.8571852</v>
      </c>
      <c r="S713" s="19">
        <v>4.32</v>
      </c>
      <c r="T713" s="11">
        <f t="shared" ref="T713:T714" si="2140">(S713/100000)*E713</f>
        <v>4.8920976</v>
      </c>
      <c r="U713" s="14">
        <f t="shared" si="2131"/>
        <v>0.026992</v>
      </c>
      <c r="V713" s="14">
        <f t="shared" si="2132"/>
        <v>0.0158096</v>
      </c>
      <c r="W713" s="14">
        <f t="shared" si="2133"/>
        <v>0.0416448</v>
      </c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</row>
    <row r="714">
      <c r="A714" s="24" t="s">
        <v>23</v>
      </c>
      <c r="B714" s="16" t="s">
        <v>207</v>
      </c>
      <c r="C714" s="20">
        <v>2021.0</v>
      </c>
      <c r="D714" s="17">
        <f>8254+8509.5</f>
        <v>16763.5</v>
      </c>
      <c r="E714" s="18">
        <v>815482.0</v>
      </c>
      <c r="F714" s="19">
        <v>2.56</v>
      </c>
      <c r="G714" s="10">
        <f t="shared" si="1"/>
        <v>20.8763392</v>
      </c>
      <c r="H714" s="19">
        <v>1.74</v>
      </c>
      <c r="I714" s="8">
        <f t="shared" si="2"/>
        <v>14.1893868</v>
      </c>
      <c r="J714" s="19">
        <v>3.5</v>
      </c>
      <c r="K714" s="11">
        <f t="shared" si="3"/>
        <v>28.54187</v>
      </c>
      <c r="L714" s="11">
        <f t="shared" si="13"/>
        <v>124.5344898</v>
      </c>
      <c r="M714" s="12">
        <f>(I714/D714)*100000</f>
        <v>84.64453605</v>
      </c>
      <c r="N714" s="11">
        <f>(K714/D714)*100000</f>
        <v>170.2619978</v>
      </c>
      <c r="O714" s="19">
        <v>3.74</v>
      </c>
      <c r="P714" s="8">
        <f t="shared" si="2138"/>
        <v>30.4990268</v>
      </c>
      <c r="Q714" s="19">
        <v>2.39</v>
      </c>
      <c r="R714" s="8">
        <f t="shared" si="2139"/>
        <v>19.4900198</v>
      </c>
      <c r="S714" s="19">
        <v>5.82</v>
      </c>
      <c r="T714" s="11">
        <f t="shared" si="2140"/>
        <v>47.4610524</v>
      </c>
      <c r="U714" s="11">
        <f>(P714/D714)*100000</f>
        <v>181.9371062</v>
      </c>
      <c r="V714" s="11">
        <f>(R714/D714)*100000</f>
        <v>116.2646213</v>
      </c>
      <c r="W714" s="11">
        <f>(T714/D714)*100000</f>
        <v>283.1213792</v>
      </c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</row>
    <row r="715" hidden="1">
      <c r="A715" s="24" t="s">
        <v>25</v>
      </c>
      <c r="B715" s="16" t="s">
        <v>207</v>
      </c>
      <c r="C715" s="23">
        <v>2030.0</v>
      </c>
      <c r="D715" s="17">
        <f>7489+7715</f>
        <v>15204</v>
      </c>
      <c r="E715" s="10">
        <v>861038.0</v>
      </c>
      <c r="F715" s="19">
        <v>2.56</v>
      </c>
      <c r="G715" s="10">
        <f t="shared" si="1"/>
        <v>22.0425728</v>
      </c>
      <c r="H715" s="19">
        <v>1.74</v>
      </c>
      <c r="I715" s="8">
        <f t="shared" si="2"/>
        <v>14.9820612</v>
      </c>
      <c r="J715" s="19">
        <v>3.5</v>
      </c>
      <c r="K715" s="11">
        <f t="shared" si="3"/>
        <v>30.13633</v>
      </c>
      <c r="L715" s="11">
        <f t="shared" si="13"/>
        <v>144.978774</v>
      </c>
      <c r="M715" s="11">
        <f t="shared" ref="M715:M717" si="2141">(I715*D715)/100000</f>
        <v>2.277872585</v>
      </c>
      <c r="N715" s="11">
        <f t="shared" ref="N715:N717" si="2142">(K715*D715)/100000</f>
        <v>4.581927613</v>
      </c>
      <c r="O715" s="19">
        <v>3.74</v>
      </c>
      <c r="P715" s="19"/>
      <c r="Q715" s="19">
        <v>2.39</v>
      </c>
      <c r="R715" s="19"/>
      <c r="S715" s="19">
        <v>5.82</v>
      </c>
      <c r="T715" s="14"/>
      <c r="U715" s="14">
        <f t="shared" ref="U715:U717" si="2143">(O715*D715)/100000</f>
        <v>0.5686296</v>
      </c>
      <c r="V715" s="14">
        <f t="shared" ref="V715:V717" si="2144">(Q715*D715)/100000</f>
        <v>0.3633756</v>
      </c>
      <c r="W715" s="14">
        <f t="shared" ref="W715:W717" si="2145">(S715*D715)/100000</f>
        <v>0.8848728</v>
      </c>
      <c r="X715" s="13"/>
      <c r="Y715" s="13"/>
      <c r="Z715" s="13" t="str">
        <f t="shared" ref="Z715:Z716" si="2146">ROUND(F715, 0) &amp; " (" &amp; ROUND(H715, 0) &amp; "-" &amp; ROUND(J715, 0) &amp; ")"</f>
        <v>3 (2-4)</v>
      </c>
      <c r="AA715" s="13" t="str">
        <f t="shared" ref="AA715:AA716" si="2147">ROUND(L715, 0) &amp; " (" &amp; ROUND(M715, 0) &amp; "-" &amp; ROUND(N715, 0) &amp; ")"</f>
        <v>145 (2-5)</v>
      </c>
      <c r="AB715" s="13" t="str">
        <f t="shared" ref="AB715:AB716" si="2148">ROUND(O715, 0) &amp; " (" &amp; ROUND(Q715, 0) &amp; "-" &amp; ROUND(S715, 0) &amp; ")"</f>
        <v>4 (2-6)</v>
      </c>
      <c r="AC715" s="13" t="str">
        <f t="shared" ref="AC715:AC716" si="2149">ROUND(U715, 0) &amp; " (" &amp; ROUND(V715, 0) &amp; "-" &amp; ROUND(W715, 0) &amp; ")"</f>
        <v>1 (0-1)</v>
      </c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</row>
    <row r="716" hidden="1">
      <c r="A716" s="24" t="s">
        <v>27</v>
      </c>
      <c r="B716" s="16" t="s">
        <v>207</v>
      </c>
      <c r="C716" s="23">
        <v>2040.0</v>
      </c>
      <c r="D716" s="17">
        <f>7178+7394</f>
        <v>14572</v>
      </c>
      <c r="E716" s="10">
        <v>907506.0</v>
      </c>
      <c r="F716" s="19">
        <v>2.56</v>
      </c>
      <c r="G716" s="10">
        <f t="shared" si="1"/>
        <v>23.2321536</v>
      </c>
      <c r="H716" s="19">
        <v>1.74</v>
      </c>
      <c r="I716" s="8">
        <f t="shared" si="2"/>
        <v>15.7906044</v>
      </c>
      <c r="J716" s="19">
        <v>3.5</v>
      </c>
      <c r="K716" s="11">
        <f t="shared" si="3"/>
        <v>31.76271</v>
      </c>
      <c r="L716" s="11">
        <f t="shared" si="13"/>
        <v>159.4300961</v>
      </c>
      <c r="M716" s="11">
        <f t="shared" si="2141"/>
        <v>2.301006873</v>
      </c>
      <c r="N716" s="11">
        <f t="shared" si="2142"/>
        <v>4.628462101</v>
      </c>
      <c r="O716" s="19">
        <v>3.74</v>
      </c>
      <c r="P716" s="19"/>
      <c r="Q716" s="19">
        <v>2.39</v>
      </c>
      <c r="R716" s="19"/>
      <c r="S716" s="19">
        <v>5.82</v>
      </c>
      <c r="T716" s="14"/>
      <c r="U716" s="14">
        <f t="shared" si="2143"/>
        <v>0.5449928</v>
      </c>
      <c r="V716" s="14">
        <f t="shared" si="2144"/>
        <v>0.3482708</v>
      </c>
      <c r="W716" s="14">
        <f t="shared" si="2145"/>
        <v>0.8480904</v>
      </c>
      <c r="X716" s="13"/>
      <c r="Y716" s="13"/>
      <c r="Z716" s="13" t="str">
        <f t="shared" si="2146"/>
        <v>3 (2-4)</v>
      </c>
      <c r="AA716" s="13" t="str">
        <f t="shared" si="2147"/>
        <v>159 (2-5)</v>
      </c>
      <c r="AB716" s="13" t="str">
        <f t="shared" si="2148"/>
        <v>4 (2-6)</v>
      </c>
      <c r="AC716" s="13" t="str">
        <f t="shared" si="2149"/>
        <v>1 (0-1)</v>
      </c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</row>
    <row r="717" hidden="1">
      <c r="A717" s="24" t="s">
        <v>29</v>
      </c>
      <c r="B717" s="16" t="s">
        <v>207</v>
      </c>
      <c r="C717" s="23">
        <v>2050.0</v>
      </c>
      <c r="D717" s="17">
        <f>6742+6953</f>
        <v>13695</v>
      </c>
      <c r="E717" s="10">
        <v>940607.0</v>
      </c>
      <c r="F717" s="19">
        <v>2.56</v>
      </c>
      <c r="G717" s="10">
        <f t="shared" si="1"/>
        <v>24.0795392</v>
      </c>
      <c r="H717" s="19">
        <v>1.74</v>
      </c>
      <c r="I717" s="8">
        <f t="shared" si="2"/>
        <v>16.3665618</v>
      </c>
      <c r="J717" s="19">
        <v>3.5</v>
      </c>
      <c r="K717" s="11">
        <f t="shared" si="3"/>
        <v>32.921245</v>
      </c>
      <c r="L717" s="11">
        <f t="shared" si="13"/>
        <v>175.8272304</v>
      </c>
      <c r="M717" s="11">
        <f t="shared" si="2141"/>
        <v>2.241400639</v>
      </c>
      <c r="N717" s="11">
        <f t="shared" si="2142"/>
        <v>4.508564503</v>
      </c>
      <c r="O717" s="19">
        <v>3.74</v>
      </c>
      <c r="P717" s="8">
        <f t="shared" ref="P717:P718" si="2150">(O717/100000)*E717</f>
        <v>35.1787018</v>
      </c>
      <c r="Q717" s="19">
        <v>2.39</v>
      </c>
      <c r="R717" s="8">
        <f t="shared" ref="R717:R718" si="2151">(Q717/100000)*E717</f>
        <v>22.4805073</v>
      </c>
      <c r="S717" s="19">
        <v>5.82</v>
      </c>
      <c r="T717" s="11">
        <f t="shared" ref="T717:T718" si="2152">(S717/100000)*E717</f>
        <v>54.7433274</v>
      </c>
      <c r="U717" s="14">
        <f t="shared" si="2143"/>
        <v>0.512193</v>
      </c>
      <c r="V717" s="14">
        <f t="shared" si="2144"/>
        <v>0.3273105</v>
      </c>
      <c r="W717" s="14">
        <f t="shared" si="2145"/>
        <v>0.797049</v>
      </c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</row>
    <row r="718">
      <c r="A718" s="24" t="s">
        <v>23</v>
      </c>
      <c r="B718" s="16" t="s">
        <v>208</v>
      </c>
      <c r="C718" s="25">
        <v>2021.0</v>
      </c>
      <c r="D718" s="17">
        <f>124111.5+126953</f>
        <v>251064.5</v>
      </c>
      <c r="E718" s="18">
        <v>1.1374586E7</v>
      </c>
      <c r="F718" s="19">
        <v>2.66</v>
      </c>
      <c r="G718" s="10">
        <f t="shared" si="1"/>
        <v>302.5639876</v>
      </c>
      <c r="H718" s="19">
        <v>1.89</v>
      </c>
      <c r="I718" s="8">
        <f t="shared" si="2"/>
        <v>214.9796754</v>
      </c>
      <c r="J718" s="19">
        <v>3.75</v>
      </c>
      <c r="K718" s="11">
        <f t="shared" si="3"/>
        <v>426.546975</v>
      </c>
      <c r="L718" s="11">
        <f t="shared" si="13"/>
        <v>120.512453</v>
      </c>
      <c r="M718" s="12">
        <f>(I718/D718)*100000</f>
        <v>85.62726925</v>
      </c>
      <c r="N718" s="11">
        <f>(K718/D718)*100000</f>
        <v>169.8953755</v>
      </c>
      <c r="O718" s="19">
        <v>7.86</v>
      </c>
      <c r="P718" s="8">
        <f t="shared" si="2150"/>
        <v>894.0424596</v>
      </c>
      <c r="Q718" s="19">
        <v>3.44</v>
      </c>
      <c r="R718" s="8">
        <f t="shared" si="2151"/>
        <v>391.2857584</v>
      </c>
      <c r="S718" s="19">
        <v>16.14</v>
      </c>
      <c r="T718" s="11">
        <f t="shared" si="2152"/>
        <v>1835.85818</v>
      </c>
      <c r="U718" s="11">
        <f>(P718/D718)*100000</f>
        <v>356.100707</v>
      </c>
      <c r="V718" s="11">
        <f>(R718/D718)*100000</f>
        <v>155.8506911</v>
      </c>
      <c r="W718" s="11">
        <f>(T718/D718)*100000</f>
        <v>731.2296961</v>
      </c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</row>
    <row r="719" hidden="1">
      <c r="A719" s="24" t="s">
        <v>25</v>
      </c>
      <c r="B719" s="16" t="s">
        <v>208</v>
      </c>
      <c r="C719" s="26">
        <v>2030.0</v>
      </c>
      <c r="D719" s="17">
        <f>121365+123708</f>
        <v>245073</v>
      </c>
      <c r="E719" s="10">
        <v>1.2552359E7</v>
      </c>
      <c r="F719" s="19">
        <v>2.66</v>
      </c>
      <c r="G719" s="10">
        <f t="shared" si="1"/>
        <v>333.8927494</v>
      </c>
      <c r="H719" s="19">
        <v>1.89</v>
      </c>
      <c r="I719" s="8">
        <f t="shared" si="2"/>
        <v>237.2395851</v>
      </c>
      <c r="J719" s="19">
        <v>3.75</v>
      </c>
      <c r="K719" s="11">
        <f t="shared" si="3"/>
        <v>470.7134625</v>
      </c>
      <c r="L719" s="11">
        <f t="shared" si="13"/>
        <v>136.2421603</v>
      </c>
      <c r="M719" s="11">
        <f t="shared" ref="M719:M721" si="2153">(I719*D719)/100000</f>
        <v>581.4101684</v>
      </c>
      <c r="N719" s="11">
        <f t="shared" ref="N719:N721" si="2154">(K719*D719)/100000</f>
        <v>1153.591604</v>
      </c>
      <c r="O719" s="19">
        <v>7.86</v>
      </c>
      <c r="P719" s="19"/>
      <c r="Q719" s="19">
        <v>3.44</v>
      </c>
      <c r="R719" s="19"/>
      <c r="S719" s="19">
        <v>16.14</v>
      </c>
      <c r="T719" s="14"/>
      <c r="U719" s="14">
        <f t="shared" ref="U719:U721" si="2155">(O719*D719)/100000</f>
        <v>19.2627378</v>
      </c>
      <c r="V719" s="14">
        <f t="shared" ref="V719:V721" si="2156">(Q719*D719)/100000</f>
        <v>8.4305112</v>
      </c>
      <c r="W719" s="14">
        <f t="shared" ref="W719:W721" si="2157">(S719*D719)/100000</f>
        <v>39.5547822</v>
      </c>
      <c r="X719" s="13"/>
      <c r="Y719" s="13"/>
      <c r="Z719" s="13" t="str">
        <f t="shared" ref="Z719:Z720" si="2158">ROUND(F719, 0) &amp; " (" &amp; ROUND(H719, 0) &amp; "-" &amp; ROUND(J719, 0) &amp; ")"</f>
        <v>3 (2-4)</v>
      </c>
      <c r="AA719" s="13" t="str">
        <f t="shared" ref="AA719:AA720" si="2159">ROUND(L719, 0) &amp; " (" &amp; ROUND(M719, 0) &amp; "-" &amp; ROUND(N719, 0) &amp; ")"</f>
        <v>136 (581-1154)</v>
      </c>
      <c r="AB719" s="13" t="str">
        <f t="shared" ref="AB719:AB720" si="2160">ROUND(O719, 0) &amp; " (" &amp; ROUND(Q719, 0) &amp; "-" &amp; ROUND(S719, 0) &amp; ")"</f>
        <v>8 (3-16)</v>
      </c>
      <c r="AC719" s="13" t="str">
        <f t="shared" ref="AC719:AC720" si="2161">ROUND(U719, 0) &amp; " (" &amp; ROUND(V719, 0) &amp; "-" &amp; ROUND(W719, 0) &amp; ")"</f>
        <v>19 (8-40)</v>
      </c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</row>
    <row r="720" hidden="1">
      <c r="A720" s="24" t="s">
        <v>27</v>
      </c>
      <c r="B720" s="16" t="s">
        <v>208</v>
      </c>
      <c r="C720" s="26">
        <v>2040.0</v>
      </c>
      <c r="D720" s="17">
        <f>117744+119917</f>
        <v>237661</v>
      </c>
      <c r="E720" s="10">
        <v>1.3733853E7</v>
      </c>
      <c r="F720" s="19">
        <v>2.66</v>
      </c>
      <c r="G720" s="10">
        <f t="shared" si="1"/>
        <v>365.3204898</v>
      </c>
      <c r="H720" s="19">
        <v>1.89</v>
      </c>
      <c r="I720" s="8">
        <f t="shared" si="2"/>
        <v>259.5698217</v>
      </c>
      <c r="J720" s="19">
        <v>3.75</v>
      </c>
      <c r="K720" s="11">
        <f t="shared" si="3"/>
        <v>515.0194875</v>
      </c>
      <c r="L720" s="11">
        <f t="shared" si="13"/>
        <v>153.714951</v>
      </c>
      <c r="M720" s="11">
        <f t="shared" si="2153"/>
        <v>616.896234</v>
      </c>
      <c r="N720" s="11">
        <f t="shared" si="2154"/>
        <v>1224.000464</v>
      </c>
      <c r="O720" s="19">
        <v>7.86</v>
      </c>
      <c r="P720" s="19"/>
      <c r="Q720" s="19">
        <v>3.44</v>
      </c>
      <c r="R720" s="19"/>
      <c r="S720" s="19">
        <v>16.14</v>
      </c>
      <c r="T720" s="14"/>
      <c r="U720" s="14">
        <f t="shared" si="2155"/>
        <v>18.6801546</v>
      </c>
      <c r="V720" s="14">
        <f t="shared" si="2156"/>
        <v>8.1755384</v>
      </c>
      <c r="W720" s="14">
        <f t="shared" si="2157"/>
        <v>38.3584854</v>
      </c>
      <c r="X720" s="13"/>
      <c r="Y720" s="13"/>
      <c r="Z720" s="13" t="str">
        <f t="shared" si="2158"/>
        <v>3 (2-4)</v>
      </c>
      <c r="AA720" s="13" t="str">
        <f t="shared" si="2159"/>
        <v>154 (617-1224)</v>
      </c>
      <c r="AB720" s="13" t="str">
        <f t="shared" si="2160"/>
        <v>8 (3-16)</v>
      </c>
      <c r="AC720" s="13" t="str">
        <f t="shared" si="2161"/>
        <v>19 (8-38)</v>
      </c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</row>
    <row r="721" hidden="1">
      <c r="A721" s="24" t="s">
        <v>29</v>
      </c>
      <c r="B721" s="16" t="s">
        <v>208</v>
      </c>
      <c r="C721" s="26">
        <v>2050.0</v>
      </c>
      <c r="D721" s="17">
        <f>112951+115012</f>
        <v>227963</v>
      </c>
      <c r="E721" s="10">
        <v>1.4710862E7</v>
      </c>
      <c r="F721" s="19">
        <v>2.66</v>
      </c>
      <c r="G721" s="10">
        <f t="shared" si="1"/>
        <v>391.3089292</v>
      </c>
      <c r="H721" s="19">
        <v>1.89</v>
      </c>
      <c r="I721" s="8">
        <f t="shared" si="2"/>
        <v>278.0352918</v>
      </c>
      <c r="J721" s="19">
        <v>3.75</v>
      </c>
      <c r="K721" s="11">
        <f t="shared" si="3"/>
        <v>551.657325</v>
      </c>
      <c r="L721" s="11">
        <f t="shared" si="13"/>
        <v>171.6545796</v>
      </c>
      <c r="M721" s="11">
        <f t="shared" si="2153"/>
        <v>633.8175922</v>
      </c>
      <c r="N721" s="11">
        <f t="shared" si="2154"/>
        <v>1257.574588</v>
      </c>
      <c r="O721" s="19">
        <v>7.86</v>
      </c>
      <c r="P721" s="8">
        <f t="shared" ref="P721:P722" si="2162">(O721/100000)*E721</f>
        <v>1156.273753</v>
      </c>
      <c r="Q721" s="19">
        <v>3.44</v>
      </c>
      <c r="R721" s="8">
        <f t="shared" ref="R721:R722" si="2163">(Q721/100000)*E721</f>
        <v>506.0536528</v>
      </c>
      <c r="S721" s="19">
        <v>16.14</v>
      </c>
      <c r="T721" s="11">
        <f t="shared" ref="T721:T722" si="2164">(S721/100000)*E721</f>
        <v>2374.333127</v>
      </c>
      <c r="U721" s="14">
        <f t="shared" si="2155"/>
        <v>17.9178918</v>
      </c>
      <c r="V721" s="14">
        <f t="shared" si="2156"/>
        <v>7.8419272</v>
      </c>
      <c r="W721" s="14">
        <f t="shared" si="2157"/>
        <v>36.7932282</v>
      </c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</row>
    <row r="722">
      <c r="A722" s="24" t="s">
        <v>23</v>
      </c>
      <c r="B722" s="16" t="s">
        <v>209</v>
      </c>
      <c r="C722" s="25">
        <v>2021.0</v>
      </c>
      <c r="D722" s="17">
        <f>16433+17020</f>
        <v>33453</v>
      </c>
      <c r="E722" s="18">
        <v>2837682.0</v>
      </c>
      <c r="F722" s="19">
        <v>1.26</v>
      </c>
      <c r="G722" s="10">
        <f t="shared" si="1"/>
        <v>35.7547932</v>
      </c>
      <c r="H722" s="19">
        <v>0.86</v>
      </c>
      <c r="I722" s="8">
        <f t="shared" si="2"/>
        <v>24.4040652</v>
      </c>
      <c r="J722" s="19">
        <v>1.84</v>
      </c>
      <c r="K722" s="11">
        <f t="shared" si="3"/>
        <v>52.2133488</v>
      </c>
      <c r="L722" s="11">
        <f t="shared" si="13"/>
        <v>106.880678</v>
      </c>
      <c r="M722" s="12">
        <f>(I722/D722)*100000</f>
        <v>72.95030401</v>
      </c>
      <c r="N722" s="11">
        <f>(K722/D722)*100000</f>
        <v>156.0797202</v>
      </c>
      <c r="O722" s="19">
        <v>3.34</v>
      </c>
      <c r="P722" s="8">
        <f t="shared" si="2162"/>
        <v>94.7785788</v>
      </c>
      <c r="Q722" s="19">
        <v>2.14</v>
      </c>
      <c r="R722" s="8">
        <f t="shared" si="2163"/>
        <v>60.7263948</v>
      </c>
      <c r="S722" s="19">
        <v>5.11</v>
      </c>
      <c r="T722" s="11">
        <f t="shared" si="2164"/>
        <v>145.0055502</v>
      </c>
      <c r="U722" s="11">
        <f>(P722/D722)*100000</f>
        <v>283.3186225</v>
      </c>
      <c r="V722" s="11">
        <f>(R722/D722)*100000</f>
        <v>181.5275007</v>
      </c>
      <c r="W722" s="11">
        <f>(T722/D722)*100000</f>
        <v>433.4605273</v>
      </c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</row>
    <row r="723" hidden="1">
      <c r="A723" s="24" t="s">
        <v>25</v>
      </c>
      <c r="B723" s="16" t="s">
        <v>209</v>
      </c>
      <c r="C723" s="26">
        <v>2030.0</v>
      </c>
      <c r="D723" s="17">
        <f>14202+14703</f>
        <v>28905</v>
      </c>
      <c r="E723" s="10">
        <v>2808954.0</v>
      </c>
      <c r="F723" s="19">
        <v>1.26</v>
      </c>
      <c r="G723" s="10">
        <f t="shared" si="1"/>
        <v>35.3928204</v>
      </c>
      <c r="H723" s="19">
        <v>0.86</v>
      </c>
      <c r="I723" s="8">
        <f t="shared" si="2"/>
        <v>24.1570044</v>
      </c>
      <c r="J723" s="19">
        <v>1.84</v>
      </c>
      <c r="K723" s="11">
        <f t="shared" si="3"/>
        <v>51.6847536</v>
      </c>
      <c r="L723" s="11">
        <f t="shared" si="13"/>
        <v>122.4453223</v>
      </c>
      <c r="M723" s="11">
        <f t="shared" ref="M723:M725" si="2165">(I723*D723)/100000</f>
        <v>6.982582122</v>
      </c>
      <c r="N723" s="11">
        <f t="shared" ref="N723:N725" si="2166">(K723*D723)/100000</f>
        <v>14.93947803</v>
      </c>
      <c r="O723" s="19">
        <v>3.34</v>
      </c>
      <c r="P723" s="19"/>
      <c r="Q723" s="19">
        <v>2.14</v>
      </c>
      <c r="R723" s="19"/>
      <c r="S723" s="19">
        <v>5.11</v>
      </c>
      <c r="T723" s="14"/>
      <c r="U723" s="14">
        <f t="shared" ref="U723:U725" si="2167">(O723*D723)/100000</f>
        <v>0.965427</v>
      </c>
      <c r="V723" s="14">
        <f t="shared" ref="V723:V725" si="2168">(Q723*D723)/100000</f>
        <v>0.618567</v>
      </c>
      <c r="W723" s="14">
        <f t="shared" ref="W723:W725" si="2169">(S723*D723)/100000</f>
        <v>1.4770455</v>
      </c>
      <c r="X723" s="13"/>
      <c r="Y723" s="13"/>
      <c r="Z723" s="13" t="str">
        <f t="shared" ref="Z723:Z724" si="2170">ROUND(F723, 0) &amp; " (" &amp; ROUND(H723, 0) &amp; "-" &amp; ROUND(J723, 0) &amp; ")"</f>
        <v>1 (1-2)</v>
      </c>
      <c r="AA723" s="13" t="str">
        <f t="shared" ref="AA723:AA724" si="2171">ROUND(L723, 0) &amp; " (" &amp; ROUND(M723, 0) &amp; "-" &amp; ROUND(N723, 0) &amp; ")"</f>
        <v>122 (7-15)</v>
      </c>
      <c r="AB723" s="13" t="str">
        <f t="shared" ref="AB723:AB724" si="2172">ROUND(O723, 0) &amp; " (" &amp; ROUND(Q723, 0) &amp; "-" &amp; ROUND(S723, 0) &amp; ")"</f>
        <v>3 (2-5)</v>
      </c>
      <c r="AC723" s="13" t="str">
        <f t="shared" ref="AC723:AC724" si="2173">ROUND(U723, 0) &amp; " (" &amp; ROUND(V723, 0) &amp; "-" &amp; ROUND(W723, 0) &amp; ")"</f>
        <v>1 (1-1)</v>
      </c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</row>
    <row r="724" hidden="1">
      <c r="A724" s="24" t="s">
        <v>27</v>
      </c>
      <c r="B724" s="16" t="s">
        <v>209</v>
      </c>
      <c r="C724" s="26">
        <v>2040.0</v>
      </c>
      <c r="D724" s="17">
        <f>11356+11755</f>
        <v>23111</v>
      </c>
      <c r="E724" s="10">
        <v>2676100.0</v>
      </c>
      <c r="F724" s="19">
        <v>1.26</v>
      </c>
      <c r="G724" s="10">
        <f t="shared" si="1"/>
        <v>33.71886</v>
      </c>
      <c r="H724" s="19">
        <v>0.86</v>
      </c>
      <c r="I724" s="8">
        <f t="shared" si="2"/>
        <v>23.01446</v>
      </c>
      <c r="J724" s="19">
        <v>1.84</v>
      </c>
      <c r="K724" s="11">
        <f t="shared" si="3"/>
        <v>49.24024</v>
      </c>
      <c r="L724" s="11">
        <f t="shared" si="13"/>
        <v>145.8996149</v>
      </c>
      <c r="M724" s="11">
        <f t="shared" si="2165"/>
        <v>5.318871851</v>
      </c>
      <c r="N724" s="11">
        <f t="shared" si="2166"/>
        <v>11.37991187</v>
      </c>
      <c r="O724" s="19">
        <v>3.34</v>
      </c>
      <c r="P724" s="19"/>
      <c r="Q724" s="19">
        <v>2.14</v>
      </c>
      <c r="R724" s="19"/>
      <c r="S724" s="19">
        <v>5.11</v>
      </c>
      <c r="T724" s="14"/>
      <c r="U724" s="14">
        <f t="shared" si="2167"/>
        <v>0.7719074</v>
      </c>
      <c r="V724" s="14">
        <f t="shared" si="2168"/>
        <v>0.4945754</v>
      </c>
      <c r="W724" s="14">
        <f t="shared" si="2169"/>
        <v>1.1809721</v>
      </c>
      <c r="X724" s="13"/>
      <c r="Y724" s="13"/>
      <c r="Z724" s="13" t="str">
        <f t="shared" si="2170"/>
        <v>1 (1-2)</v>
      </c>
      <c r="AA724" s="13" t="str">
        <f t="shared" si="2171"/>
        <v>146 (5-11)</v>
      </c>
      <c r="AB724" s="13" t="str">
        <f t="shared" si="2172"/>
        <v>3 (2-5)</v>
      </c>
      <c r="AC724" s="13" t="str">
        <f t="shared" si="2173"/>
        <v>1 (0-1)</v>
      </c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</row>
    <row r="725" hidden="1">
      <c r="A725" s="24" t="s">
        <v>29</v>
      </c>
      <c r="B725" s="16" t="s">
        <v>209</v>
      </c>
      <c r="C725" s="26">
        <v>2050.0</v>
      </c>
      <c r="D725" s="17">
        <f>9095+9422</f>
        <v>18517</v>
      </c>
      <c r="E725" s="10">
        <v>2454940.0</v>
      </c>
      <c r="F725" s="19">
        <v>1.26</v>
      </c>
      <c r="G725" s="10">
        <f t="shared" si="1"/>
        <v>30.932244</v>
      </c>
      <c r="H725" s="19">
        <v>0.86</v>
      </c>
      <c r="I725" s="8">
        <f t="shared" si="2"/>
        <v>21.112484</v>
      </c>
      <c r="J725" s="19">
        <v>1.84</v>
      </c>
      <c r="K725" s="11">
        <f t="shared" si="3"/>
        <v>45.170896</v>
      </c>
      <c r="L725" s="11">
        <f t="shared" si="13"/>
        <v>167.0478155</v>
      </c>
      <c r="M725" s="11">
        <f t="shared" si="2165"/>
        <v>3.909398662</v>
      </c>
      <c r="N725" s="11">
        <f t="shared" si="2166"/>
        <v>8.364294812</v>
      </c>
      <c r="O725" s="19">
        <v>3.34</v>
      </c>
      <c r="P725" s="8">
        <f t="shared" ref="P725:P726" si="2174">(O725/100000)*E725</f>
        <v>81.994996</v>
      </c>
      <c r="Q725" s="19">
        <v>2.14</v>
      </c>
      <c r="R725" s="8">
        <f t="shared" ref="R725:R726" si="2175">(Q725/100000)*E725</f>
        <v>52.535716</v>
      </c>
      <c r="S725" s="19">
        <v>5.11</v>
      </c>
      <c r="T725" s="11">
        <f t="shared" ref="T725:T726" si="2176">(S725/100000)*E725</f>
        <v>125.447434</v>
      </c>
      <c r="U725" s="14">
        <f t="shared" si="2167"/>
        <v>0.6184678</v>
      </c>
      <c r="V725" s="14">
        <f t="shared" si="2168"/>
        <v>0.3962638</v>
      </c>
      <c r="W725" s="14">
        <f t="shared" si="2169"/>
        <v>0.9462187</v>
      </c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</row>
    <row r="726">
      <c r="A726" s="24" t="s">
        <v>23</v>
      </c>
      <c r="B726" s="16" t="s">
        <v>210</v>
      </c>
      <c r="C726" s="25">
        <v>2021.0</v>
      </c>
      <c r="D726" s="17">
        <f>9101+9579.5</f>
        <v>18680.5</v>
      </c>
      <c r="E726" s="18">
        <v>3262711.0</v>
      </c>
      <c r="F726" s="19">
        <v>0.79</v>
      </c>
      <c r="G726" s="10">
        <f t="shared" si="1"/>
        <v>25.7754169</v>
      </c>
      <c r="H726" s="19">
        <v>0.53</v>
      </c>
      <c r="I726" s="8">
        <f t="shared" si="2"/>
        <v>17.2923683</v>
      </c>
      <c r="J726" s="19">
        <v>1.19</v>
      </c>
      <c r="K726" s="11">
        <f t="shared" si="3"/>
        <v>38.8262609</v>
      </c>
      <c r="L726" s="11">
        <f t="shared" si="13"/>
        <v>137.9803373</v>
      </c>
      <c r="M726" s="12">
        <f>(I726/D726)*100000</f>
        <v>92.56908702</v>
      </c>
      <c r="N726" s="11">
        <f>(K726/D726)*100000</f>
        <v>207.8437991</v>
      </c>
      <c r="O726" s="19">
        <v>3.53</v>
      </c>
      <c r="P726" s="8">
        <f t="shared" si="2174"/>
        <v>115.1736983</v>
      </c>
      <c r="Q726" s="19">
        <v>2.15</v>
      </c>
      <c r="R726" s="8">
        <f t="shared" si="2175"/>
        <v>70.1482865</v>
      </c>
      <c r="S726" s="19">
        <v>5.51</v>
      </c>
      <c r="T726" s="11">
        <f t="shared" si="2176"/>
        <v>179.7753761</v>
      </c>
      <c r="U726" s="11">
        <f>(P726/D726)*100000</f>
        <v>616.5450513</v>
      </c>
      <c r="V726" s="11">
        <f>(R726/D726)*100000</f>
        <v>375.5161077</v>
      </c>
      <c r="W726" s="11">
        <f>(T726/D726)*100000</f>
        <v>962.3691877</v>
      </c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</row>
    <row r="727" hidden="1">
      <c r="A727" s="24" t="s">
        <v>25</v>
      </c>
      <c r="B727" s="16" t="s">
        <v>210</v>
      </c>
      <c r="C727" s="26">
        <v>2030.0</v>
      </c>
      <c r="D727" s="17">
        <f>9131+9598</f>
        <v>18729</v>
      </c>
      <c r="E727" s="10">
        <v>3079297.0</v>
      </c>
      <c r="F727" s="19">
        <v>0.79</v>
      </c>
      <c r="G727" s="10">
        <f t="shared" si="1"/>
        <v>24.3264463</v>
      </c>
      <c r="H727" s="19">
        <v>0.53</v>
      </c>
      <c r="I727" s="8">
        <f t="shared" si="2"/>
        <v>16.3202741</v>
      </c>
      <c r="J727" s="19">
        <v>1.19</v>
      </c>
      <c r="K727" s="11">
        <f t="shared" si="3"/>
        <v>36.6436343</v>
      </c>
      <c r="L727" s="11">
        <f t="shared" si="13"/>
        <v>129.8865198</v>
      </c>
      <c r="M727" s="11">
        <f t="shared" ref="M727:M729" si="2177">(I727*D727)/100000</f>
        <v>3.056624136</v>
      </c>
      <c r="N727" s="11">
        <f t="shared" ref="N727:N729" si="2178">(K727*D727)/100000</f>
        <v>6.862986268</v>
      </c>
      <c r="O727" s="19">
        <v>3.53</v>
      </c>
      <c r="P727" s="19"/>
      <c r="Q727" s="19">
        <v>2.15</v>
      </c>
      <c r="R727" s="19"/>
      <c r="S727" s="19">
        <v>5.51</v>
      </c>
      <c r="T727" s="14"/>
      <c r="U727" s="14">
        <f t="shared" ref="U727:U729" si="2179">(O727*D727)/100000</f>
        <v>0.6611337</v>
      </c>
      <c r="V727" s="14">
        <f t="shared" ref="V727:V729" si="2180">(Q727*D727)/100000</f>
        <v>0.4026735</v>
      </c>
      <c r="W727" s="14">
        <f t="shared" ref="W727:W729" si="2181">(S727*D727)/100000</f>
        <v>1.0319679</v>
      </c>
      <c r="X727" s="13"/>
      <c r="Y727" s="13"/>
      <c r="Z727" s="13" t="str">
        <f t="shared" ref="Z727:Z728" si="2182">ROUND(F727, 0) &amp; " (" &amp; ROUND(H727, 0) &amp; "-" &amp; ROUND(J727, 0) &amp; ")"</f>
        <v>1 (1-1)</v>
      </c>
      <c r="AA727" s="13" t="str">
        <f t="shared" ref="AA727:AA728" si="2183">ROUND(L727, 0) &amp; " (" &amp; ROUND(M727, 0) &amp; "-" &amp; ROUND(N727, 0) &amp; ")"</f>
        <v>130 (3-7)</v>
      </c>
      <c r="AB727" s="13" t="str">
        <f t="shared" ref="AB727:AB728" si="2184">ROUND(O727, 0) &amp; " (" &amp; ROUND(Q727, 0) &amp; "-" &amp; ROUND(S727, 0) &amp; ")"</f>
        <v>4 (2-6)</v>
      </c>
      <c r="AC727" s="13" t="str">
        <f t="shared" ref="AC727:AC728" si="2185">ROUND(U727, 0) &amp; " (" &amp; ROUND(V727, 0) &amp; "-" &amp; ROUND(W727, 0) &amp; ")"</f>
        <v>1 (0-1)</v>
      </c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</row>
    <row r="728" hidden="1">
      <c r="A728" s="24" t="s">
        <v>27</v>
      </c>
      <c r="B728" s="16" t="s">
        <v>210</v>
      </c>
      <c r="C728" s="26">
        <v>2040.0</v>
      </c>
      <c r="D728" s="17">
        <f>7464+7845</f>
        <v>15309</v>
      </c>
      <c r="E728" s="10">
        <v>2783742.0</v>
      </c>
      <c r="F728" s="19">
        <v>0.79</v>
      </c>
      <c r="G728" s="10">
        <f t="shared" si="1"/>
        <v>21.9915618</v>
      </c>
      <c r="H728" s="19">
        <v>0.53</v>
      </c>
      <c r="I728" s="8">
        <f t="shared" si="2"/>
        <v>14.7538326</v>
      </c>
      <c r="J728" s="19">
        <v>1.19</v>
      </c>
      <c r="K728" s="11">
        <f t="shared" si="3"/>
        <v>33.1265298</v>
      </c>
      <c r="L728" s="11">
        <f t="shared" si="13"/>
        <v>143.6511973</v>
      </c>
      <c r="M728" s="11">
        <f t="shared" si="2177"/>
        <v>2.258664233</v>
      </c>
      <c r="N728" s="11">
        <f t="shared" si="2178"/>
        <v>5.071340447</v>
      </c>
      <c r="O728" s="19">
        <v>3.53</v>
      </c>
      <c r="P728" s="19"/>
      <c r="Q728" s="19">
        <v>2.15</v>
      </c>
      <c r="R728" s="19"/>
      <c r="S728" s="19">
        <v>5.51</v>
      </c>
      <c r="T728" s="14"/>
      <c r="U728" s="14">
        <f t="shared" si="2179"/>
        <v>0.5404077</v>
      </c>
      <c r="V728" s="14">
        <f t="shared" si="2180"/>
        <v>0.3291435</v>
      </c>
      <c r="W728" s="14">
        <f t="shared" si="2181"/>
        <v>0.8435259</v>
      </c>
      <c r="X728" s="13"/>
      <c r="Y728" s="13"/>
      <c r="Z728" s="13" t="str">
        <f t="shared" si="2182"/>
        <v>1 (1-1)</v>
      </c>
      <c r="AA728" s="13" t="str">
        <f t="shared" si="2183"/>
        <v>144 (2-5)</v>
      </c>
      <c r="AB728" s="13" t="str">
        <f t="shared" si="2184"/>
        <v>4 (2-6)</v>
      </c>
      <c r="AC728" s="13" t="str">
        <f t="shared" si="2185"/>
        <v>1 (0-1)</v>
      </c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</row>
    <row r="729" hidden="1">
      <c r="A729" s="24" t="s">
        <v>29</v>
      </c>
      <c r="B729" s="16" t="s">
        <v>210</v>
      </c>
      <c r="C729" s="26">
        <v>2050.0</v>
      </c>
      <c r="D729" s="18">
        <f>5169+5434</f>
        <v>10603</v>
      </c>
      <c r="E729" s="10">
        <v>2441731.0</v>
      </c>
      <c r="F729" s="19">
        <v>0.79</v>
      </c>
      <c r="G729" s="10">
        <f t="shared" si="1"/>
        <v>19.2896749</v>
      </c>
      <c r="H729" s="19">
        <v>0.53</v>
      </c>
      <c r="I729" s="8">
        <f t="shared" si="2"/>
        <v>12.9411743</v>
      </c>
      <c r="J729" s="19">
        <v>1.19</v>
      </c>
      <c r="K729" s="11">
        <f t="shared" si="3"/>
        <v>29.0565989</v>
      </c>
      <c r="L729" s="11">
        <f t="shared" si="13"/>
        <v>181.9265764</v>
      </c>
      <c r="M729" s="11">
        <f t="shared" si="2177"/>
        <v>1.372152711</v>
      </c>
      <c r="N729" s="11">
        <f t="shared" si="2178"/>
        <v>3.080871181</v>
      </c>
      <c r="O729" s="19">
        <v>3.53</v>
      </c>
      <c r="P729" s="8">
        <f t="shared" ref="P729:P730" si="2186">(O729/100000)*E729</f>
        <v>86.1931043</v>
      </c>
      <c r="Q729" s="19">
        <v>2.15</v>
      </c>
      <c r="R729" s="8">
        <f t="shared" ref="R729:R730" si="2187">(Q729/100000)*E729</f>
        <v>52.4972165</v>
      </c>
      <c r="S729" s="19">
        <v>5.51</v>
      </c>
      <c r="T729" s="11">
        <f t="shared" ref="T729:T730" si="2188">(S729/100000)*E729</f>
        <v>134.5393781</v>
      </c>
      <c r="U729" s="14">
        <f t="shared" si="2179"/>
        <v>0.3742859</v>
      </c>
      <c r="V729" s="14">
        <f t="shared" si="2180"/>
        <v>0.2279645</v>
      </c>
      <c r="W729" s="14">
        <f t="shared" si="2181"/>
        <v>0.5842253</v>
      </c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</row>
    <row r="730">
      <c r="A730" s="24" t="s">
        <v>23</v>
      </c>
      <c r="B730" s="16" t="s">
        <v>211</v>
      </c>
      <c r="C730" s="25">
        <v>2021.0</v>
      </c>
      <c r="D730" s="17">
        <f>282+291.5</f>
        <v>573.5</v>
      </c>
      <c r="E730" s="18">
        <v>46763.0</v>
      </c>
      <c r="F730" s="19">
        <v>0.99</v>
      </c>
      <c r="G730" s="21">
        <f t="shared" si="1"/>
        <v>0.4629537</v>
      </c>
      <c r="H730" s="19">
        <v>0.65</v>
      </c>
      <c r="I730" s="8">
        <f t="shared" si="2"/>
        <v>0.3039595</v>
      </c>
      <c r="J730" s="19">
        <v>1.46</v>
      </c>
      <c r="K730" s="11">
        <f t="shared" si="3"/>
        <v>0.6827398</v>
      </c>
      <c r="L730" s="11">
        <f t="shared" si="13"/>
        <v>80.72427201</v>
      </c>
      <c r="M730" s="12">
        <f>(I730/D730)*100000</f>
        <v>53.00078466</v>
      </c>
      <c r="N730" s="11">
        <f>(K730/D730)*100000</f>
        <v>119.0479163</v>
      </c>
      <c r="O730" s="19">
        <v>2.88</v>
      </c>
      <c r="P730" s="8">
        <f t="shared" si="2186"/>
        <v>1.3467744</v>
      </c>
      <c r="Q730" s="19">
        <v>1.74</v>
      </c>
      <c r="R730" s="8">
        <f t="shared" si="2187"/>
        <v>0.8136762</v>
      </c>
      <c r="S730" s="19">
        <v>4.59</v>
      </c>
      <c r="T730" s="11">
        <f t="shared" si="2188"/>
        <v>2.1464217</v>
      </c>
      <c r="U730" s="11">
        <f>(P730/D730)*100000</f>
        <v>234.8342459</v>
      </c>
      <c r="V730" s="11">
        <f>(R730/D730)*100000</f>
        <v>141.8790235</v>
      </c>
      <c r="W730" s="11">
        <f>(T730/D730)*100000</f>
        <v>374.2670793</v>
      </c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</row>
    <row r="731" hidden="1">
      <c r="A731" s="24" t="s">
        <v>25</v>
      </c>
      <c r="B731" s="16" t="s">
        <v>211</v>
      </c>
      <c r="C731" s="26">
        <v>2030.0</v>
      </c>
      <c r="D731" s="17">
        <f>242+250</f>
        <v>492</v>
      </c>
      <c r="E731" s="10">
        <v>47134.0</v>
      </c>
      <c r="F731" s="19">
        <v>0.99</v>
      </c>
      <c r="G731" s="21">
        <f t="shared" si="1"/>
        <v>0.4666266</v>
      </c>
      <c r="H731" s="19">
        <v>0.65</v>
      </c>
      <c r="I731" s="8">
        <f t="shared" si="2"/>
        <v>0.306371</v>
      </c>
      <c r="J731" s="19">
        <v>1.46</v>
      </c>
      <c r="K731" s="11">
        <f t="shared" si="3"/>
        <v>0.6881564</v>
      </c>
      <c r="L731" s="11">
        <f t="shared" si="13"/>
        <v>94.84280488</v>
      </c>
      <c r="M731" s="11">
        <f t="shared" ref="M731:M733" si="2189">(I731*D731)/100000</f>
        <v>0.00150734532</v>
      </c>
      <c r="N731" s="11">
        <f t="shared" ref="N731:N733" si="2190">(K731*D731)/100000</f>
        <v>0.003385729488</v>
      </c>
      <c r="O731" s="19">
        <v>2.88</v>
      </c>
      <c r="P731" s="19"/>
      <c r="Q731" s="19">
        <v>1.74</v>
      </c>
      <c r="R731" s="19"/>
      <c r="S731" s="19">
        <v>4.59</v>
      </c>
      <c r="T731" s="14"/>
      <c r="U731" s="14">
        <f t="shared" ref="U731:U733" si="2191">(O731*D731)/100000</f>
        <v>0.0141696</v>
      </c>
      <c r="V731" s="14">
        <f t="shared" ref="V731:V733" si="2192">(Q731*D731)/100000</f>
        <v>0.0085608</v>
      </c>
      <c r="W731" s="14">
        <f t="shared" ref="W731:W733" si="2193">(S731*D731)/100000</f>
        <v>0.0225828</v>
      </c>
      <c r="X731" s="13"/>
      <c r="Y731" s="13"/>
      <c r="Z731" s="13" t="str">
        <f t="shared" ref="Z731:Z732" si="2194">ROUND(F731, 0) &amp; " (" &amp; ROUND(H731, 0) &amp; "-" &amp; ROUND(J731, 0) &amp; ")"</f>
        <v>1 (1-1)</v>
      </c>
      <c r="AA731" s="13" t="str">
        <f t="shared" ref="AA731:AA732" si="2195">ROUND(L731, 0) &amp; " (" &amp; ROUND(M731, 0) &amp; "-" &amp; ROUND(N731, 0) &amp; ")"</f>
        <v>95 (0-0)</v>
      </c>
      <c r="AB731" s="13" t="str">
        <f t="shared" ref="AB731:AB732" si="2196">ROUND(O731, 0) &amp; " (" &amp; ROUND(Q731, 0) &amp; "-" &amp; ROUND(S731, 0) &amp; ")"</f>
        <v>3 (2-5)</v>
      </c>
      <c r="AC731" s="13" t="str">
        <f t="shared" ref="AC731:AC732" si="2197">ROUND(U731, 0) &amp; " (" &amp; ROUND(V731, 0) &amp; "-" &amp; ROUND(W731, 0) &amp; ")"</f>
        <v>0 (0-0)</v>
      </c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</row>
    <row r="732" hidden="1">
      <c r="A732" s="24" t="s">
        <v>27</v>
      </c>
      <c r="B732" s="16" t="s">
        <v>211</v>
      </c>
      <c r="C732" s="26">
        <v>2040.0</v>
      </c>
      <c r="D732" s="17">
        <f>216+223</f>
        <v>439</v>
      </c>
      <c r="E732" s="10">
        <v>46313.0</v>
      </c>
      <c r="F732" s="19">
        <v>0.99</v>
      </c>
      <c r="G732" s="21">
        <f t="shared" si="1"/>
        <v>0.4584987</v>
      </c>
      <c r="H732" s="19">
        <v>0.65</v>
      </c>
      <c r="I732" s="8">
        <f t="shared" si="2"/>
        <v>0.3010345</v>
      </c>
      <c r="J732" s="19">
        <v>1.46</v>
      </c>
      <c r="K732" s="11">
        <f t="shared" si="3"/>
        <v>0.6761698</v>
      </c>
      <c r="L732" s="11">
        <f t="shared" si="13"/>
        <v>104.4416173</v>
      </c>
      <c r="M732" s="11">
        <f t="shared" si="2189"/>
        <v>0.001321541455</v>
      </c>
      <c r="N732" s="11">
        <f t="shared" si="2190"/>
        <v>0.002968385422</v>
      </c>
      <c r="O732" s="19">
        <v>2.88</v>
      </c>
      <c r="P732" s="19"/>
      <c r="Q732" s="19">
        <v>1.74</v>
      </c>
      <c r="R732" s="19"/>
      <c r="S732" s="19">
        <v>4.59</v>
      </c>
      <c r="T732" s="14"/>
      <c r="U732" s="14">
        <f t="shared" si="2191"/>
        <v>0.0126432</v>
      </c>
      <c r="V732" s="14">
        <f t="shared" si="2192"/>
        <v>0.0076386</v>
      </c>
      <c r="W732" s="14">
        <f t="shared" si="2193"/>
        <v>0.0201501</v>
      </c>
      <c r="X732" s="13"/>
      <c r="Y732" s="13"/>
      <c r="Z732" s="13" t="str">
        <f t="shared" si="2194"/>
        <v>1 (1-1)</v>
      </c>
      <c r="AA732" s="13" t="str">
        <f t="shared" si="2195"/>
        <v>104 (0-0)</v>
      </c>
      <c r="AB732" s="13" t="str">
        <f t="shared" si="2196"/>
        <v>3 (2-5)</v>
      </c>
      <c r="AC732" s="13" t="str">
        <f t="shared" si="2197"/>
        <v>0 (0-0)</v>
      </c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</row>
    <row r="733" hidden="1">
      <c r="A733" s="24" t="s">
        <v>29</v>
      </c>
      <c r="B733" s="16" t="s">
        <v>211</v>
      </c>
      <c r="C733" s="26">
        <v>2050.0</v>
      </c>
      <c r="D733" s="17">
        <f>195+201</f>
        <v>396</v>
      </c>
      <c r="E733" s="10">
        <v>44249.0</v>
      </c>
      <c r="F733" s="19">
        <v>0.99</v>
      </c>
      <c r="G733" s="21">
        <f t="shared" si="1"/>
        <v>0.4380651</v>
      </c>
      <c r="H733" s="19">
        <v>0.65</v>
      </c>
      <c r="I733" s="8">
        <f t="shared" si="2"/>
        <v>0.2876185</v>
      </c>
      <c r="J733" s="19">
        <v>1.46</v>
      </c>
      <c r="K733" s="11">
        <f t="shared" si="3"/>
        <v>0.6460354</v>
      </c>
      <c r="L733" s="11">
        <f t="shared" si="13"/>
        <v>110.6225</v>
      </c>
      <c r="M733" s="11">
        <f t="shared" si="2189"/>
        <v>0.00113896926</v>
      </c>
      <c r="N733" s="11">
        <f t="shared" si="2190"/>
        <v>0.002558300184</v>
      </c>
      <c r="O733" s="19">
        <v>2.88</v>
      </c>
      <c r="P733" s="8">
        <f t="shared" ref="P733:P734" si="2198">(O733/100000)*E733</f>
        <v>1.2743712</v>
      </c>
      <c r="Q733" s="19">
        <v>1.74</v>
      </c>
      <c r="R733" s="8">
        <f t="shared" ref="R733:R734" si="2199">(Q733/100000)*E733</f>
        <v>0.7699326</v>
      </c>
      <c r="S733" s="19">
        <v>4.59</v>
      </c>
      <c r="T733" s="11">
        <f t="shared" ref="T733:T734" si="2200">(S733/100000)*E733</f>
        <v>2.0310291</v>
      </c>
      <c r="U733" s="14">
        <f t="shared" si="2191"/>
        <v>0.0114048</v>
      </c>
      <c r="V733" s="14">
        <f t="shared" si="2192"/>
        <v>0.0068904</v>
      </c>
      <c r="W733" s="14">
        <f t="shared" si="2193"/>
        <v>0.0181764</v>
      </c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</row>
    <row r="734">
      <c r="A734" s="24" t="s">
        <v>23</v>
      </c>
      <c r="B734" s="16" t="s">
        <v>212</v>
      </c>
      <c r="C734" s="25">
        <v>2021.0</v>
      </c>
      <c r="D734" s="17">
        <f>1010+1039.5</f>
        <v>2049.5</v>
      </c>
      <c r="E734" s="18">
        <v>178522.0</v>
      </c>
      <c r="F734" s="19">
        <v>0.91</v>
      </c>
      <c r="G734" s="10">
        <f t="shared" si="1"/>
        <v>1.6245502</v>
      </c>
      <c r="H734" s="19">
        <v>0.63</v>
      </c>
      <c r="I734" s="8">
        <f t="shared" si="2"/>
        <v>1.1246886</v>
      </c>
      <c r="J734" s="19">
        <v>1.32</v>
      </c>
      <c r="K734" s="11">
        <f t="shared" si="3"/>
        <v>2.3564904</v>
      </c>
      <c r="L734" s="11">
        <f t="shared" si="13"/>
        <v>79.26568431</v>
      </c>
      <c r="M734" s="12">
        <f>(I734/D734)*100000</f>
        <v>54.87624299</v>
      </c>
      <c r="N734" s="11">
        <f>(K734/D734)*100000</f>
        <v>114.9787948</v>
      </c>
      <c r="O734" s="19">
        <v>2.71</v>
      </c>
      <c r="P734" s="8">
        <f t="shared" si="2198"/>
        <v>4.8379462</v>
      </c>
      <c r="Q734" s="19">
        <v>1.69</v>
      </c>
      <c r="R734" s="8">
        <f t="shared" si="2199"/>
        <v>3.0170218</v>
      </c>
      <c r="S734" s="19">
        <v>4.26</v>
      </c>
      <c r="T734" s="11">
        <f t="shared" si="2200"/>
        <v>7.6050372</v>
      </c>
      <c r="U734" s="11">
        <f>(P734/D734)*100000</f>
        <v>236.05495</v>
      </c>
      <c r="V734" s="11">
        <f>(R734/D734)*100000</f>
        <v>147.2076994</v>
      </c>
      <c r="W734" s="11">
        <f>(T734/D734)*100000</f>
        <v>371.0679288</v>
      </c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</row>
    <row r="735" hidden="1">
      <c r="A735" s="24" t="s">
        <v>25</v>
      </c>
      <c r="B735" s="16" t="s">
        <v>212</v>
      </c>
      <c r="C735" s="26">
        <v>2030.0</v>
      </c>
      <c r="D735" s="17">
        <f>912+938</f>
        <v>1850</v>
      </c>
      <c r="E735" s="10">
        <v>181359.0</v>
      </c>
      <c r="F735" s="19">
        <v>0.91</v>
      </c>
      <c r="G735" s="10">
        <f t="shared" si="1"/>
        <v>1.6503669</v>
      </c>
      <c r="H735" s="19">
        <v>0.63</v>
      </c>
      <c r="I735" s="8">
        <f t="shared" si="2"/>
        <v>1.1425617</v>
      </c>
      <c r="J735" s="19">
        <v>1.32</v>
      </c>
      <c r="K735" s="11">
        <f t="shared" si="3"/>
        <v>2.3939388</v>
      </c>
      <c r="L735" s="11">
        <f t="shared" si="13"/>
        <v>89.20902162</v>
      </c>
      <c r="M735" s="11">
        <f t="shared" ref="M735:M737" si="2201">(I735*D735)/100000</f>
        <v>0.02113739145</v>
      </c>
      <c r="N735" s="11">
        <f t="shared" ref="N735:N737" si="2202">(K735*D735)/100000</f>
        <v>0.0442878678</v>
      </c>
      <c r="O735" s="19">
        <v>2.71</v>
      </c>
      <c r="P735" s="19"/>
      <c r="Q735" s="19">
        <v>1.69</v>
      </c>
      <c r="R735" s="19"/>
      <c r="S735" s="19">
        <v>4.26</v>
      </c>
      <c r="T735" s="14"/>
      <c r="U735" s="14">
        <f t="shared" ref="U735:U737" si="2203">(O735*D735)/100000</f>
        <v>0.050135</v>
      </c>
      <c r="V735" s="14">
        <f t="shared" ref="V735:V737" si="2204">(Q735*D735)/100000</f>
        <v>0.031265</v>
      </c>
      <c r="W735" s="14">
        <f t="shared" ref="W735:W737" si="2205">(S735*D735)/100000</f>
        <v>0.07881</v>
      </c>
      <c r="X735" s="13"/>
      <c r="Y735" s="13"/>
      <c r="Z735" s="13" t="str">
        <f t="shared" ref="Z735:Z736" si="2206">ROUND(F735, 0) &amp; " (" &amp; ROUND(H735, 0) &amp; "-" &amp; ROUND(J735, 0) &amp; ")"</f>
        <v>1 (1-1)</v>
      </c>
      <c r="AA735" s="13" t="str">
        <f t="shared" ref="AA735:AA736" si="2207">ROUND(L735, 0) &amp; " (" &amp; ROUND(M735, 0) &amp; "-" &amp; ROUND(N735, 0) &amp; ")"</f>
        <v>89 (0-0)</v>
      </c>
      <c r="AB735" s="13" t="str">
        <f t="shared" ref="AB735:AB736" si="2208">ROUND(O735, 0) &amp; " (" &amp; ROUND(Q735, 0) &amp; "-" &amp; ROUND(S735, 0) &amp; ")"</f>
        <v>3 (2-4)</v>
      </c>
      <c r="AC735" s="13" t="str">
        <f t="shared" ref="AC735:AC736" si="2209">ROUND(U735, 0) &amp; " (" &amp; ROUND(V735, 0) &amp; "-" &amp; ROUND(W735, 0) &amp; ")"</f>
        <v>0 (0-0)</v>
      </c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</row>
    <row r="736" hidden="1">
      <c r="A736" s="24" t="s">
        <v>27</v>
      </c>
      <c r="B736" s="16" t="s">
        <v>212</v>
      </c>
      <c r="C736" s="26">
        <v>2040.0</v>
      </c>
      <c r="D736" s="17">
        <f>766+788</f>
        <v>1554</v>
      </c>
      <c r="E736" s="10">
        <v>179293.0</v>
      </c>
      <c r="F736" s="19">
        <v>0.91</v>
      </c>
      <c r="G736" s="10">
        <f t="shared" si="1"/>
        <v>1.6315663</v>
      </c>
      <c r="H736" s="19">
        <v>0.63</v>
      </c>
      <c r="I736" s="8">
        <f t="shared" si="2"/>
        <v>1.1295459</v>
      </c>
      <c r="J736" s="19">
        <v>1.32</v>
      </c>
      <c r="K736" s="11">
        <f t="shared" si="3"/>
        <v>2.3666676</v>
      </c>
      <c r="L736" s="11">
        <f t="shared" si="13"/>
        <v>104.9913964</v>
      </c>
      <c r="M736" s="11">
        <f t="shared" si="2201"/>
        <v>0.01755314329</v>
      </c>
      <c r="N736" s="11">
        <f t="shared" si="2202"/>
        <v>0.0367780145</v>
      </c>
      <c r="O736" s="19">
        <v>2.71</v>
      </c>
      <c r="P736" s="19"/>
      <c r="Q736" s="19">
        <v>1.69</v>
      </c>
      <c r="R736" s="19"/>
      <c r="S736" s="19">
        <v>4.26</v>
      </c>
      <c r="T736" s="14"/>
      <c r="U736" s="14">
        <f t="shared" si="2203"/>
        <v>0.0421134</v>
      </c>
      <c r="V736" s="14">
        <f t="shared" si="2204"/>
        <v>0.0262626</v>
      </c>
      <c r="W736" s="14">
        <f t="shared" si="2205"/>
        <v>0.0662004</v>
      </c>
      <c r="X736" s="13"/>
      <c r="Y736" s="13"/>
      <c r="Z736" s="13" t="str">
        <f t="shared" si="2206"/>
        <v>1 (1-1)</v>
      </c>
      <c r="AA736" s="13" t="str">
        <f t="shared" si="2207"/>
        <v>105 (0-0)</v>
      </c>
      <c r="AB736" s="13" t="str">
        <f t="shared" si="2208"/>
        <v>3 (2-4)</v>
      </c>
      <c r="AC736" s="13" t="str">
        <f t="shared" si="2209"/>
        <v>0 (0-0)</v>
      </c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</row>
    <row r="737" hidden="1">
      <c r="A737" s="24" t="s">
        <v>29</v>
      </c>
      <c r="B737" s="16" t="s">
        <v>212</v>
      </c>
      <c r="C737" s="26">
        <v>2050.0</v>
      </c>
      <c r="D737" s="17">
        <f>679+699</f>
        <v>1378</v>
      </c>
      <c r="E737" s="10">
        <v>172081.0</v>
      </c>
      <c r="F737" s="19">
        <v>0.91</v>
      </c>
      <c r="G737" s="10">
        <f t="shared" si="1"/>
        <v>1.5659371</v>
      </c>
      <c r="H737" s="19">
        <v>0.63</v>
      </c>
      <c r="I737" s="8">
        <f t="shared" si="2"/>
        <v>1.0841103</v>
      </c>
      <c r="J737" s="19">
        <v>1.32</v>
      </c>
      <c r="K737" s="11">
        <f t="shared" si="3"/>
        <v>2.2714692</v>
      </c>
      <c r="L737" s="11">
        <f t="shared" si="13"/>
        <v>113.6383962</v>
      </c>
      <c r="M737" s="11">
        <f t="shared" si="2201"/>
        <v>0.01493903993</v>
      </c>
      <c r="N737" s="11">
        <f t="shared" si="2202"/>
        <v>0.03130084558</v>
      </c>
      <c r="O737" s="19">
        <v>2.71</v>
      </c>
      <c r="P737" s="8">
        <f t="shared" ref="P737:P738" si="2210">(O737/100000)*E737</f>
        <v>4.6633951</v>
      </c>
      <c r="Q737" s="19">
        <v>1.69</v>
      </c>
      <c r="R737" s="8">
        <f t="shared" ref="R737:R738" si="2211">(Q737/100000)*E737</f>
        <v>2.9081689</v>
      </c>
      <c r="S737" s="19">
        <v>4.26</v>
      </c>
      <c r="T737" s="11">
        <f t="shared" ref="T737:T738" si="2212">(S737/100000)*E737</f>
        <v>7.3306506</v>
      </c>
      <c r="U737" s="14">
        <f t="shared" si="2203"/>
        <v>0.0373438</v>
      </c>
      <c r="V737" s="14">
        <f t="shared" si="2204"/>
        <v>0.0232882</v>
      </c>
      <c r="W737" s="14">
        <f t="shared" si="2205"/>
        <v>0.0587028</v>
      </c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</row>
    <row r="738">
      <c r="A738" s="24" t="s">
        <v>23</v>
      </c>
      <c r="B738" s="16" t="s">
        <v>213</v>
      </c>
      <c r="C738" s="25">
        <v>2021.0</v>
      </c>
      <c r="D738" s="17">
        <f>634+652.5</f>
        <v>1286.5</v>
      </c>
      <c r="E738" s="18">
        <v>102841.0</v>
      </c>
      <c r="F738" s="19">
        <v>1.34</v>
      </c>
      <c r="G738" s="10">
        <f t="shared" si="1"/>
        <v>1.3780694</v>
      </c>
      <c r="H738" s="19">
        <v>0.95</v>
      </c>
      <c r="I738" s="8">
        <f t="shared" si="2"/>
        <v>0.9769895</v>
      </c>
      <c r="J738" s="19">
        <v>1.84</v>
      </c>
      <c r="K738" s="11">
        <f t="shared" si="3"/>
        <v>1.8922744</v>
      </c>
      <c r="L738" s="11">
        <f t="shared" si="13"/>
        <v>107.1177147</v>
      </c>
      <c r="M738" s="12">
        <f>(I738/D738)*100000</f>
        <v>75.94166343</v>
      </c>
      <c r="N738" s="11">
        <f>(K738/D738)*100000</f>
        <v>147.0870113</v>
      </c>
      <c r="O738" s="19">
        <v>2.85</v>
      </c>
      <c r="P738" s="8">
        <f t="shared" si="2210"/>
        <v>2.9309685</v>
      </c>
      <c r="Q738" s="19">
        <v>1.71</v>
      </c>
      <c r="R738" s="8">
        <f t="shared" si="2211"/>
        <v>1.7585811</v>
      </c>
      <c r="S738" s="19">
        <v>4.37</v>
      </c>
      <c r="T738" s="11">
        <f t="shared" si="2212"/>
        <v>4.4941517</v>
      </c>
      <c r="U738" s="11">
        <f>(P738/D738)*100000</f>
        <v>227.8249903</v>
      </c>
      <c r="V738" s="11">
        <f>(R738/D738)*100000</f>
        <v>136.6949942</v>
      </c>
      <c r="W738" s="11">
        <f>(T738/D738)*100000</f>
        <v>349.3316518</v>
      </c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</row>
    <row r="739" hidden="1">
      <c r="A739" s="24" t="s">
        <v>25</v>
      </c>
      <c r="B739" s="16" t="s">
        <v>213</v>
      </c>
      <c r="C739" s="26">
        <v>2030.0</v>
      </c>
      <c r="D739" s="17">
        <f>538+555</f>
        <v>1093</v>
      </c>
      <c r="E739" s="10">
        <v>96856.0</v>
      </c>
      <c r="F739" s="19">
        <v>1.34</v>
      </c>
      <c r="G739" s="10">
        <f t="shared" si="1"/>
        <v>1.2978704</v>
      </c>
      <c r="H739" s="19">
        <v>0.95</v>
      </c>
      <c r="I739" s="8">
        <f t="shared" si="2"/>
        <v>0.920132</v>
      </c>
      <c r="J739" s="19">
        <v>1.84</v>
      </c>
      <c r="K739" s="11">
        <f t="shared" si="3"/>
        <v>1.7821504</v>
      </c>
      <c r="L739" s="11">
        <f t="shared" si="13"/>
        <v>118.7438609</v>
      </c>
      <c r="M739" s="11">
        <f t="shared" ref="M739:M741" si="2213">(I739*D739)/100000</f>
        <v>0.01005704276</v>
      </c>
      <c r="N739" s="11">
        <f t="shared" ref="N739:N741" si="2214">(K739*D739)/100000</f>
        <v>0.01947890387</v>
      </c>
      <c r="O739" s="19">
        <v>2.85</v>
      </c>
      <c r="P739" s="19"/>
      <c r="Q739" s="19">
        <v>1.71</v>
      </c>
      <c r="R739" s="19"/>
      <c r="S739" s="19">
        <v>4.37</v>
      </c>
      <c r="T739" s="14"/>
      <c r="U739" s="14">
        <f t="shared" ref="U739:U741" si="2215">(O739*D739)/100000</f>
        <v>0.0311505</v>
      </c>
      <c r="V739" s="14">
        <f t="shared" ref="V739:V741" si="2216">(Q739*D739)/100000</f>
        <v>0.0186903</v>
      </c>
      <c r="W739" s="14">
        <f t="shared" ref="W739:W741" si="2217">(S739*D739)/100000</f>
        <v>0.0477641</v>
      </c>
      <c r="X739" s="13"/>
      <c r="Y739" s="13"/>
      <c r="Z739" s="13" t="str">
        <f t="shared" ref="Z739:Z740" si="2218">ROUND(F739, 0) &amp; " (" &amp; ROUND(H739, 0) &amp; "-" &amp; ROUND(J739, 0) &amp; ")"</f>
        <v>1 (1-2)</v>
      </c>
      <c r="AA739" s="13" t="str">
        <f t="shared" ref="AA739:AA740" si="2219">ROUND(L739, 0) &amp; " (" &amp; ROUND(M739, 0) &amp; "-" &amp; ROUND(N739, 0) &amp; ")"</f>
        <v>119 (0-0)</v>
      </c>
      <c r="AB739" s="13" t="str">
        <f t="shared" ref="AB739:AB740" si="2220">ROUND(O739, 0) &amp; " (" &amp; ROUND(Q739, 0) &amp; "-" &amp; ROUND(S739, 0) &amp; ")"</f>
        <v>3 (2-4)</v>
      </c>
      <c r="AC739" s="13" t="str">
        <f t="shared" ref="AC739:AC740" si="2221">ROUND(U739, 0) &amp; " (" &amp; ROUND(V739, 0) &amp; "-" &amp; ROUND(W739, 0) &amp; ")"</f>
        <v>0 (0-0)</v>
      </c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</row>
    <row r="740" hidden="1">
      <c r="A740" s="24" t="s">
        <v>27</v>
      </c>
      <c r="B740" s="16" t="s">
        <v>213</v>
      </c>
      <c r="C740" s="26">
        <v>2040.0</v>
      </c>
      <c r="D740" s="17">
        <f>516+532</f>
        <v>1048</v>
      </c>
      <c r="E740" s="10">
        <v>92650.0</v>
      </c>
      <c r="F740" s="19">
        <v>1.34</v>
      </c>
      <c r="G740" s="10">
        <f t="shared" si="1"/>
        <v>1.24151</v>
      </c>
      <c r="H740" s="19">
        <v>0.95</v>
      </c>
      <c r="I740" s="8">
        <f t="shared" si="2"/>
        <v>0.880175</v>
      </c>
      <c r="J740" s="19">
        <v>1.84</v>
      </c>
      <c r="K740" s="11">
        <f t="shared" si="3"/>
        <v>1.70476</v>
      </c>
      <c r="L740" s="11">
        <f t="shared" si="13"/>
        <v>118.4646947</v>
      </c>
      <c r="M740" s="11">
        <f t="shared" si="2213"/>
        <v>0.009224234</v>
      </c>
      <c r="N740" s="11">
        <f t="shared" si="2214"/>
        <v>0.0178658848</v>
      </c>
      <c r="O740" s="19">
        <v>2.85</v>
      </c>
      <c r="P740" s="19"/>
      <c r="Q740" s="19">
        <v>1.71</v>
      </c>
      <c r="R740" s="19"/>
      <c r="S740" s="19">
        <v>4.37</v>
      </c>
      <c r="T740" s="14"/>
      <c r="U740" s="14">
        <f t="shared" si="2215"/>
        <v>0.029868</v>
      </c>
      <c r="V740" s="14">
        <f t="shared" si="2216"/>
        <v>0.0179208</v>
      </c>
      <c r="W740" s="14">
        <f t="shared" si="2217"/>
        <v>0.0457976</v>
      </c>
      <c r="X740" s="13"/>
      <c r="Y740" s="13"/>
      <c r="Z740" s="13" t="str">
        <f t="shared" si="2218"/>
        <v>1 (1-2)</v>
      </c>
      <c r="AA740" s="13" t="str">
        <f t="shared" si="2219"/>
        <v>118 (0-0)</v>
      </c>
      <c r="AB740" s="13" t="str">
        <f t="shared" si="2220"/>
        <v>3 (2-4)</v>
      </c>
      <c r="AC740" s="13" t="str">
        <f t="shared" si="2221"/>
        <v>0 (0-0)</v>
      </c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</row>
    <row r="741" hidden="1">
      <c r="A741" s="24" t="s">
        <v>29</v>
      </c>
      <c r="B741" s="16" t="s">
        <v>213</v>
      </c>
      <c r="C741" s="26">
        <v>2050.0</v>
      </c>
      <c r="D741" s="17">
        <f>463+478</f>
        <v>941</v>
      </c>
      <c r="E741" s="10">
        <v>88942.0</v>
      </c>
      <c r="F741" s="19">
        <v>1.34</v>
      </c>
      <c r="G741" s="10">
        <f t="shared" si="1"/>
        <v>1.1918228</v>
      </c>
      <c r="H741" s="19">
        <v>0.95</v>
      </c>
      <c r="I741" s="8">
        <f t="shared" si="2"/>
        <v>0.844949</v>
      </c>
      <c r="J741" s="19">
        <v>1.84</v>
      </c>
      <c r="K741" s="11">
        <f t="shared" si="3"/>
        <v>1.6365328</v>
      </c>
      <c r="L741" s="11">
        <f t="shared" si="13"/>
        <v>126.6549203</v>
      </c>
      <c r="M741" s="11">
        <f t="shared" si="2213"/>
        <v>0.00795097009</v>
      </c>
      <c r="N741" s="11">
        <f t="shared" si="2214"/>
        <v>0.01539977365</v>
      </c>
      <c r="O741" s="19">
        <v>2.85</v>
      </c>
      <c r="P741" s="8">
        <f t="shared" ref="P741:P742" si="2222">(O741/100000)*E741</f>
        <v>2.534847</v>
      </c>
      <c r="Q741" s="19">
        <v>1.71</v>
      </c>
      <c r="R741" s="8">
        <f t="shared" ref="R741:R742" si="2223">(Q741/100000)*E741</f>
        <v>1.5209082</v>
      </c>
      <c r="S741" s="19">
        <v>4.37</v>
      </c>
      <c r="T741" s="11">
        <f t="shared" ref="T741:T742" si="2224">(S741/100000)*E741</f>
        <v>3.8867654</v>
      </c>
      <c r="U741" s="14">
        <f t="shared" si="2215"/>
        <v>0.0268185</v>
      </c>
      <c r="V741" s="14">
        <f t="shared" si="2216"/>
        <v>0.0160911</v>
      </c>
      <c r="W741" s="14">
        <f t="shared" si="2217"/>
        <v>0.0411217</v>
      </c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</row>
    <row r="742">
      <c r="A742" s="24" t="s">
        <v>23</v>
      </c>
      <c r="B742" s="16" t="s">
        <v>214</v>
      </c>
      <c r="C742" s="25">
        <v>2021.0</v>
      </c>
      <c r="D742" s="17">
        <f>5250+5446</f>
        <v>10696</v>
      </c>
      <c r="E742" s="18">
        <v>617896.0</v>
      </c>
      <c r="F742" s="19">
        <v>1.99</v>
      </c>
      <c r="G742" s="10">
        <f t="shared" si="1"/>
        <v>12.2961304</v>
      </c>
      <c r="H742" s="19">
        <v>1.38</v>
      </c>
      <c r="I742" s="8">
        <f t="shared" si="2"/>
        <v>8.5269648</v>
      </c>
      <c r="J742" s="19">
        <v>2.65</v>
      </c>
      <c r="K742" s="11">
        <f t="shared" si="3"/>
        <v>16.374244</v>
      </c>
      <c r="L742" s="11">
        <f t="shared" si="13"/>
        <v>114.9600823</v>
      </c>
      <c r="M742" s="12">
        <f>(I742/D742)*100000</f>
        <v>79.72106208</v>
      </c>
      <c r="N742" s="11">
        <f>(K742/D742)*100000</f>
        <v>153.0875467</v>
      </c>
      <c r="O742" s="19">
        <v>3.5</v>
      </c>
      <c r="P742" s="8">
        <f t="shared" si="2222"/>
        <v>21.62636</v>
      </c>
      <c r="Q742" s="19">
        <v>2.33</v>
      </c>
      <c r="R742" s="8">
        <f t="shared" si="2223"/>
        <v>14.3969768</v>
      </c>
      <c r="S742" s="19">
        <v>5.14</v>
      </c>
      <c r="T742" s="11">
        <f t="shared" si="2224"/>
        <v>31.7598544</v>
      </c>
      <c r="U742" s="11">
        <f>(P742/D742)*100000</f>
        <v>202.1910995</v>
      </c>
      <c r="V742" s="11">
        <f>(R742/D742)*100000</f>
        <v>134.6015034</v>
      </c>
      <c r="W742" s="11">
        <f>(T742/D742)*100000</f>
        <v>296.9320718</v>
      </c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</row>
    <row r="743" hidden="1">
      <c r="A743" s="24" t="s">
        <v>25</v>
      </c>
      <c r="B743" s="16" t="s">
        <v>214</v>
      </c>
      <c r="C743" s="26">
        <v>2030.0</v>
      </c>
      <c r="D743" s="17">
        <f>5194+5383</f>
        <v>10577</v>
      </c>
      <c r="E743" s="10">
        <v>665652.0</v>
      </c>
      <c r="F743" s="19">
        <v>1.99</v>
      </c>
      <c r="G743" s="10">
        <f t="shared" si="1"/>
        <v>13.2464748</v>
      </c>
      <c r="H743" s="19">
        <v>1.38</v>
      </c>
      <c r="I743" s="8">
        <f t="shared" si="2"/>
        <v>9.1859976</v>
      </c>
      <c r="J743" s="19">
        <v>2.65</v>
      </c>
      <c r="K743" s="11">
        <f t="shared" si="3"/>
        <v>17.639778</v>
      </c>
      <c r="L743" s="11">
        <f t="shared" si="13"/>
        <v>125.2384873</v>
      </c>
      <c r="M743" s="11">
        <f t="shared" ref="M743:M745" si="2225">(I743*D743)/100000</f>
        <v>0.9716029662</v>
      </c>
      <c r="N743" s="11">
        <f t="shared" ref="N743:N745" si="2226">(K743*D743)/100000</f>
        <v>1.865759319</v>
      </c>
      <c r="O743" s="19">
        <v>3.5</v>
      </c>
      <c r="P743" s="19"/>
      <c r="Q743" s="19">
        <v>2.33</v>
      </c>
      <c r="R743" s="19"/>
      <c r="S743" s="19">
        <v>5.14</v>
      </c>
      <c r="T743" s="14"/>
      <c r="U743" s="14">
        <f t="shared" ref="U743:U745" si="2227">(O743*D743)/100000</f>
        <v>0.370195</v>
      </c>
      <c r="V743" s="14">
        <f t="shared" ref="V743:V745" si="2228">(Q743*D743)/100000</f>
        <v>0.2464441</v>
      </c>
      <c r="W743" s="14">
        <f t="shared" ref="W743:W745" si="2229">(S743*D743)/100000</f>
        <v>0.5436578</v>
      </c>
      <c r="X743" s="13"/>
      <c r="Y743" s="13"/>
      <c r="Z743" s="13" t="str">
        <f t="shared" ref="Z743:Z744" si="2230">ROUND(F743, 0) &amp; " (" &amp; ROUND(H743, 0) &amp; "-" &amp; ROUND(J743, 0) &amp; ")"</f>
        <v>2 (1-3)</v>
      </c>
      <c r="AA743" s="13" t="str">
        <f t="shared" ref="AA743:AA744" si="2231">ROUND(L743, 0) &amp; " (" &amp; ROUND(M743, 0) &amp; "-" &amp; ROUND(N743, 0) &amp; ")"</f>
        <v>125 (1-2)</v>
      </c>
      <c r="AB743" s="13" t="str">
        <f t="shared" ref="AB743:AB744" si="2232">ROUND(O743, 0) &amp; " (" &amp; ROUND(Q743, 0) &amp; "-" &amp; ROUND(S743, 0) &amp; ")"</f>
        <v>4 (2-5)</v>
      </c>
      <c r="AC743" s="13" t="str">
        <f t="shared" ref="AC743:AC744" si="2233">ROUND(U743, 0) &amp; " (" &amp; ROUND(V743, 0) &amp; "-" &amp; ROUND(W743, 0) &amp; ")"</f>
        <v>0 (0-1)</v>
      </c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</row>
    <row r="744" hidden="1">
      <c r="A744" s="24" t="s">
        <v>27</v>
      </c>
      <c r="B744" s="16" t="s">
        <v>214</v>
      </c>
      <c r="C744" s="26">
        <v>2040.0</v>
      </c>
      <c r="D744" s="17">
        <f>4938+5118</f>
        <v>10056</v>
      </c>
      <c r="E744" s="10">
        <v>707160.0</v>
      </c>
      <c r="F744" s="19">
        <v>1.99</v>
      </c>
      <c r="G744" s="10">
        <f t="shared" si="1"/>
        <v>14.072484</v>
      </c>
      <c r="H744" s="19">
        <v>1.38</v>
      </c>
      <c r="I744" s="8">
        <f t="shared" si="2"/>
        <v>9.758808</v>
      </c>
      <c r="J744" s="19">
        <v>2.65</v>
      </c>
      <c r="K744" s="11">
        <f t="shared" si="3"/>
        <v>18.73974</v>
      </c>
      <c r="L744" s="11">
        <f t="shared" si="13"/>
        <v>139.9411695</v>
      </c>
      <c r="M744" s="11">
        <f t="shared" si="2225"/>
        <v>0.9813457325</v>
      </c>
      <c r="N744" s="11">
        <f t="shared" si="2226"/>
        <v>1.884468254</v>
      </c>
      <c r="O744" s="19">
        <v>3.5</v>
      </c>
      <c r="P744" s="19"/>
      <c r="Q744" s="19">
        <v>2.33</v>
      </c>
      <c r="R744" s="19"/>
      <c r="S744" s="19">
        <v>5.14</v>
      </c>
      <c r="T744" s="14"/>
      <c r="U744" s="14">
        <f t="shared" si="2227"/>
        <v>0.35196</v>
      </c>
      <c r="V744" s="14">
        <f t="shared" si="2228"/>
        <v>0.2343048</v>
      </c>
      <c r="W744" s="14">
        <f t="shared" si="2229"/>
        <v>0.5168784</v>
      </c>
      <c r="X744" s="13"/>
      <c r="Y744" s="13"/>
      <c r="Z744" s="13" t="str">
        <f t="shared" si="2230"/>
        <v>2 (1-3)</v>
      </c>
      <c r="AA744" s="13" t="str">
        <f t="shared" si="2231"/>
        <v>140 (1-2)</v>
      </c>
      <c r="AB744" s="13" t="str">
        <f t="shared" si="2232"/>
        <v>4 (2-5)</v>
      </c>
      <c r="AC744" s="13" t="str">
        <f t="shared" si="2233"/>
        <v>0 (0-1)</v>
      </c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</row>
    <row r="745" hidden="1">
      <c r="A745" s="24" t="s">
        <v>29</v>
      </c>
      <c r="B745" s="16" t="s">
        <v>214</v>
      </c>
      <c r="C745" s="26">
        <v>2050.0</v>
      </c>
      <c r="D745" s="17">
        <f>4602+4772</f>
        <v>9374</v>
      </c>
      <c r="E745" s="10">
        <v>733904.0</v>
      </c>
      <c r="F745" s="19">
        <v>1.99</v>
      </c>
      <c r="G745" s="10">
        <f t="shared" si="1"/>
        <v>14.6046896</v>
      </c>
      <c r="H745" s="19">
        <v>1.38</v>
      </c>
      <c r="I745" s="8">
        <f t="shared" si="2"/>
        <v>10.1278752</v>
      </c>
      <c r="J745" s="19">
        <v>2.65</v>
      </c>
      <c r="K745" s="11">
        <f t="shared" si="3"/>
        <v>19.448456</v>
      </c>
      <c r="L745" s="11">
        <f t="shared" si="13"/>
        <v>155.7999744</v>
      </c>
      <c r="M745" s="11">
        <f t="shared" si="2225"/>
        <v>0.9493870212</v>
      </c>
      <c r="N745" s="11">
        <f t="shared" si="2226"/>
        <v>1.823098265</v>
      </c>
      <c r="O745" s="19">
        <v>3.5</v>
      </c>
      <c r="P745" s="8">
        <f t="shared" ref="P745:P746" si="2234">(O745/100000)*E745</f>
        <v>25.68664</v>
      </c>
      <c r="Q745" s="19">
        <v>2.33</v>
      </c>
      <c r="R745" s="8">
        <f t="shared" ref="R745:R746" si="2235">(Q745/100000)*E745</f>
        <v>17.0999632</v>
      </c>
      <c r="S745" s="19">
        <v>5.14</v>
      </c>
      <c r="T745" s="11">
        <f t="shared" ref="T745:T746" si="2236">(S745/100000)*E745</f>
        <v>37.7226656</v>
      </c>
      <c r="U745" s="14">
        <f t="shared" si="2227"/>
        <v>0.32809</v>
      </c>
      <c r="V745" s="14">
        <f t="shared" si="2228"/>
        <v>0.2184142</v>
      </c>
      <c r="W745" s="14">
        <f t="shared" si="2229"/>
        <v>0.4818236</v>
      </c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</row>
    <row r="746">
      <c r="A746" s="24" t="s">
        <v>23</v>
      </c>
      <c r="B746" s="16" t="s">
        <v>215</v>
      </c>
      <c r="C746" s="25">
        <v>2021.0</v>
      </c>
      <c r="D746" s="17">
        <f>8265+8575.5</f>
        <v>16840.5</v>
      </c>
      <c r="E746" s="18">
        <v>1367558.0</v>
      </c>
      <c r="F746" s="19">
        <v>1.1</v>
      </c>
      <c r="G746" s="10">
        <f t="shared" si="1"/>
        <v>15.043138</v>
      </c>
      <c r="H746" s="19">
        <v>0.71</v>
      </c>
      <c r="I746" s="8">
        <f t="shared" si="2"/>
        <v>9.7096618</v>
      </c>
      <c r="J746" s="19">
        <v>1.67</v>
      </c>
      <c r="K746" s="11">
        <f t="shared" si="3"/>
        <v>22.8382186</v>
      </c>
      <c r="L746" s="11">
        <f t="shared" si="13"/>
        <v>89.32714587</v>
      </c>
      <c r="M746" s="12">
        <f>(I746/D746)*100000</f>
        <v>57.65661233</v>
      </c>
      <c r="N746" s="11">
        <f>(K746/D746)*100000</f>
        <v>135.6148487</v>
      </c>
      <c r="O746" s="19">
        <v>3.28</v>
      </c>
      <c r="P746" s="8">
        <f t="shared" si="2234"/>
        <v>44.8559024</v>
      </c>
      <c r="Q746" s="19">
        <v>2.13</v>
      </c>
      <c r="R746" s="8">
        <f t="shared" si="2235"/>
        <v>29.1289854</v>
      </c>
      <c r="S746" s="19">
        <v>4.93</v>
      </c>
      <c r="T746" s="11">
        <f t="shared" si="2236"/>
        <v>67.4206094</v>
      </c>
      <c r="U746" s="11">
        <f>(P746/D746)*100000</f>
        <v>266.3573077</v>
      </c>
      <c r="V746" s="11">
        <f>(R746/D746)*100000</f>
        <v>172.969837</v>
      </c>
      <c r="W746" s="11">
        <f>(T746/D746)*100000</f>
        <v>400.3480265</v>
      </c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</row>
    <row r="747" hidden="1">
      <c r="A747" s="24" t="s">
        <v>25</v>
      </c>
      <c r="B747" s="16" t="s">
        <v>215</v>
      </c>
      <c r="C747" s="26">
        <v>2030.0</v>
      </c>
      <c r="D747" s="17">
        <f>7024+7287</f>
        <v>14311</v>
      </c>
      <c r="E747" s="10">
        <v>1373095.0</v>
      </c>
      <c r="F747" s="19">
        <v>1.1</v>
      </c>
      <c r="G747" s="10">
        <f t="shared" si="1"/>
        <v>15.104045</v>
      </c>
      <c r="H747" s="19">
        <v>0.71</v>
      </c>
      <c r="I747" s="8">
        <f t="shared" si="2"/>
        <v>9.7489745</v>
      </c>
      <c r="J747" s="19">
        <v>1.67</v>
      </c>
      <c r="K747" s="11">
        <f t="shared" si="3"/>
        <v>22.9306865</v>
      </c>
      <c r="L747" s="11">
        <f t="shared" si="13"/>
        <v>105.5415065</v>
      </c>
      <c r="M747" s="11">
        <f t="shared" ref="M747:M749" si="2237">(I747*D747)/100000</f>
        <v>1.395175741</v>
      </c>
      <c r="N747" s="11">
        <f t="shared" ref="N747:N749" si="2238">(K747*D747)/100000</f>
        <v>3.281610545</v>
      </c>
      <c r="O747" s="19">
        <v>3.28</v>
      </c>
      <c r="P747" s="19"/>
      <c r="Q747" s="19">
        <v>2.13</v>
      </c>
      <c r="R747" s="19"/>
      <c r="S747" s="19">
        <v>4.93</v>
      </c>
      <c r="T747" s="14"/>
      <c r="U747" s="14">
        <f t="shared" ref="U747:U749" si="2239">(O747*D747)/100000</f>
        <v>0.4694008</v>
      </c>
      <c r="V747" s="14">
        <f t="shared" ref="V747:V749" si="2240">(Q747*D747)/100000</f>
        <v>0.3048243</v>
      </c>
      <c r="W747" s="14">
        <f t="shared" ref="W747:W749" si="2241">(S747*D747)/100000</f>
        <v>0.7055323</v>
      </c>
      <c r="X747" s="13"/>
      <c r="Y747" s="13"/>
      <c r="Z747" s="13" t="str">
        <f t="shared" ref="Z747:Z748" si="2242">ROUND(F747, 0) &amp; " (" &amp; ROUND(H747, 0) &amp; "-" &amp; ROUND(J747, 0) &amp; ")"</f>
        <v>1 (1-2)</v>
      </c>
      <c r="AA747" s="13" t="str">
        <f t="shared" ref="AA747:AA748" si="2243">ROUND(L747, 0) &amp; " (" &amp; ROUND(M747, 0) &amp; "-" &amp; ROUND(N747, 0) &amp; ")"</f>
        <v>106 (1-3)</v>
      </c>
      <c r="AB747" s="13" t="str">
        <f t="shared" ref="AB747:AB748" si="2244">ROUND(O747, 0) &amp; " (" &amp; ROUND(Q747, 0) &amp; "-" &amp; ROUND(S747, 0) &amp; ")"</f>
        <v>3 (2-5)</v>
      </c>
      <c r="AC747" s="13" t="str">
        <f t="shared" ref="AC747:AC748" si="2245">ROUND(U747, 0) &amp; " (" &amp; ROUND(V747, 0) &amp; "-" &amp; ROUND(W747, 0) &amp; ")"</f>
        <v>0 (0-1)</v>
      </c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</row>
    <row r="748" hidden="1">
      <c r="A748" s="24" t="s">
        <v>27</v>
      </c>
      <c r="B748" s="16" t="s">
        <v>215</v>
      </c>
      <c r="C748" s="26">
        <v>2040.0</v>
      </c>
      <c r="D748" s="17">
        <f>6469+6713</f>
        <v>13182</v>
      </c>
      <c r="E748" s="10">
        <v>1338552.0</v>
      </c>
      <c r="F748" s="19">
        <v>1.1</v>
      </c>
      <c r="G748" s="10">
        <f t="shared" si="1"/>
        <v>14.724072</v>
      </c>
      <c r="H748" s="19">
        <v>0.71</v>
      </c>
      <c r="I748" s="8">
        <f t="shared" si="2"/>
        <v>9.5037192</v>
      </c>
      <c r="J748" s="19">
        <v>1.67</v>
      </c>
      <c r="K748" s="11">
        <f t="shared" si="3"/>
        <v>22.3538184</v>
      </c>
      <c r="L748" s="11">
        <f t="shared" si="13"/>
        <v>111.6983159</v>
      </c>
      <c r="M748" s="11">
        <f t="shared" si="2237"/>
        <v>1.252780265</v>
      </c>
      <c r="N748" s="11">
        <f t="shared" si="2238"/>
        <v>2.946680341</v>
      </c>
      <c r="O748" s="19">
        <v>3.28</v>
      </c>
      <c r="P748" s="19"/>
      <c r="Q748" s="19">
        <v>2.13</v>
      </c>
      <c r="R748" s="19"/>
      <c r="S748" s="19">
        <v>4.93</v>
      </c>
      <c r="T748" s="14"/>
      <c r="U748" s="14">
        <f t="shared" si="2239"/>
        <v>0.4323696</v>
      </c>
      <c r="V748" s="14">
        <f t="shared" si="2240"/>
        <v>0.2807766</v>
      </c>
      <c r="W748" s="14">
        <f t="shared" si="2241"/>
        <v>0.6498726</v>
      </c>
      <c r="X748" s="13"/>
      <c r="Y748" s="13"/>
      <c r="Z748" s="13" t="str">
        <f t="shared" si="2242"/>
        <v>1 (1-2)</v>
      </c>
      <c r="AA748" s="13" t="str">
        <f t="shared" si="2243"/>
        <v>112 (1-3)</v>
      </c>
      <c r="AB748" s="13" t="str">
        <f t="shared" si="2244"/>
        <v>3 (2-5)</v>
      </c>
      <c r="AC748" s="13" t="str">
        <f t="shared" si="2245"/>
        <v>0 (0-1)</v>
      </c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</row>
    <row r="749" hidden="1">
      <c r="A749" s="24" t="s">
        <v>29</v>
      </c>
      <c r="B749" s="16" t="s">
        <v>215</v>
      </c>
      <c r="C749" s="26">
        <v>2050.0</v>
      </c>
      <c r="D749" s="17">
        <f>5774+5995</f>
        <v>11769</v>
      </c>
      <c r="E749" s="10">
        <v>1273307.0</v>
      </c>
      <c r="F749" s="19">
        <v>1.1</v>
      </c>
      <c r="G749" s="10">
        <f t="shared" si="1"/>
        <v>14.006377</v>
      </c>
      <c r="H749" s="19">
        <v>0.71</v>
      </c>
      <c r="I749" s="8">
        <f t="shared" si="2"/>
        <v>9.0404797</v>
      </c>
      <c r="J749" s="19">
        <v>1.67</v>
      </c>
      <c r="K749" s="11">
        <f t="shared" si="3"/>
        <v>21.2642269</v>
      </c>
      <c r="L749" s="11">
        <f t="shared" si="13"/>
        <v>119.0107656</v>
      </c>
      <c r="M749" s="11">
        <f t="shared" si="2237"/>
        <v>1.063974056</v>
      </c>
      <c r="N749" s="11">
        <f t="shared" si="2238"/>
        <v>2.502586864</v>
      </c>
      <c r="O749" s="19">
        <v>3.28</v>
      </c>
      <c r="P749" s="8">
        <f t="shared" ref="P749:P750" si="2246">(O749/100000)*E749</f>
        <v>41.7644696</v>
      </c>
      <c r="Q749" s="19">
        <v>2.13</v>
      </c>
      <c r="R749" s="8">
        <f t="shared" ref="R749:R750" si="2247">(Q749/100000)*E749</f>
        <v>27.1214391</v>
      </c>
      <c r="S749" s="19">
        <v>4.93</v>
      </c>
      <c r="T749" s="11">
        <f t="shared" ref="T749:T750" si="2248">(S749/100000)*E749</f>
        <v>62.7740351</v>
      </c>
      <c r="U749" s="14">
        <f t="shared" si="2239"/>
        <v>0.3860232</v>
      </c>
      <c r="V749" s="14">
        <f t="shared" si="2240"/>
        <v>0.2506797</v>
      </c>
      <c r="W749" s="14">
        <f t="shared" si="2241"/>
        <v>0.5802117</v>
      </c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</row>
    <row r="750">
      <c r="A750" s="24" t="s">
        <v>23</v>
      </c>
      <c r="B750" s="16" t="s">
        <v>216</v>
      </c>
      <c r="C750" s="25">
        <v>2021.0</v>
      </c>
      <c r="D750" s="17">
        <f>490.5+509</f>
        <v>999.5</v>
      </c>
      <c r="E750" s="18">
        <v>105870.0</v>
      </c>
      <c r="F750" s="19">
        <v>1.08</v>
      </c>
      <c r="G750" s="10">
        <f t="shared" si="1"/>
        <v>1.143396</v>
      </c>
      <c r="H750" s="19">
        <v>0.73</v>
      </c>
      <c r="I750" s="8">
        <f t="shared" si="2"/>
        <v>0.772851</v>
      </c>
      <c r="J750" s="19">
        <v>1.53</v>
      </c>
      <c r="K750" s="11">
        <f t="shared" si="3"/>
        <v>1.619811</v>
      </c>
      <c r="L750" s="11">
        <f t="shared" si="13"/>
        <v>114.3967984</v>
      </c>
      <c r="M750" s="12">
        <f>(I750/D750)*100000</f>
        <v>77.32376188</v>
      </c>
      <c r="N750" s="11">
        <f>(K750/D750)*100000</f>
        <v>162.0621311</v>
      </c>
      <c r="O750" s="19">
        <v>2.76</v>
      </c>
      <c r="P750" s="8">
        <f t="shared" si="2246"/>
        <v>2.922012</v>
      </c>
      <c r="Q750" s="19">
        <v>1.73</v>
      </c>
      <c r="R750" s="8">
        <f t="shared" si="2247"/>
        <v>1.831551</v>
      </c>
      <c r="S750" s="19">
        <v>4.23</v>
      </c>
      <c r="T750" s="11">
        <f t="shared" si="2248"/>
        <v>4.478301</v>
      </c>
      <c r="U750" s="11">
        <f>(P750/D750)*100000</f>
        <v>292.3473737</v>
      </c>
      <c r="V750" s="11">
        <f>(R750/D750)*100000</f>
        <v>183.2467234</v>
      </c>
      <c r="W750" s="11">
        <f>(T750/D750)*100000</f>
        <v>448.0541271</v>
      </c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</row>
    <row r="751" hidden="1">
      <c r="A751" s="24" t="s">
        <v>25</v>
      </c>
      <c r="B751" s="16" t="s">
        <v>216</v>
      </c>
      <c r="C751" s="26">
        <v>2030.0</v>
      </c>
      <c r="D751" s="17">
        <f>425+441</f>
        <v>866</v>
      </c>
      <c r="E751" s="10">
        <v>99748.0</v>
      </c>
      <c r="F751" s="19">
        <v>1.08</v>
      </c>
      <c r="G751" s="10">
        <f t="shared" si="1"/>
        <v>1.0772784</v>
      </c>
      <c r="H751" s="19">
        <v>0.73</v>
      </c>
      <c r="I751" s="8">
        <f t="shared" si="2"/>
        <v>0.7281604</v>
      </c>
      <c r="J751" s="19">
        <v>1.53</v>
      </c>
      <c r="K751" s="11">
        <f t="shared" si="3"/>
        <v>1.5261444</v>
      </c>
      <c r="L751" s="11">
        <f t="shared" si="13"/>
        <v>124.3970439</v>
      </c>
      <c r="M751" s="14">
        <f t="shared" ref="M751:M753" si="2249">(I751*D751)/100000</f>
        <v>0.006305869064</v>
      </c>
      <c r="N751" s="14">
        <f t="shared" ref="N751:N753" si="2250">(K751*D751)/100000</f>
        <v>0.0132164105</v>
      </c>
      <c r="O751" s="19">
        <v>2.76</v>
      </c>
      <c r="P751" s="19"/>
      <c r="Q751" s="19">
        <v>1.73</v>
      </c>
      <c r="R751" s="19"/>
      <c r="S751" s="19">
        <v>4.23</v>
      </c>
      <c r="T751" s="14"/>
      <c r="U751" s="14">
        <f t="shared" ref="U751:U753" si="2251">(O751*D751)/100000</f>
        <v>0.0239016</v>
      </c>
      <c r="V751" s="14">
        <f t="shared" ref="V751:V753" si="2252">(Q751*D751)/100000</f>
        <v>0.0149818</v>
      </c>
      <c r="W751" s="14">
        <f t="shared" ref="W751:W753" si="2253">(S751*D751)/100000</f>
        <v>0.0366318</v>
      </c>
      <c r="X751" s="13"/>
      <c r="Y751" s="13"/>
      <c r="Z751" s="13" t="str">
        <f t="shared" ref="Z751:Z752" si="2254">ROUND(F751, 0) &amp; " (" &amp; ROUND(H751, 0) &amp; "-" &amp; ROUND(J751, 0) &amp; ")"</f>
        <v>1 (1-2)</v>
      </c>
      <c r="AA751" s="13" t="str">
        <f t="shared" ref="AA751:AA752" si="2255">ROUND(L751, 0) &amp; " (" &amp; ROUND(M751, 0) &amp; "-" &amp; ROUND(N751, 0) &amp; ")"</f>
        <v>124 (0-0)</v>
      </c>
      <c r="AB751" s="13" t="str">
        <f t="shared" ref="AB751:AB752" si="2256">ROUND(O751, 0) &amp; " (" &amp; ROUND(Q751, 0) &amp; "-" &amp; ROUND(S751, 0) &amp; ")"</f>
        <v>3 (2-4)</v>
      </c>
      <c r="AC751" s="13" t="str">
        <f t="shared" ref="AC751:AC752" si="2257">ROUND(U751, 0) &amp; " (" &amp; ROUND(V751, 0) &amp; "-" &amp; ROUND(W751, 0) &amp; ")"</f>
        <v>0 (0-0)</v>
      </c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</row>
    <row r="752" hidden="1">
      <c r="A752" s="24" t="s">
        <v>27</v>
      </c>
      <c r="B752" s="16" t="s">
        <v>216</v>
      </c>
      <c r="C752" s="26">
        <v>2040.0</v>
      </c>
      <c r="D752" s="17">
        <f>389+404</f>
        <v>793</v>
      </c>
      <c r="E752" s="10">
        <v>93713.0</v>
      </c>
      <c r="F752" s="19">
        <v>1.08</v>
      </c>
      <c r="G752" s="10">
        <f t="shared" si="1"/>
        <v>1.0121004</v>
      </c>
      <c r="H752" s="19">
        <v>0.73</v>
      </c>
      <c r="I752" s="8">
        <f t="shared" si="2"/>
        <v>0.6841049</v>
      </c>
      <c r="J752" s="19">
        <v>1.53</v>
      </c>
      <c r="K752" s="11">
        <f t="shared" si="3"/>
        <v>1.4338089</v>
      </c>
      <c r="L752" s="11">
        <f t="shared" si="13"/>
        <v>127.6293064</v>
      </c>
      <c r="M752" s="14">
        <f t="shared" si="2249"/>
        <v>0.005424951857</v>
      </c>
      <c r="N752" s="14">
        <f t="shared" si="2250"/>
        <v>0.01137010458</v>
      </c>
      <c r="O752" s="19">
        <v>2.76</v>
      </c>
      <c r="P752" s="19"/>
      <c r="Q752" s="19">
        <v>1.73</v>
      </c>
      <c r="R752" s="19"/>
      <c r="S752" s="19">
        <v>4.23</v>
      </c>
      <c r="T752" s="14"/>
      <c r="U752" s="14">
        <f t="shared" si="2251"/>
        <v>0.0218868</v>
      </c>
      <c r="V752" s="14">
        <f t="shared" si="2252"/>
        <v>0.0137189</v>
      </c>
      <c r="W752" s="14">
        <f t="shared" si="2253"/>
        <v>0.0335439</v>
      </c>
      <c r="X752" s="13"/>
      <c r="Y752" s="13"/>
      <c r="Z752" s="13" t="str">
        <f t="shared" si="2254"/>
        <v>1 (1-2)</v>
      </c>
      <c r="AA752" s="13" t="str">
        <f t="shared" si="2255"/>
        <v>128 (0-0)</v>
      </c>
      <c r="AB752" s="13" t="str">
        <f t="shared" si="2256"/>
        <v>3 (2-4)</v>
      </c>
      <c r="AC752" s="13" t="str">
        <f t="shared" si="2257"/>
        <v>0 (0-0)</v>
      </c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</row>
    <row r="753" hidden="1">
      <c r="A753" s="24" t="s">
        <v>29</v>
      </c>
      <c r="B753" s="16" t="s">
        <v>216</v>
      </c>
      <c r="C753" s="26">
        <v>2050.0</v>
      </c>
      <c r="D753" s="17">
        <f>371+385</f>
        <v>756</v>
      </c>
      <c r="E753" s="10">
        <v>88701.0</v>
      </c>
      <c r="F753" s="19">
        <v>1.08</v>
      </c>
      <c r="G753" s="10">
        <f t="shared" si="1"/>
        <v>0.9579708</v>
      </c>
      <c r="H753" s="19">
        <v>0.73</v>
      </c>
      <c r="I753" s="8">
        <f t="shared" si="2"/>
        <v>0.6475173</v>
      </c>
      <c r="J753" s="19">
        <v>1.53</v>
      </c>
      <c r="K753" s="11">
        <f t="shared" si="3"/>
        <v>1.3571253</v>
      </c>
      <c r="L753" s="11">
        <f t="shared" si="13"/>
        <v>126.7157143</v>
      </c>
      <c r="M753" s="14">
        <f t="shared" si="2249"/>
        <v>0.004895230788</v>
      </c>
      <c r="N753" s="14">
        <f t="shared" si="2250"/>
        <v>0.01025986727</v>
      </c>
      <c r="O753" s="19">
        <v>2.76</v>
      </c>
      <c r="P753" s="8">
        <f t="shared" ref="P753:P754" si="2258">(O753/100000)*E753</f>
        <v>2.4481476</v>
      </c>
      <c r="Q753" s="19">
        <v>1.73</v>
      </c>
      <c r="R753" s="8">
        <f t="shared" ref="R753:R754" si="2259">(Q753/100000)*E753</f>
        <v>1.5345273</v>
      </c>
      <c r="S753" s="19">
        <v>4.23</v>
      </c>
      <c r="T753" s="11">
        <f t="shared" ref="T753:T754" si="2260">(S753/100000)*E753</f>
        <v>3.7520523</v>
      </c>
      <c r="U753" s="14">
        <f t="shared" si="2251"/>
        <v>0.0208656</v>
      </c>
      <c r="V753" s="14">
        <f t="shared" si="2252"/>
        <v>0.0130788</v>
      </c>
      <c r="W753" s="14">
        <f t="shared" si="2253"/>
        <v>0.0319788</v>
      </c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</row>
    <row r="754">
      <c r="A754" s="24" t="s">
        <v>23</v>
      </c>
      <c r="B754" s="16" t="s">
        <v>217</v>
      </c>
      <c r="C754" s="25">
        <v>2021.0</v>
      </c>
      <c r="D754" s="17">
        <f>347929.5+362878</f>
        <v>710807.5</v>
      </c>
      <c r="E754" s="18">
        <v>5.1188173E7</v>
      </c>
      <c r="F754" s="19">
        <v>1.16</v>
      </c>
      <c r="G754" s="10">
        <f t="shared" si="1"/>
        <v>593.7828068</v>
      </c>
      <c r="H754" s="19">
        <v>0.79</v>
      </c>
      <c r="I754" s="8">
        <f t="shared" si="2"/>
        <v>404.3865667</v>
      </c>
      <c r="J754" s="19">
        <v>1.61</v>
      </c>
      <c r="K754" s="11">
        <f t="shared" si="3"/>
        <v>824.1295853</v>
      </c>
      <c r="L754" s="11">
        <f t="shared" si="13"/>
        <v>83.53637332</v>
      </c>
      <c r="M754" s="12">
        <f>(I754/D754)*100000</f>
        <v>56.8911508</v>
      </c>
      <c r="N754" s="11">
        <f>(K754/D754)*100000</f>
        <v>115.942725</v>
      </c>
      <c r="O754" s="19">
        <v>2.26</v>
      </c>
      <c r="P754" s="8">
        <f t="shared" si="2258"/>
        <v>1156.85271</v>
      </c>
      <c r="Q754" s="19">
        <v>1.5</v>
      </c>
      <c r="R754" s="8">
        <f t="shared" si="2259"/>
        <v>767.822595</v>
      </c>
      <c r="S754" s="19">
        <v>3.31</v>
      </c>
      <c r="T754" s="11">
        <f t="shared" si="2260"/>
        <v>1694.328526</v>
      </c>
      <c r="U754" s="11">
        <f>(P754/D754)*100000</f>
        <v>162.7518997</v>
      </c>
      <c r="V754" s="11">
        <f>(R754/D754)*100000</f>
        <v>108.0211724</v>
      </c>
      <c r="W754" s="11">
        <f>(T754/D754)*100000</f>
        <v>238.3667204</v>
      </c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</row>
    <row r="755" hidden="1">
      <c r="A755" s="24" t="s">
        <v>25</v>
      </c>
      <c r="B755" s="16" t="s">
        <v>217</v>
      </c>
      <c r="C755" s="26">
        <v>2030.0</v>
      </c>
      <c r="D755" s="17">
        <f>321996+336006</f>
        <v>658002</v>
      </c>
      <c r="E755" s="10">
        <v>5.5736475E7</v>
      </c>
      <c r="F755" s="19">
        <v>1.16</v>
      </c>
      <c r="G755" s="10">
        <f t="shared" si="1"/>
        <v>646.54311</v>
      </c>
      <c r="H755" s="19">
        <v>0.79</v>
      </c>
      <c r="I755" s="8">
        <f t="shared" si="2"/>
        <v>440.3181525</v>
      </c>
      <c r="J755" s="19">
        <v>1.61</v>
      </c>
      <c r="K755" s="11">
        <f t="shared" si="3"/>
        <v>897.3572475</v>
      </c>
      <c r="L755" s="11">
        <f t="shared" si="13"/>
        <v>98.25853265</v>
      </c>
      <c r="M755" s="11">
        <f t="shared" ref="M755:M757" si="2261">(I755*D755)/100000</f>
        <v>2897.30225</v>
      </c>
      <c r="N755" s="11">
        <f t="shared" ref="N755:N757" si="2262">(K755*D755)/100000</f>
        <v>5904.628636</v>
      </c>
      <c r="O755" s="19">
        <v>2.26</v>
      </c>
      <c r="P755" s="19"/>
      <c r="Q755" s="19">
        <v>1.5</v>
      </c>
      <c r="R755" s="19"/>
      <c r="S755" s="19">
        <v>3.31</v>
      </c>
      <c r="T755" s="14"/>
      <c r="U755" s="14">
        <f t="shared" ref="U755:U757" si="2263">(O755*D755)/100000</f>
        <v>14.8708452</v>
      </c>
      <c r="V755" s="14">
        <f t="shared" ref="V755:V757" si="2264">(Q755*D755)/100000</f>
        <v>9.87003</v>
      </c>
      <c r="W755" s="14">
        <f t="shared" ref="W755:W757" si="2265">(S755*D755)/100000</f>
        <v>21.7798662</v>
      </c>
      <c r="X755" s="13"/>
      <c r="Y755" s="13"/>
      <c r="Z755" s="13" t="str">
        <f t="shared" ref="Z755:Z756" si="2266">ROUND(F755, 0) &amp; " (" &amp; ROUND(H755, 0) &amp; "-" &amp; ROUND(J755, 0) &amp; ")"</f>
        <v>1 (1-2)</v>
      </c>
      <c r="AA755" s="13" t="str">
        <f t="shared" ref="AA755:AA756" si="2267">ROUND(L755, 0) &amp; " (" &amp; ROUND(M755, 0) &amp; "-" &amp; ROUND(N755, 0) &amp; ")"</f>
        <v>98 (2897-5905)</v>
      </c>
      <c r="AB755" s="13" t="str">
        <f t="shared" ref="AB755:AB756" si="2268">ROUND(O755, 0) &amp; " (" &amp; ROUND(Q755, 0) &amp; "-" &amp; ROUND(S755, 0) &amp; ")"</f>
        <v>2 (2-3)</v>
      </c>
      <c r="AC755" s="13" t="str">
        <f t="shared" ref="AC755:AC756" si="2269">ROUND(U755, 0) &amp; " (" &amp; ROUND(V755, 0) &amp; "-" &amp; ROUND(W755, 0) &amp; ")"</f>
        <v>15 (10-22)</v>
      </c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</row>
    <row r="756" hidden="1">
      <c r="A756" s="24" t="s">
        <v>27</v>
      </c>
      <c r="B756" s="16" t="s">
        <v>217</v>
      </c>
      <c r="C756" s="26">
        <v>2040.0</v>
      </c>
      <c r="D756" s="17">
        <f>288968+301870</f>
        <v>590838</v>
      </c>
      <c r="E756" s="10">
        <v>5.8576446E7</v>
      </c>
      <c r="F756" s="19">
        <v>1.16</v>
      </c>
      <c r="G756" s="10">
        <f t="shared" si="1"/>
        <v>679.4867736</v>
      </c>
      <c r="H756" s="19">
        <v>0.79</v>
      </c>
      <c r="I756" s="8">
        <f t="shared" si="2"/>
        <v>462.7539234</v>
      </c>
      <c r="J756" s="19">
        <v>1.61</v>
      </c>
      <c r="K756" s="11">
        <f t="shared" si="3"/>
        <v>943.0807806</v>
      </c>
      <c r="L756" s="11">
        <f t="shared" si="13"/>
        <v>115.0039052</v>
      </c>
      <c r="M756" s="11">
        <f t="shared" si="2261"/>
        <v>2734.126026</v>
      </c>
      <c r="N756" s="11">
        <f t="shared" si="2262"/>
        <v>5572.079622</v>
      </c>
      <c r="O756" s="19">
        <v>2.26</v>
      </c>
      <c r="P756" s="19"/>
      <c r="Q756" s="19">
        <v>1.5</v>
      </c>
      <c r="R756" s="19"/>
      <c r="S756" s="19">
        <v>3.31</v>
      </c>
      <c r="T756" s="14"/>
      <c r="U756" s="14">
        <f t="shared" si="2263"/>
        <v>13.3529388</v>
      </c>
      <c r="V756" s="14">
        <f t="shared" si="2264"/>
        <v>8.86257</v>
      </c>
      <c r="W756" s="14">
        <f t="shared" si="2265"/>
        <v>19.5567378</v>
      </c>
      <c r="X756" s="13"/>
      <c r="Y756" s="13"/>
      <c r="Z756" s="13" t="str">
        <f t="shared" si="2266"/>
        <v>1 (1-2)</v>
      </c>
      <c r="AA756" s="13" t="str">
        <f t="shared" si="2267"/>
        <v>115 (2734-5572)</v>
      </c>
      <c r="AB756" s="13" t="str">
        <f t="shared" si="2268"/>
        <v>2 (2-3)</v>
      </c>
      <c r="AC756" s="13" t="str">
        <f t="shared" si="2269"/>
        <v>13 (9-20)</v>
      </c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</row>
    <row r="757" hidden="1">
      <c r="A757" s="24" t="s">
        <v>29</v>
      </c>
      <c r="B757" s="16" t="s">
        <v>217</v>
      </c>
      <c r="C757" s="26">
        <v>2050.0</v>
      </c>
      <c r="D757" s="17">
        <f>266317+278402</f>
        <v>544719</v>
      </c>
      <c r="E757" s="10">
        <v>5.9385357E7</v>
      </c>
      <c r="F757" s="19">
        <v>1.16</v>
      </c>
      <c r="G757" s="10">
        <f t="shared" si="1"/>
        <v>688.8701412</v>
      </c>
      <c r="H757" s="19">
        <v>0.79</v>
      </c>
      <c r="I757" s="8">
        <f t="shared" si="2"/>
        <v>469.1443203</v>
      </c>
      <c r="J757" s="19">
        <v>1.61</v>
      </c>
      <c r="K757" s="11">
        <f t="shared" si="3"/>
        <v>956.1042477</v>
      </c>
      <c r="L757" s="11">
        <f t="shared" si="13"/>
        <v>126.4633951</v>
      </c>
      <c r="M757" s="11">
        <f t="shared" si="2261"/>
        <v>2555.51825</v>
      </c>
      <c r="N757" s="11">
        <f t="shared" si="2262"/>
        <v>5208.081497</v>
      </c>
      <c r="O757" s="19">
        <v>2.26</v>
      </c>
      <c r="P757" s="8">
        <f t="shared" ref="P757:P758" si="2270">(O757/100000)*E757</f>
        <v>1342.109068</v>
      </c>
      <c r="Q757" s="19">
        <v>1.5</v>
      </c>
      <c r="R757" s="8">
        <f t="shared" ref="R757:R758" si="2271">(Q757/100000)*E757</f>
        <v>890.780355</v>
      </c>
      <c r="S757" s="19">
        <v>3.31</v>
      </c>
      <c r="T757" s="11">
        <f t="shared" ref="T757:T758" si="2272">(S757/100000)*E757</f>
        <v>1965.655317</v>
      </c>
      <c r="U757" s="14">
        <f t="shared" si="2263"/>
        <v>12.3106494</v>
      </c>
      <c r="V757" s="14">
        <f t="shared" si="2264"/>
        <v>8.170785</v>
      </c>
      <c r="W757" s="14">
        <f t="shared" si="2265"/>
        <v>18.0301989</v>
      </c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</row>
    <row r="758">
      <c r="A758" s="24" t="s">
        <v>23</v>
      </c>
      <c r="B758" s="16" t="s">
        <v>218</v>
      </c>
      <c r="C758" s="25">
        <v>2021.0</v>
      </c>
      <c r="D758" s="17">
        <f>26908+28065</f>
        <v>54973</v>
      </c>
      <c r="E758" s="18">
        <v>5059988.0</v>
      </c>
      <c r="F758" s="19">
        <v>0.75</v>
      </c>
      <c r="G758" s="10">
        <f t="shared" si="1"/>
        <v>37.94991</v>
      </c>
      <c r="H758" s="19">
        <v>0.48</v>
      </c>
      <c r="I758" s="8">
        <f t="shared" si="2"/>
        <v>24.2879424</v>
      </c>
      <c r="J758" s="19">
        <v>1.08</v>
      </c>
      <c r="K758" s="11">
        <f t="shared" si="3"/>
        <v>54.6478704</v>
      </c>
      <c r="L758" s="11">
        <f t="shared" si="13"/>
        <v>69.03372565</v>
      </c>
      <c r="M758" s="12">
        <f>(I758/D758)*100000</f>
        <v>44.18158441</v>
      </c>
      <c r="N758" s="11">
        <f>(K758/D758)*100000</f>
        <v>99.40856493</v>
      </c>
      <c r="O758" s="19">
        <v>1.42</v>
      </c>
      <c r="P758" s="8">
        <f t="shared" si="2270"/>
        <v>71.8518296</v>
      </c>
      <c r="Q758" s="19">
        <v>0.9</v>
      </c>
      <c r="R758" s="8">
        <f t="shared" si="2271"/>
        <v>45.539892</v>
      </c>
      <c r="S758" s="19">
        <v>2.17</v>
      </c>
      <c r="T758" s="11">
        <f t="shared" si="2272"/>
        <v>109.8017396</v>
      </c>
      <c r="U758" s="11">
        <f>(P758/D758)*100000</f>
        <v>130.7038539</v>
      </c>
      <c r="V758" s="11">
        <f>(R758/D758)*100000</f>
        <v>82.84047078</v>
      </c>
      <c r="W758" s="11">
        <f>(T758/D758)*100000</f>
        <v>199.7375795</v>
      </c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</row>
    <row r="759" hidden="1">
      <c r="A759" s="24" t="s">
        <v>25</v>
      </c>
      <c r="B759" s="16" t="s">
        <v>218</v>
      </c>
      <c r="C759" s="26">
        <v>2030.0</v>
      </c>
      <c r="D759" s="17">
        <f>23872+24978</f>
        <v>48850</v>
      </c>
      <c r="E759" s="10">
        <v>5251497.0</v>
      </c>
      <c r="F759" s="19">
        <v>0.75</v>
      </c>
      <c r="G759" s="10">
        <f t="shared" si="1"/>
        <v>39.3862275</v>
      </c>
      <c r="H759" s="19">
        <v>0.48</v>
      </c>
      <c r="I759" s="8">
        <f t="shared" si="2"/>
        <v>25.2071856</v>
      </c>
      <c r="J759" s="19">
        <v>1.08</v>
      </c>
      <c r="K759" s="11">
        <f t="shared" si="3"/>
        <v>56.7161676</v>
      </c>
      <c r="L759" s="11">
        <f t="shared" si="13"/>
        <v>80.62687308</v>
      </c>
      <c r="M759" s="11">
        <f t="shared" ref="M759:M761" si="2273">(I759*D759)/100000</f>
        <v>12.31371017</v>
      </c>
      <c r="N759" s="11">
        <f t="shared" ref="N759:N761" si="2274">(K759*D759)/100000</f>
        <v>27.70584787</v>
      </c>
      <c r="O759" s="19">
        <v>1.42</v>
      </c>
      <c r="P759" s="19"/>
      <c r="Q759" s="19">
        <v>0.9</v>
      </c>
      <c r="R759" s="19"/>
      <c r="S759" s="19">
        <v>2.17</v>
      </c>
      <c r="T759" s="14"/>
      <c r="U759" s="14">
        <f t="shared" ref="U759:U761" si="2275">(O759*D759)/100000</f>
        <v>0.69367</v>
      </c>
      <c r="V759" s="14">
        <f t="shared" ref="V759:V761" si="2276">(Q759*D759)/100000</f>
        <v>0.43965</v>
      </c>
      <c r="W759" s="14">
        <f t="shared" ref="W759:W761" si="2277">(S759*D759)/100000</f>
        <v>1.060045</v>
      </c>
      <c r="X759" s="13"/>
      <c r="Y759" s="13"/>
      <c r="Z759" s="13" t="str">
        <f t="shared" ref="Z759:Z760" si="2278">ROUND(F759, 0) &amp; " (" &amp; ROUND(H759, 0) &amp; "-" &amp; ROUND(J759, 0) &amp; ")"</f>
        <v>1 (0-1)</v>
      </c>
      <c r="AA759" s="13" t="str">
        <f t="shared" ref="AA759:AA760" si="2279">ROUND(L759, 0) &amp; " (" &amp; ROUND(M759, 0) &amp; "-" &amp; ROUND(N759, 0) &amp; ")"</f>
        <v>81 (12-28)</v>
      </c>
      <c r="AB759" s="13" t="str">
        <f t="shared" ref="AB759:AB760" si="2280">ROUND(O759, 0) &amp; " (" &amp; ROUND(Q759, 0) &amp; "-" &amp; ROUND(S759, 0) &amp; ")"</f>
        <v>1 (1-2)</v>
      </c>
      <c r="AC759" s="13" t="str">
        <f t="shared" ref="AC759:AC760" si="2281">ROUND(U759, 0) &amp; " (" &amp; ROUND(V759, 0) &amp; "-" &amp; ROUND(W759, 0) &amp; ")"</f>
        <v>1 (0-1)</v>
      </c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</row>
    <row r="760" hidden="1">
      <c r="A760" s="24" t="s">
        <v>27</v>
      </c>
      <c r="B760" s="16" t="s">
        <v>218</v>
      </c>
      <c r="C760" s="26">
        <v>2040.0</v>
      </c>
      <c r="D760" s="17">
        <f>22706+23787</f>
        <v>46493</v>
      </c>
      <c r="E760" s="10">
        <v>5369806.0</v>
      </c>
      <c r="F760" s="19">
        <v>0.75</v>
      </c>
      <c r="G760" s="10">
        <f t="shared" si="1"/>
        <v>40.273545</v>
      </c>
      <c r="H760" s="19">
        <v>0.48</v>
      </c>
      <c r="I760" s="8">
        <f t="shared" si="2"/>
        <v>25.7750688</v>
      </c>
      <c r="J760" s="19">
        <v>1.08</v>
      </c>
      <c r="K760" s="11">
        <f t="shared" si="3"/>
        <v>57.9939048</v>
      </c>
      <c r="L760" s="11">
        <f t="shared" si="13"/>
        <v>86.62281419</v>
      </c>
      <c r="M760" s="11">
        <f t="shared" si="2273"/>
        <v>11.98360274</v>
      </c>
      <c r="N760" s="11">
        <f t="shared" si="2274"/>
        <v>26.96310616</v>
      </c>
      <c r="O760" s="19">
        <v>1.42</v>
      </c>
      <c r="P760" s="19"/>
      <c r="Q760" s="19">
        <v>0.9</v>
      </c>
      <c r="R760" s="19"/>
      <c r="S760" s="19">
        <v>2.17</v>
      </c>
      <c r="T760" s="14"/>
      <c r="U760" s="14">
        <f t="shared" si="2275"/>
        <v>0.6602006</v>
      </c>
      <c r="V760" s="14">
        <f t="shared" si="2276"/>
        <v>0.418437</v>
      </c>
      <c r="W760" s="14">
        <f t="shared" si="2277"/>
        <v>1.0088981</v>
      </c>
      <c r="X760" s="13"/>
      <c r="Y760" s="13"/>
      <c r="Z760" s="13" t="str">
        <f t="shared" si="2278"/>
        <v>1 (0-1)</v>
      </c>
      <c r="AA760" s="13" t="str">
        <f t="shared" si="2279"/>
        <v>87 (12-27)</v>
      </c>
      <c r="AB760" s="13" t="str">
        <f t="shared" si="2280"/>
        <v>1 (1-2)</v>
      </c>
      <c r="AC760" s="13" t="str">
        <f t="shared" si="2281"/>
        <v>1 (0-1)</v>
      </c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</row>
    <row r="761" hidden="1">
      <c r="A761" s="24" t="s">
        <v>29</v>
      </c>
      <c r="B761" s="16" t="s">
        <v>218</v>
      </c>
      <c r="C761" s="26">
        <v>2050.0</v>
      </c>
      <c r="D761" s="17">
        <f>20091+21049</f>
        <v>41140</v>
      </c>
      <c r="E761" s="10">
        <v>5343150.0</v>
      </c>
      <c r="F761" s="19">
        <v>0.75</v>
      </c>
      <c r="G761" s="10">
        <f t="shared" si="1"/>
        <v>40.073625</v>
      </c>
      <c r="H761" s="19">
        <v>0.48</v>
      </c>
      <c r="I761" s="8">
        <f t="shared" si="2"/>
        <v>25.64712</v>
      </c>
      <c r="J761" s="19">
        <v>1.08</v>
      </c>
      <c r="K761" s="11">
        <f t="shared" si="3"/>
        <v>57.70602</v>
      </c>
      <c r="L761" s="11">
        <f t="shared" si="13"/>
        <v>97.40793632</v>
      </c>
      <c r="M761" s="11">
        <f t="shared" si="2273"/>
        <v>10.55122517</v>
      </c>
      <c r="N761" s="11">
        <f t="shared" si="2274"/>
        <v>23.74025663</v>
      </c>
      <c r="O761" s="19">
        <v>1.42</v>
      </c>
      <c r="P761" s="8">
        <f t="shared" ref="P761:P762" si="2282">(O761/100000)*E761</f>
        <v>75.87273</v>
      </c>
      <c r="Q761" s="19">
        <v>0.9</v>
      </c>
      <c r="R761" s="8">
        <f t="shared" ref="R761:R762" si="2283">(Q761/100000)*E761</f>
        <v>48.08835</v>
      </c>
      <c r="S761" s="19">
        <v>2.17</v>
      </c>
      <c r="T761" s="11">
        <f t="shared" ref="T761:T762" si="2284">(S761/100000)*E761</f>
        <v>115.946355</v>
      </c>
      <c r="U761" s="14">
        <f t="shared" si="2275"/>
        <v>0.584188</v>
      </c>
      <c r="V761" s="14">
        <f t="shared" si="2276"/>
        <v>0.37026</v>
      </c>
      <c r="W761" s="14">
        <f t="shared" si="2277"/>
        <v>0.892738</v>
      </c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</row>
    <row r="762">
      <c r="A762" s="24" t="s">
        <v>23</v>
      </c>
      <c r="B762" s="16" t="s">
        <v>219</v>
      </c>
      <c r="C762" s="27">
        <v>2021.0</v>
      </c>
      <c r="D762" s="17">
        <f>48869.5+51126</f>
        <v>99995.5</v>
      </c>
      <c r="E762" s="18">
        <v>6255782.0</v>
      </c>
      <c r="F762" s="19">
        <v>1.71</v>
      </c>
      <c r="G762" s="10">
        <f t="shared" si="1"/>
        <v>106.9738722</v>
      </c>
      <c r="H762" s="19">
        <v>1.23</v>
      </c>
      <c r="I762" s="8">
        <f t="shared" si="2"/>
        <v>76.9461186</v>
      </c>
      <c r="J762" s="19">
        <v>2.38</v>
      </c>
      <c r="K762" s="11">
        <f t="shared" si="3"/>
        <v>148.8876116</v>
      </c>
      <c r="L762" s="11">
        <f t="shared" si="13"/>
        <v>106.9786862</v>
      </c>
      <c r="M762" s="12">
        <f>(I762/D762)*100000</f>
        <v>76.94958133</v>
      </c>
      <c r="N762" s="11">
        <f>(K762/D762)*100000</f>
        <v>148.8943118</v>
      </c>
      <c r="O762" s="19">
        <v>2.48</v>
      </c>
      <c r="P762" s="8">
        <f t="shared" si="2282"/>
        <v>155.1433936</v>
      </c>
      <c r="Q762" s="19">
        <v>1.56</v>
      </c>
      <c r="R762" s="8">
        <f t="shared" si="2283"/>
        <v>97.5901992</v>
      </c>
      <c r="S762" s="19">
        <v>3.73</v>
      </c>
      <c r="T762" s="11">
        <f t="shared" si="2284"/>
        <v>233.3406686</v>
      </c>
      <c r="U762" s="11">
        <f>(P762/D762)*100000</f>
        <v>155.1503754</v>
      </c>
      <c r="V762" s="11">
        <f>(R762/D762)*100000</f>
        <v>97.59459096</v>
      </c>
      <c r="W762" s="11">
        <f>(T762/D762)*100000</f>
        <v>233.3511694</v>
      </c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</row>
    <row r="763" hidden="1">
      <c r="A763" s="24" t="s">
        <v>25</v>
      </c>
      <c r="B763" s="16" t="s">
        <v>219</v>
      </c>
      <c r="C763" s="28">
        <v>2030.0</v>
      </c>
      <c r="D763" s="17">
        <f>45298+47381</f>
        <v>92679</v>
      </c>
      <c r="E763" s="10">
        <v>6486207.0</v>
      </c>
      <c r="F763" s="19">
        <v>1.71</v>
      </c>
      <c r="G763" s="10">
        <f t="shared" si="1"/>
        <v>110.9141397</v>
      </c>
      <c r="H763" s="19">
        <v>1.23</v>
      </c>
      <c r="I763" s="8">
        <f t="shared" si="2"/>
        <v>79.7803461</v>
      </c>
      <c r="J763" s="19">
        <v>2.38</v>
      </c>
      <c r="K763" s="11">
        <f t="shared" si="3"/>
        <v>154.3717266</v>
      </c>
      <c r="L763" s="11">
        <f t="shared" si="13"/>
        <v>119.6755896</v>
      </c>
      <c r="M763" s="11">
        <f t="shared" ref="M763:M765" si="2285">(I763*D763)/100000</f>
        <v>73.93962696</v>
      </c>
      <c r="N763" s="11">
        <f t="shared" ref="N763:N765" si="2286">(K763*D763)/100000</f>
        <v>143.0701725</v>
      </c>
      <c r="O763" s="19">
        <v>2.48</v>
      </c>
      <c r="P763" s="19"/>
      <c r="Q763" s="19">
        <v>1.56</v>
      </c>
      <c r="R763" s="19"/>
      <c r="S763" s="19">
        <v>3.73</v>
      </c>
      <c r="T763" s="14"/>
      <c r="U763" s="14">
        <f t="shared" ref="U763:U765" si="2287">(O763*D763)/100000</f>
        <v>2.2984392</v>
      </c>
      <c r="V763" s="14">
        <f t="shared" ref="V763:V765" si="2288">(Q763*D763)/100000</f>
        <v>1.4457924</v>
      </c>
      <c r="W763" s="14">
        <f t="shared" ref="W763:W765" si="2289">(S763*D763)/100000</f>
        <v>3.4569267</v>
      </c>
      <c r="X763" s="13"/>
      <c r="Y763" s="13"/>
      <c r="Z763" s="13" t="str">
        <f t="shared" ref="Z763:Z764" si="2290">ROUND(F763, 0) &amp; " (" &amp; ROUND(H763, 0) &amp; "-" &amp; ROUND(J763, 0) &amp; ")"</f>
        <v>2 (1-2)</v>
      </c>
      <c r="AA763" s="13" t="str">
        <f t="shared" ref="AA763:AA764" si="2291">ROUND(L763, 0) &amp; " (" &amp; ROUND(M763, 0) &amp; "-" &amp; ROUND(N763, 0) &amp; ")"</f>
        <v>120 (74-143)</v>
      </c>
      <c r="AB763" s="13" t="str">
        <f t="shared" ref="AB763:AB764" si="2292">ROUND(O763, 0) &amp; " (" &amp; ROUND(Q763, 0) &amp; "-" &amp; ROUND(S763, 0) &amp; ")"</f>
        <v>2 (2-4)</v>
      </c>
      <c r="AC763" s="13" t="str">
        <f t="shared" ref="AC763:AC764" si="2293">ROUND(U763, 0) &amp; " (" &amp; ROUND(V763, 0) &amp; "-" &amp; ROUND(W763, 0) &amp; ")"</f>
        <v>2 (1-3)</v>
      </c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</row>
    <row r="764" hidden="1">
      <c r="A764" s="24" t="s">
        <v>27</v>
      </c>
      <c r="B764" s="16" t="s">
        <v>219</v>
      </c>
      <c r="C764" s="28">
        <v>2040.0</v>
      </c>
      <c r="D764" s="17">
        <f>39499+41302</f>
        <v>80801</v>
      </c>
      <c r="E764" s="10">
        <v>6640752.0</v>
      </c>
      <c r="F764" s="19">
        <v>1.71</v>
      </c>
      <c r="G764" s="10">
        <f t="shared" si="1"/>
        <v>113.5568592</v>
      </c>
      <c r="H764" s="19">
        <v>1.23</v>
      </c>
      <c r="I764" s="8">
        <f t="shared" si="2"/>
        <v>81.6812496</v>
      </c>
      <c r="J764" s="19">
        <v>2.38</v>
      </c>
      <c r="K764" s="11">
        <f t="shared" si="3"/>
        <v>158.0498976</v>
      </c>
      <c r="L764" s="11">
        <f t="shared" si="13"/>
        <v>140.538928</v>
      </c>
      <c r="M764" s="11">
        <f t="shared" si="2285"/>
        <v>65.99926649</v>
      </c>
      <c r="N764" s="11">
        <f t="shared" si="2286"/>
        <v>127.7058978</v>
      </c>
      <c r="O764" s="19">
        <v>2.48</v>
      </c>
      <c r="P764" s="19"/>
      <c r="Q764" s="19">
        <v>1.56</v>
      </c>
      <c r="R764" s="19"/>
      <c r="S764" s="19">
        <v>3.73</v>
      </c>
      <c r="T764" s="14"/>
      <c r="U764" s="14">
        <f t="shared" si="2287"/>
        <v>2.0038648</v>
      </c>
      <c r="V764" s="14">
        <f t="shared" si="2288"/>
        <v>1.2604956</v>
      </c>
      <c r="W764" s="14">
        <f t="shared" si="2289"/>
        <v>3.0138773</v>
      </c>
      <c r="X764" s="13"/>
      <c r="Y764" s="13"/>
      <c r="Z764" s="13" t="str">
        <f t="shared" si="2290"/>
        <v>2 (1-2)</v>
      </c>
      <c r="AA764" s="13" t="str">
        <f t="shared" si="2291"/>
        <v>141 (66-128)</v>
      </c>
      <c r="AB764" s="13" t="str">
        <f t="shared" si="2292"/>
        <v>2 (2-4)</v>
      </c>
      <c r="AC764" s="13" t="str">
        <f t="shared" si="2293"/>
        <v>2 (1-3)</v>
      </c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</row>
    <row r="765" hidden="1">
      <c r="A765" s="24" t="s">
        <v>29</v>
      </c>
      <c r="B765" s="16" t="s">
        <v>219</v>
      </c>
      <c r="C765" s="28">
        <v>2050.0</v>
      </c>
      <c r="D765" s="17">
        <f>34971+36581</f>
        <v>71552</v>
      </c>
      <c r="E765" s="10">
        <v>6663346.0</v>
      </c>
      <c r="F765" s="19">
        <v>1.71</v>
      </c>
      <c r="G765" s="10">
        <f t="shared" si="1"/>
        <v>113.9432166</v>
      </c>
      <c r="H765" s="19">
        <v>1.23</v>
      </c>
      <c r="I765" s="8">
        <f t="shared" si="2"/>
        <v>81.9591558</v>
      </c>
      <c r="J765" s="19">
        <v>2.38</v>
      </c>
      <c r="K765" s="11">
        <f t="shared" si="3"/>
        <v>158.5876348</v>
      </c>
      <c r="L765" s="11">
        <f t="shared" si="13"/>
        <v>159.2453273</v>
      </c>
      <c r="M765" s="11">
        <f t="shared" si="2285"/>
        <v>58.64341516</v>
      </c>
      <c r="N765" s="11">
        <f t="shared" si="2286"/>
        <v>113.4726245</v>
      </c>
      <c r="O765" s="19">
        <v>2.48</v>
      </c>
      <c r="P765" s="8">
        <f t="shared" ref="P765:P766" si="2294">(O765/100000)*E765</f>
        <v>165.2509808</v>
      </c>
      <c r="Q765" s="19">
        <v>1.56</v>
      </c>
      <c r="R765" s="8">
        <f t="shared" ref="R765:R766" si="2295">(Q765/100000)*E765</f>
        <v>103.9481976</v>
      </c>
      <c r="S765" s="19">
        <v>3.73</v>
      </c>
      <c r="T765" s="11">
        <f t="shared" ref="T765:T766" si="2296">(S765/100000)*E765</f>
        <v>248.5428058</v>
      </c>
      <c r="U765" s="14">
        <f t="shared" si="2287"/>
        <v>1.7744896</v>
      </c>
      <c r="V765" s="14">
        <f t="shared" si="2288"/>
        <v>1.1162112</v>
      </c>
      <c r="W765" s="14">
        <f t="shared" si="2289"/>
        <v>2.6688896</v>
      </c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</row>
    <row r="766">
      <c r="A766" s="24" t="s">
        <v>23</v>
      </c>
      <c r="B766" s="16" t="s">
        <v>220</v>
      </c>
      <c r="C766" s="27">
        <v>2021.0</v>
      </c>
      <c r="D766" s="17">
        <f>183265+189491.5</f>
        <v>372756.5</v>
      </c>
      <c r="E766" s="18">
        <v>1.759865E7</v>
      </c>
      <c r="F766" s="19">
        <v>3.02</v>
      </c>
      <c r="G766" s="10">
        <f t="shared" si="1"/>
        <v>531.47923</v>
      </c>
      <c r="H766" s="19">
        <v>2.14</v>
      </c>
      <c r="I766" s="8">
        <f t="shared" si="2"/>
        <v>376.61111</v>
      </c>
      <c r="J766" s="19">
        <v>4.03</v>
      </c>
      <c r="K766" s="11">
        <f t="shared" si="3"/>
        <v>709.225595</v>
      </c>
      <c r="L766" s="11">
        <f t="shared" si="13"/>
        <v>142.5808081</v>
      </c>
      <c r="M766" s="12">
        <f>(I766/D766)*100000</f>
        <v>101.0340826</v>
      </c>
      <c r="N766" s="11">
        <f>(K766/D766)*100000</f>
        <v>190.2651181</v>
      </c>
      <c r="O766" s="19">
        <v>6.82</v>
      </c>
      <c r="P766" s="8">
        <f t="shared" si="2294"/>
        <v>1200.22793</v>
      </c>
      <c r="Q766" s="19">
        <v>4.31</v>
      </c>
      <c r="R766" s="8">
        <f t="shared" si="2295"/>
        <v>758.501815</v>
      </c>
      <c r="S766" s="19">
        <v>10.36</v>
      </c>
      <c r="T766" s="11">
        <f t="shared" si="2296"/>
        <v>1823.22014</v>
      </c>
      <c r="U766" s="11">
        <f>(P766/D766)*100000</f>
        <v>321.987123</v>
      </c>
      <c r="V766" s="11">
        <f>(R766/D766)*100000</f>
        <v>203.4845308</v>
      </c>
      <c r="W766" s="11">
        <f>(T766/D766)*100000</f>
        <v>489.1182689</v>
      </c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</row>
    <row r="767" hidden="1">
      <c r="A767" s="24" t="s">
        <v>25</v>
      </c>
      <c r="B767" s="16" t="s">
        <v>220</v>
      </c>
      <c r="C767" s="28">
        <v>2030.0</v>
      </c>
      <c r="D767" s="17">
        <f>184308+191090</f>
        <v>375398</v>
      </c>
      <c r="E767" s="10">
        <v>2.0067253E7</v>
      </c>
      <c r="F767" s="19">
        <v>3.02</v>
      </c>
      <c r="G767" s="10">
        <f t="shared" si="1"/>
        <v>606.0310406</v>
      </c>
      <c r="H767" s="19">
        <v>2.14</v>
      </c>
      <c r="I767" s="8">
        <f t="shared" si="2"/>
        <v>429.4392142</v>
      </c>
      <c r="J767" s="19">
        <v>4.03</v>
      </c>
      <c r="K767" s="11">
        <f t="shared" si="3"/>
        <v>808.7102959</v>
      </c>
      <c r="L767" s="11">
        <f t="shared" si="13"/>
        <v>161.4369391</v>
      </c>
      <c r="M767" s="11">
        <f t="shared" ref="M767:M769" si="2297">(I767*D767)/100000</f>
        <v>1612.106221</v>
      </c>
      <c r="N767" s="11">
        <f t="shared" ref="N767:N769" si="2298">(K767*D767)/100000</f>
        <v>3035.882277</v>
      </c>
      <c r="O767" s="19">
        <v>6.82</v>
      </c>
      <c r="P767" s="19"/>
      <c r="Q767" s="19">
        <v>4.31</v>
      </c>
      <c r="R767" s="19"/>
      <c r="S767" s="19">
        <v>10.36</v>
      </c>
      <c r="T767" s="14"/>
      <c r="U767" s="14">
        <f t="shared" ref="U767:U769" si="2299">(O767*D767)/100000</f>
        <v>25.6021436</v>
      </c>
      <c r="V767" s="14">
        <f t="shared" ref="V767:V769" si="2300">(Q767*D767)/100000</f>
        <v>16.1796538</v>
      </c>
      <c r="W767" s="14">
        <f t="shared" ref="W767:W769" si="2301">(S767*D767)/100000</f>
        <v>38.8912328</v>
      </c>
      <c r="X767" s="13"/>
      <c r="Y767" s="13"/>
      <c r="Z767" s="13" t="str">
        <f t="shared" ref="Z767:Z768" si="2302">ROUND(F767, 0) &amp; " (" &amp; ROUND(H767, 0) &amp; "-" &amp; ROUND(J767, 0) &amp; ")"</f>
        <v>3 (2-4)</v>
      </c>
      <c r="AA767" s="13" t="str">
        <f t="shared" ref="AA767:AA768" si="2303">ROUND(L767, 0) &amp; " (" &amp; ROUND(M767, 0) &amp; "-" &amp; ROUND(N767, 0) &amp; ")"</f>
        <v>161 (1612-3036)</v>
      </c>
      <c r="AB767" s="13" t="str">
        <f t="shared" ref="AB767:AB768" si="2304">ROUND(O767, 0) &amp; " (" &amp; ROUND(Q767, 0) &amp; "-" &amp; ROUND(S767, 0) &amp; ")"</f>
        <v>7 (4-10)</v>
      </c>
      <c r="AC767" s="13" t="str">
        <f t="shared" ref="AC767:AC768" si="2305">ROUND(U767, 0) &amp; " (" &amp; ROUND(V767, 0) &amp; "-" &amp; ROUND(W767, 0) &amp; ")"</f>
        <v>26 (16-39)</v>
      </c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</row>
    <row r="768" hidden="1">
      <c r="A768" s="24" t="s">
        <v>27</v>
      </c>
      <c r="B768" s="16" t="s">
        <v>220</v>
      </c>
      <c r="C768" s="28">
        <v>2040.0</v>
      </c>
      <c r="D768" s="17">
        <f>179648+186389</f>
        <v>366037</v>
      </c>
      <c r="E768" s="10">
        <v>2.262687E7</v>
      </c>
      <c r="F768" s="19">
        <v>3.02</v>
      </c>
      <c r="G768" s="10">
        <f t="shared" si="1"/>
        <v>683.331474</v>
      </c>
      <c r="H768" s="19">
        <v>2.14</v>
      </c>
      <c r="I768" s="8">
        <f t="shared" si="2"/>
        <v>484.215018</v>
      </c>
      <c r="J768" s="19">
        <v>4.03</v>
      </c>
      <c r="K768" s="11">
        <f t="shared" si="3"/>
        <v>911.862861</v>
      </c>
      <c r="L768" s="11">
        <f t="shared" si="13"/>
        <v>186.6837161</v>
      </c>
      <c r="M768" s="11">
        <f t="shared" si="2297"/>
        <v>1772.406125</v>
      </c>
      <c r="N768" s="11">
        <f t="shared" si="2298"/>
        <v>3337.755461</v>
      </c>
      <c r="O768" s="19">
        <v>6.82</v>
      </c>
      <c r="P768" s="19"/>
      <c r="Q768" s="19">
        <v>4.31</v>
      </c>
      <c r="R768" s="19"/>
      <c r="S768" s="19">
        <v>10.36</v>
      </c>
      <c r="T768" s="14"/>
      <c r="U768" s="14">
        <f t="shared" si="2299"/>
        <v>24.9637234</v>
      </c>
      <c r="V768" s="14">
        <f t="shared" si="2300"/>
        <v>15.7761947</v>
      </c>
      <c r="W768" s="14">
        <f t="shared" si="2301"/>
        <v>37.9214332</v>
      </c>
      <c r="X768" s="13"/>
      <c r="Y768" s="13"/>
      <c r="Z768" s="13" t="str">
        <f t="shared" si="2302"/>
        <v>3 (2-4)</v>
      </c>
      <c r="AA768" s="13" t="str">
        <f t="shared" si="2303"/>
        <v>187 (1772-3338)</v>
      </c>
      <c r="AB768" s="13" t="str">
        <f t="shared" si="2304"/>
        <v>7 (4-10)</v>
      </c>
      <c r="AC768" s="13" t="str">
        <f t="shared" si="2305"/>
        <v>25 (16-38)</v>
      </c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</row>
    <row r="769" hidden="1">
      <c r="A769" s="24" t="s">
        <v>29</v>
      </c>
      <c r="B769" s="16" t="s">
        <v>220</v>
      </c>
      <c r="C769" s="28">
        <v>2050.0</v>
      </c>
      <c r="D769" s="17">
        <f>167337+173739</f>
        <v>341076</v>
      </c>
      <c r="E769" s="10">
        <v>2.4670857E7</v>
      </c>
      <c r="F769" s="19">
        <v>3.02</v>
      </c>
      <c r="G769" s="10">
        <f t="shared" si="1"/>
        <v>745.0598814</v>
      </c>
      <c r="H769" s="19">
        <v>2.14</v>
      </c>
      <c r="I769" s="8">
        <f t="shared" si="2"/>
        <v>527.9563398</v>
      </c>
      <c r="J769" s="19">
        <v>4.03</v>
      </c>
      <c r="K769" s="11">
        <f t="shared" si="3"/>
        <v>994.2355371</v>
      </c>
      <c r="L769" s="11">
        <f t="shared" si="13"/>
        <v>218.4439484</v>
      </c>
      <c r="M769" s="11">
        <f t="shared" si="2297"/>
        <v>1800.732366</v>
      </c>
      <c r="N769" s="11">
        <f t="shared" si="2298"/>
        <v>3391.098801</v>
      </c>
      <c r="O769" s="19">
        <v>6.82</v>
      </c>
      <c r="P769" s="8">
        <f t="shared" ref="P769:P770" si="2306">(O769/100000)*E769</f>
        <v>1682.552447</v>
      </c>
      <c r="Q769" s="19">
        <v>4.31</v>
      </c>
      <c r="R769" s="8">
        <f t="shared" ref="R769:R770" si="2307">(Q769/100000)*E769</f>
        <v>1063.313937</v>
      </c>
      <c r="S769" s="19">
        <v>10.36</v>
      </c>
      <c r="T769" s="11">
        <f t="shared" ref="T769:T770" si="2308">(S769/100000)*E769</f>
        <v>2555.900785</v>
      </c>
      <c r="U769" s="14">
        <f t="shared" si="2299"/>
        <v>23.2613832</v>
      </c>
      <c r="V769" s="14">
        <f t="shared" si="2300"/>
        <v>14.7003756</v>
      </c>
      <c r="W769" s="14">
        <f t="shared" si="2301"/>
        <v>35.3354736</v>
      </c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</row>
    <row r="770">
      <c r="A770" s="24" t="s">
        <v>23</v>
      </c>
      <c r="B770" s="16" t="s">
        <v>221</v>
      </c>
      <c r="C770" s="27">
        <v>2021.0</v>
      </c>
      <c r="D770" s="17">
        <f>111467+116852.5</f>
        <v>228319.5</v>
      </c>
      <c r="E770" s="18">
        <v>1.0289877E7</v>
      </c>
      <c r="F770" s="19">
        <v>2.35</v>
      </c>
      <c r="G770" s="10">
        <f t="shared" si="1"/>
        <v>241.8121095</v>
      </c>
      <c r="H770" s="19">
        <v>1.65</v>
      </c>
      <c r="I770" s="8">
        <f t="shared" si="2"/>
        <v>169.7829705</v>
      </c>
      <c r="J770" s="19">
        <v>3.14</v>
      </c>
      <c r="K770" s="11">
        <f t="shared" si="3"/>
        <v>323.1021378</v>
      </c>
      <c r="L770" s="11">
        <f t="shared" si="13"/>
        <v>105.9095301</v>
      </c>
      <c r="M770" s="12">
        <f>(I770/D770)*100000</f>
        <v>74.36201047</v>
      </c>
      <c r="N770" s="11">
        <f>(K770/D770)*100000</f>
        <v>141.5131593</v>
      </c>
      <c r="O770" s="19">
        <v>4.88</v>
      </c>
      <c r="P770" s="8">
        <f t="shared" si="2306"/>
        <v>502.1459976</v>
      </c>
      <c r="Q770" s="19">
        <v>2.81</v>
      </c>
      <c r="R770" s="8">
        <f t="shared" si="2307"/>
        <v>289.1455437</v>
      </c>
      <c r="S770" s="19">
        <v>7.76</v>
      </c>
      <c r="T770" s="11">
        <f t="shared" si="2308"/>
        <v>798.4944552</v>
      </c>
      <c r="U770" s="11">
        <f>(P770/D770)*100000</f>
        <v>219.9312795</v>
      </c>
      <c r="V770" s="11">
        <f>(R770/D770)*100000</f>
        <v>126.6407572</v>
      </c>
      <c r="W770" s="11">
        <f>(T770/D770)*100000</f>
        <v>349.7267886</v>
      </c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</row>
    <row r="771" hidden="1">
      <c r="A771" s="24" t="s">
        <v>25</v>
      </c>
      <c r="B771" s="16" t="s">
        <v>221</v>
      </c>
      <c r="C771" s="28">
        <v>2030.0</v>
      </c>
      <c r="D771" s="17">
        <f>112372+117722</f>
        <v>230094</v>
      </c>
      <c r="E771" s="10">
        <v>1.1885319E7</v>
      </c>
      <c r="F771" s="19">
        <v>2.35</v>
      </c>
      <c r="G771" s="10">
        <f t="shared" si="1"/>
        <v>279.3049965</v>
      </c>
      <c r="H771" s="19">
        <v>1.65</v>
      </c>
      <c r="I771" s="8">
        <f t="shared" si="2"/>
        <v>196.1077635</v>
      </c>
      <c r="J771" s="19">
        <v>3.14</v>
      </c>
      <c r="K771" s="11">
        <f t="shared" si="3"/>
        <v>373.1990166</v>
      </c>
      <c r="L771" s="11">
        <f t="shared" si="13"/>
        <v>121.3873445</v>
      </c>
      <c r="M771" s="11">
        <f t="shared" ref="M771:M773" si="2309">(I771*D771)/100000</f>
        <v>451.2321973</v>
      </c>
      <c r="N771" s="11">
        <f t="shared" ref="N771:N773" si="2310">(K771*D771)/100000</f>
        <v>858.7085453</v>
      </c>
      <c r="O771" s="19">
        <v>4.88</v>
      </c>
      <c r="P771" s="19"/>
      <c r="Q771" s="19">
        <v>2.81</v>
      </c>
      <c r="R771" s="19"/>
      <c r="S771" s="19">
        <v>7.76</v>
      </c>
      <c r="T771" s="14"/>
      <c r="U771" s="14">
        <f t="shared" ref="U771:U773" si="2311">(O771*D771)/100000</f>
        <v>11.2285872</v>
      </c>
      <c r="V771" s="14">
        <f t="shared" ref="V771:V773" si="2312">(Q771*D771)/100000</f>
        <v>6.4656414</v>
      </c>
      <c r="W771" s="14">
        <f t="shared" ref="W771:W773" si="2313">(S771*D771)/100000</f>
        <v>17.8552944</v>
      </c>
      <c r="X771" s="13"/>
      <c r="Y771" s="13"/>
      <c r="Z771" s="13" t="str">
        <f t="shared" ref="Z771:Z772" si="2314">ROUND(F771, 0) &amp; " (" &amp; ROUND(H771, 0) &amp; "-" &amp; ROUND(J771, 0) &amp; ")"</f>
        <v>2 (2-3)</v>
      </c>
      <c r="AA771" s="13" t="str">
        <f t="shared" ref="AA771:AA772" si="2315">ROUND(L771, 0) &amp; " (" &amp; ROUND(M771, 0) &amp; "-" &amp; ROUND(N771, 0) &amp; ")"</f>
        <v>121 (451-859)</v>
      </c>
      <c r="AB771" s="13" t="str">
        <f t="shared" ref="AB771:AB772" si="2316">ROUND(O771, 0) &amp; " (" &amp; ROUND(Q771, 0) &amp; "-" &amp; ROUND(S771, 0) &amp; ")"</f>
        <v>5 (3-8)</v>
      </c>
      <c r="AC771" s="13" t="str">
        <f t="shared" ref="AC771:AC772" si="2317">ROUND(U771, 0) &amp; " (" &amp; ROUND(V771, 0) &amp; "-" &amp; ROUND(W771, 0) &amp; ")"</f>
        <v>11 (6-18)</v>
      </c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</row>
    <row r="772" hidden="1">
      <c r="A772" s="24" t="s">
        <v>27</v>
      </c>
      <c r="B772" s="16" t="s">
        <v>221</v>
      </c>
      <c r="C772" s="28">
        <v>2040.0</v>
      </c>
      <c r="D772" s="17">
        <f>108529+113700</f>
        <v>222229</v>
      </c>
      <c r="E772" s="10">
        <v>1.3484653E7</v>
      </c>
      <c r="F772" s="19">
        <v>2.35</v>
      </c>
      <c r="G772" s="10">
        <f t="shared" si="1"/>
        <v>316.8893455</v>
      </c>
      <c r="H772" s="19">
        <v>1.65</v>
      </c>
      <c r="I772" s="8">
        <f t="shared" si="2"/>
        <v>222.4967745</v>
      </c>
      <c r="J772" s="19">
        <v>3.14</v>
      </c>
      <c r="K772" s="11">
        <f t="shared" si="3"/>
        <v>423.4181042</v>
      </c>
      <c r="L772" s="11">
        <f t="shared" si="13"/>
        <v>142.5958563</v>
      </c>
      <c r="M772" s="11">
        <f t="shared" si="2309"/>
        <v>494.452357</v>
      </c>
      <c r="N772" s="11">
        <f t="shared" si="2310"/>
        <v>940.9578188</v>
      </c>
      <c r="O772" s="19">
        <v>4.88</v>
      </c>
      <c r="P772" s="19"/>
      <c r="Q772" s="19">
        <v>2.81</v>
      </c>
      <c r="R772" s="19"/>
      <c r="S772" s="19">
        <v>7.76</v>
      </c>
      <c r="T772" s="14"/>
      <c r="U772" s="14">
        <f t="shared" si="2311"/>
        <v>10.8447752</v>
      </c>
      <c r="V772" s="14">
        <f t="shared" si="2312"/>
        <v>6.2446349</v>
      </c>
      <c r="W772" s="14">
        <f t="shared" si="2313"/>
        <v>17.2449704</v>
      </c>
      <c r="X772" s="13"/>
      <c r="Y772" s="13"/>
      <c r="Z772" s="13" t="str">
        <f t="shared" si="2314"/>
        <v>2 (2-3)</v>
      </c>
      <c r="AA772" s="13" t="str">
        <f t="shared" si="2315"/>
        <v>143 (494-941)</v>
      </c>
      <c r="AB772" s="13" t="str">
        <f t="shared" si="2316"/>
        <v>5 (3-8)</v>
      </c>
      <c r="AC772" s="13" t="str">
        <f t="shared" si="2317"/>
        <v>11 (6-17)</v>
      </c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</row>
    <row r="773" hidden="1">
      <c r="A773" s="24" t="s">
        <v>29</v>
      </c>
      <c r="B773" s="16" t="s">
        <v>221</v>
      </c>
      <c r="C773" s="28">
        <v>2050.0</v>
      </c>
      <c r="D773" s="17">
        <f>105773+110914</f>
        <v>216687</v>
      </c>
      <c r="E773" s="10">
        <v>1.4846779E7</v>
      </c>
      <c r="F773" s="19">
        <v>2.35</v>
      </c>
      <c r="G773" s="10">
        <f t="shared" si="1"/>
        <v>348.8993065</v>
      </c>
      <c r="H773" s="19">
        <v>1.65</v>
      </c>
      <c r="I773" s="8">
        <f t="shared" si="2"/>
        <v>244.9718535</v>
      </c>
      <c r="J773" s="19">
        <v>3.14</v>
      </c>
      <c r="K773" s="11">
        <f t="shared" si="3"/>
        <v>466.1888606</v>
      </c>
      <c r="L773" s="11">
        <f t="shared" si="13"/>
        <v>161.0153385</v>
      </c>
      <c r="M773" s="11">
        <f t="shared" si="2309"/>
        <v>530.8221602</v>
      </c>
      <c r="N773" s="11">
        <f t="shared" si="2310"/>
        <v>1010.170656</v>
      </c>
      <c r="O773" s="19">
        <v>4.88</v>
      </c>
      <c r="P773" s="8">
        <f t="shared" ref="P773:P774" si="2318">(O773/100000)*E773</f>
        <v>724.5228152</v>
      </c>
      <c r="Q773" s="19">
        <v>2.81</v>
      </c>
      <c r="R773" s="8">
        <f t="shared" ref="R773:R774" si="2319">(Q773/100000)*E773</f>
        <v>417.1944899</v>
      </c>
      <c r="S773" s="19">
        <v>7.76</v>
      </c>
      <c r="T773" s="11">
        <f t="shared" ref="T773:T774" si="2320">(S773/100000)*E773</f>
        <v>1152.11005</v>
      </c>
      <c r="U773" s="14">
        <f t="shared" si="2311"/>
        <v>10.5743256</v>
      </c>
      <c r="V773" s="14">
        <f t="shared" si="2312"/>
        <v>6.0889047</v>
      </c>
      <c r="W773" s="14">
        <f t="shared" si="2313"/>
        <v>16.8149112</v>
      </c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</row>
    <row r="774">
      <c r="A774" s="24" t="s">
        <v>23</v>
      </c>
      <c r="B774" s="16" t="s">
        <v>222</v>
      </c>
      <c r="C774" s="27">
        <v>2021.0</v>
      </c>
      <c r="D774" s="17">
        <f>1017413+1054513</f>
        <v>2071926</v>
      </c>
      <c r="E774" s="18">
        <v>1.27648148E8</v>
      </c>
      <c r="F774" s="19">
        <v>1.9</v>
      </c>
      <c r="G774" s="10">
        <f t="shared" si="1"/>
        <v>2425.314812</v>
      </c>
      <c r="H774" s="19">
        <v>1.41</v>
      </c>
      <c r="I774" s="8">
        <f t="shared" si="2"/>
        <v>1799.838887</v>
      </c>
      <c r="J774" s="19">
        <v>2.44</v>
      </c>
      <c r="K774" s="11">
        <f t="shared" si="3"/>
        <v>3114.614811</v>
      </c>
      <c r="L774" s="11">
        <f t="shared" si="13"/>
        <v>117.0560537</v>
      </c>
      <c r="M774" s="12">
        <f>(I774/D774)*100000</f>
        <v>86.86791356</v>
      </c>
      <c r="N774" s="11">
        <f>(K774/D774)*100000</f>
        <v>150.3246164</v>
      </c>
      <c r="O774" s="19">
        <v>3.98</v>
      </c>
      <c r="P774" s="8">
        <f t="shared" si="2318"/>
        <v>5080.39629</v>
      </c>
      <c r="Q774" s="19">
        <v>2.84</v>
      </c>
      <c r="R774" s="8">
        <f t="shared" si="2319"/>
        <v>3625.207403</v>
      </c>
      <c r="S774" s="19">
        <v>5.37</v>
      </c>
      <c r="T774" s="11">
        <f t="shared" si="2320"/>
        <v>6854.705548</v>
      </c>
      <c r="U774" s="11">
        <f>(P774/D774)*100000</f>
        <v>245.2016284</v>
      </c>
      <c r="V774" s="11">
        <f>(R774/D774)*100000</f>
        <v>174.9679961</v>
      </c>
      <c r="W774" s="11">
        <f>(T774/D774)*100000</f>
        <v>330.8373729</v>
      </c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</row>
    <row r="775" hidden="1">
      <c r="A775" s="24" t="s">
        <v>25</v>
      </c>
      <c r="B775" s="16" t="s">
        <v>222</v>
      </c>
      <c r="C775" s="28">
        <v>2030.0</v>
      </c>
      <c r="D775" s="17">
        <f>944662+978849</f>
        <v>1923511</v>
      </c>
      <c r="E775" s="10">
        <v>1.36904738E8</v>
      </c>
      <c r="F775" s="19">
        <v>1.9</v>
      </c>
      <c r="G775" s="10">
        <f t="shared" si="1"/>
        <v>2601.190022</v>
      </c>
      <c r="H775" s="19">
        <v>1.41</v>
      </c>
      <c r="I775" s="8">
        <f t="shared" si="2"/>
        <v>1930.356806</v>
      </c>
      <c r="J775" s="19">
        <v>2.44</v>
      </c>
      <c r="K775" s="11">
        <f t="shared" si="3"/>
        <v>3340.475607</v>
      </c>
      <c r="L775" s="11">
        <f t="shared" si="13"/>
        <v>135.2313567</v>
      </c>
      <c r="M775" s="11">
        <f t="shared" ref="M775:M777" si="2321">(I775*D775)/100000</f>
        <v>37130.6255</v>
      </c>
      <c r="N775" s="11">
        <f t="shared" ref="N775:N777" si="2322">(K775*D775)/100000</f>
        <v>64254.41576</v>
      </c>
      <c r="O775" s="19">
        <v>3.98</v>
      </c>
      <c r="P775" s="19"/>
      <c r="Q775" s="19">
        <v>2.84</v>
      </c>
      <c r="R775" s="19"/>
      <c r="S775" s="19">
        <v>5.37</v>
      </c>
      <c r="T775" s="14"/>
      <c r="U775" s="14">
        <f t="shared" ref="U775:U777" si="2323">(O775*D775)/100000</f>
        <v>76.5557378</v>
      </c>
      <c r="V775" s="14">
        <f t="shared" ref="V775:V777" si="2324">(Q775*D775)/100000</f>
        <v>54.6277124</v>
      </c>
      <c r="W775" s="14">
        <f t="shared" ref="W775:W777" si="2325">(S775*D775)/100000</f>
        <v>103.2925407</v>
      </c>
      <c r="X775" s="13"/>
      <c r="Y775" s="13"/>
      <c r="Z775" s="13" t="str">
        <f t="shared" ref="Z775:Z776" si="2326">ROUND(F775, 0) &amp; " (" &amp; ROUND(H775, 0) &amp; "-" &amp; ROUND(J775, 0) &amp; ")"</f>
        <v>2 (1-2)</v>
      </c>
      <c r="AA775" s="13" t="str">
        <f t="shared" ref="AA775:AA776" si="2327">ROUND(L775, 0) &amp; " (" &amp; ROUND(M775, 0) &amp; "-" &amp; ROUND(N775, 0) &amp; ")"</f>
        <v>135 (37131-64254)</v>
      </c>
      <c r="AB775" s="13" t="str">
        <f t="shared" ref="AB775:AB776" si="2328">ROUND(O775, 0) &amp; " (" &amp; ROUND(Q775, 0) &amp; "-" &amp; ROUND(S775, 0) &amp; ")"</f>
        <v>4 (3-5)</v>
      </c>
      <c r="AC775" s="13" t="str">
        <f t="shared" ref="AC775:AC776" si="2329">ROUND(U775, 0) &amp; " (" &amp; ROUND(V775, 0) &amp; "-" &amp; ROUND(W775, 0) &amp; ")"</f>
        <v>77 (55-103)</v>
      </c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</row>
    <row r="776" hidden="1">
      <c r="A776" s="24" t="s">
        <v>27</v>
      </c>
      <c r="B776" s="16" t="s">
        <v>222</v>
      </c>
      <c r="C776" s="28">
        <v>2040.0</v>
      </c>
      <c r="D776" s="17">
        <f>884354+916919</f>
        <v>1801273</v>
      </c>
      <c r="E776" s="10">
        <v>1.44624323E8</v>
      </c>
      <c r="F776" s="19">
        <v>1.9</v>
      </c>
      <c r="G776" s="10">
        <f t="shared" si="1"/>
        <v>2747.862137</v>
      </c>
      <c r="H776" s="19">
        <v>1.41</v>
      </c>
      <c r="I776" s="8">
        <f t="shared" si="2"/>
        <v>2039.202954</v>
      </c>
      <c r="J776" s="19">
        <v>2.44</v>
      </c>
      <c r="K776" s="11">
        <f t="shared" si="3"/>
        <v>3528.833481</v>
      </c>
      <c r="L776" s="11">
        <f t="shared" si="13"/>
        <v>152.5511201</v>
      </c>
      <c r="M776" s="11">
        <f t="shared" si="2321"/>
        <v>36731.61223</v>
      </c>
      <c r="N776" s="11">
        <f t="shared" si="2322"/>
        <v>63563.92471</v>
      </c>
      <c r="O776" s="19">
        <v>3.98</v>
      </c>
      <c r="P776" s="19"/>
      <c r="Q776" s="19">
        <v>2.84</v>
      </c>
      <c r="R776" s="19"/>
      <c r="S776" s="19">
        <v>5.37</v>
      </c>
      <c r="T776" s="14"/>
      <c r="U776" s="14">
        <f t="shared" si="2323"/>
        <v>71.6906654</v>
      </c>
      <c r="V776" s="14">
        <f t="shared" si="2324"/>
        <v>51.1561532</v>
      </c>
      <c r="W776" s="14">
        <f t="shared" si="2325"/>
        <v>96.7283601</v>
      </c>
      <c r="X776" s="13"/>
      <c r="Y776" s="13"/>
      <c r="Z776" s="13" t="str">
        <f t="shared" si="2326"/>
        <v>2 (1-2)</v>
      </c>
      <c r="AA776" s="13" t="str">
        <f t="shared" si="2327"/>
        <v>153 (36732-63564)</v>
      </c>
      <c r="AB776" s="13" t="str">
        <f t="shared" si="2328"/>
        <v>4 (3-5)</v>
      </c>
      <c r="AC776" s="13" t="str">
        <f t="shared" si="2329"/>
        <v>72 (51-97)</v>
      </c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</row>
    <row r="777" hidden="1">
      <c r="A777" s="24" t="s">
        <v>29</v>
      </c>
      <c r="B777" s="16" t="s">
        <v>222</v>
      </c>
      <c r="C777" s="28">
        <v>2050.0</v>
      </c>
      <c r="D777" s="17">
        <f>805640+835699</f>
        <v>1641339</v>
      </c>
      <c r="E777" s="10">
        <v>1.48946274E8</v>
      </c>
      <c r="F777" s="19">
        <v>1.9</v>
      </c>
      <c r="G777" s="10">
        <f t="shared" si="1"/>
        <v>2829.979206</v>
      </c>
      <c r="H777" s="19">
        <v>1.41</v>
      </c>
      <c r="I777" s="8">
        <f t="shared" si="2"/>
        <v>2100.142463</v>
      </c>
      <c r="J777" s="19">
        <v>2.44</v>
      </c>
      <c r="K777" s="11">
        <f t="shared" si="3"/>
        <v>3634.289086</v>
      </c>
      <c r="L777" s="11">
        <f t="shared" si="13"/>
        <v>172.4189339</v>
      </c>
      <c r="M777" s="11">
        <f t="shared" si="2321"/>
        <v>34470.45731</v>
      </c>
      <c r="N777" s="11">
        <f t="shared" si="2322"/>
        <v>59651.00413</v>
      </c>
      <c r="O777" s="19">
        <v>3.98</v>
      </c>
      <c r="P777" s="8">
        <f t="shared" ref="P777:P778" si="2330">(O777/100000)*E777</f>
        <v>5928.061705</v>
      </c>
      <c r="Q777" s="19">
        <v>2.84</v>
      </c>
      <c r="R777" s="8">
        <f t="shared" ref="R777:R778" si="2331">(Q777/100000)*E777</f>
        <v>4230.074182</v>
      </c>
      <c r="S777" s="19">
        <v>5.37</v>
      </c>
      <c r="T777" s="11">
        <f t="shared" ref="T777:T778" si="2332">(S777/100000)*E777</f>
        <v>7998.414914</v>
      </c>
      <c r="U777" s="14">
        <f t="shared" si="2323"/>
        <v>65.3252922</v>
      </c>
      <c r="V777" s="14">
        <f t="shared" si="2324"/>
        <v>46.6140276</v>
      </c>
      <c r="W777" s="14">
        <f t="shared" si="2325"/>
        <v>88.1399043</v>
      </c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</row>
    <row r="778">
      <c r="A778" s="24" t="s">
        <v>23</v>
      </c>
      <c r="B778" s="16" t="s">
        <v>223</v>
      </c>
      <c r="C778" s="27">
        <v>2021.0</v>
      </c>
      <c r="D778" s="17">
        <f>64956.5+67033.5</f>
        <v>131990</v>
      </c>
      <c r="E778" s="18">
        <v>6644741.0</v>
      </c>
      <c r="F778" s="19">
        <v>2.28</v>
      </c>
      <c r="G778" s="10">
        <f t="shared" si="1"/>
        <v>151.5000948</v>
      </c>
      <c r="H778" s="19">
        <v>1.63</v>
      </c>
      <c r="I778" s="8">
        <f t="shared" si="2"/>
        <v>108.3092783</v>
      </c>
      <c r="J778" s="19">
        <v>3.14</v>
      </c>
      <c r="K778" s="11">
        <f t="shared" si="3"/>
        <v>208.6448674</v>
      </c>
      <c r="L778" s="11">
        <f t="shared" si="13"/>
        <v>114.7814947</v>
      </c>
      <c r="M778" s="12">
        <f>(I778/D778)*100000</f>
        <v>82.05870013</v>
      </c>
      <c r="N778" s="11">
        <f>(K778/D778)*100000</f>
        <v>158.076269</v>
      </c>
      <c r="O778" s="19">
        <v>4.97</v>
      </c>
      <c r="P778" s="8">
        <f t="shared" si="2330"/>
        <v>330.2436277</v>
      </c>
      <c r="Q778" s="19">
        <v>3.2</v>
      </c>
      <c r="R778" s="8">
        <f t="shared" si="2331"/>
        <v>212.631712</v>
      </c>
      <c r="S778" s="19">
        <v>7.54</v>
      </c>
      <c r="T778" s="11">
        <f t="shared" si="2332"/>
        <v>501.0134714</v>
      </c>
      <c r="U778" s="11">
        <f>(P778/D778)*100000</f>
        <v>250.2035213</v>
      </c>
      <c r="V778" s="11">
        <f>(R778/D778)*100000</f>
        <v>161.0968346</v>
      </c>
      <c r="W778" s="11">
        <f>(T778/D778)*100000</f>
        <v>379.5844165</v>
      </c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</row>
    <row r="779" hidden="1">
      <c r="A779" s="24" t="s">
        <v>25</v>
      </c>
      <c r="B779" s="16" t="s">
        <v>223</v>
      </c>
      <c r="C779" s="28">
        <v>2030.0</v>
      </c>
      <c r="D779" s="17">
        <f>62742+64829</f>
        <v>127571</v>
      </c>
      <c r="E779" s="10">
        <v>7441603.0</v>
      </c>
      <c r="F779" s="19">
        <v>2.28</v>
      </c>
      <c r="G779" s="10">
        <f t="shared" si="1"/>
        <v>169.6685484</v>
      </c>
      <c r="H779" s="19">
        <v>1.63</v>
      </c>
      <c r="I779" s="8">
        <f t="shared" si="2"/>
        <v>121.2981289</v>
      </c>
      <c r="J779" s="19">
        <v>3.14</v>
      </c>
      <c r="K779" s="11">
        <f t="shared" si="3"/>
        <v>233.6663342</v>
      </c>
      <c r="L779" s="11">
        <f t="shared" si="13"/>
        <v>132.9993089</v>
      </c>
      <c r="M779" s="11">
        <f t="shared" ref="M779:M781" si="2333">(I779*D779)/100000</f>
        <v>154.741236</v>
      </c>
      <c r="N779" s="11">
        <f t="shared" ref="N779:N781" si="2334">(K779*D779)/100000</f>
        <v>298.0904792</v>
      </c>
      <c r="O779" s="19">
        <v>4.97</v>
      </c>
      <c r="P779" s="19"/>
      <c r="Q779" s="19">
        <v>3.2</v>
      </c>
      <c r="R779" s="19"/>
      <c r="S779" s="19">
        <v>7.54</v>
      </c>
      <c r="T779" s="14"/>
      <c r="U779" s="14">
        <f t="shared" ref="U779:U781" si="2335">(O779*D779)/100000</f>
        <v>6.3402787</v>
      </c>
      <c r="V779" s="14">
        <f t="shared" ref="V779:V781" si="2336">(Q779*D779)/100000</f>
        <v>4.082272</v>
      </c>
      <c r="W779" s="14">
        <f t="shared" ref="W779:W781" si="2337">(S779*D779)/100000</f>
        <v>9.6188534</v>
      </c>
      <c r="X779" s="13"/>
      <c r="Y779" s="13"/>
      <c r="Z779" s="13" t="str">
        <f t="shared" ref="Z779:Z780" si="2338">ROUND(F779, 0) &amp; " (" &amp; ROUND(H779, 0) &amp; "-" &amp; ROUND(J779, 0) &amp; ")"</f>
        <v>2 (2-3)</v>
      </c>
      <c r="AA779" s="13" t="str">
        <f t="shared" ref="AA779:AA780" si="2339">ROUND(L779, 0) &amp; " (" &amp; ROUND(M779, 0) &amp; "-" &amp; ROUND(N779, 0) &amp; ")"</f>
        <v>133 (155-298)</v>
      </c>
      <c r="AB779" s="13" t="str">
        <f t="shared" ref="AB779:AB780" si="2340">ROUND(O779, 0) &amp; " (" &amp; ROUND(Q779, 0) &amp; "-" &amp; ROUND(S779, 0) &amp; ")"</f>
        <v>5 (3-8)</v>
      </c>
      <c r="AC779" s="13" t="str">
        <f t="shared" ref="AC779:AC780" si="2341">ROUND(U779, 0) &amp; " (" &amp; ROUND(V779, 0) &amp; "-" &amp; ROUND(W779, 0) &amp; ")"</f>
        <v>6 (4-10)</v>
      </c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</row>
    <row r="780" hidden="1">
      <c r="A780" s="24" t="s">
        <v>27</v>
      </c>
      <c r="B780" s="16" t="s">
        <v>223</v>
      </c>
      <c r="C780" s="28">
        <v>2040.0</v>
      </c>
      <c r="D780" s="17">
        <f>59725+61763</f>
        <v>121488</v>
      </c>
      <c r="E780" s="10">
        <v>8189914.0</v>
      </c>
      <c r="F780" s="19">
        <v>2.28</v>
      </c>
      <c r="G780" s="10">
        <f t="shared" si="1"/>
        <v>186.7300392</v>
      </c>
      <c r="H780" s="19">
        <v>1.63</v>
      </c>
      <c r="I780" s="8">
        <f t="shared" si="2"/>
        <v>133.4955982</v>
      </c>
      <c r="J780" s="19">
        <v>3.14</v>
      </c>
      <c r="K780" s="11">
        <f t="shared" si="3"/>
        <v>257.1632996</v>
      </c>
      <c r="L780" s="11">
        <f t="shared" si="13"/>
        <v>153.7024556</v>
      </c>
      <c r="M780" s="11">
        <f t="shared" si="2333"/>
        <v>162.1811323</v>
      </c>
      <c r="N780" s="11">
        <f t="shared" si="2334"/>
        <v>312.4225494</v>
      </c>
      <c r="O780" s="19">
        <v>4.97</v>
      </c>
      <c r="P780" s="19"/>
      <c r="Q780" s="19">
        <v>3.2</v>
      </c>
      <c r="R780" s="19"/>
      <c r="S780" s="19">
        <v>7.54</v>
      </c>
      <c r="T780" s="14"/>
      <c r="U780" s="14">
        <f t="shared" si="2335"/>
        <v>6.0379536</v>
      </c>
      <c r="V780" s="14">
        <f t="shared" si="2336"/>
        <v>3.887616</v>
      </c>
      <c r="W780" s="14">
        <f t="shared" si="2337"/>
        <v>9.1601952</v>
      </c>
      <c r="X780" s="13"/>
      <c r="Y780" s="13"/>
      <c r="Z780" s="13" t="str">
        <f t="shared" si="2338"/>
        <v>2 (2-3)</v>
      </c>
      <c r="AA780" s="13" t="str">
        <f t="shared" si="2339"/>
        <v>154 (162-312)</v>
      </c>
      <c r="AB780" s="13" t="str">
        <f t="shared" si="2340"/>
        <v>5 (3-8)</v>
      </c>
      <c r="AC780" s="13" t="str">
        <f t="shared" si="2341"/>
        <v>6 (4-9)</v>
      </c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</row>
    <row r="781" hidden="1">
      <c r="A781" s="24" t="s">
        <v>29</v>
      </c>
      <c r="B781" s="16" t="s">
        <v>223</v>
      </c>
      <c r="C781" s="28">
        <v>2050.0</v>
      </c>
      <c r="D781" s="17">
        <f>56064+58005</f>
        <v>114069</v>
      </c>
      <c r="E781" s="10">
        <v>8756430.0</v>
      </c>
      <c r="F781" s="19">
        <v>2.28</v>
      </c>
      <c r="G781" s="10">
        <f t="shared" si="1"/>
        <v>199.646604</v>
      </c>
      <c r="H781" s="19">
        <v>1.63</v>
      </c>
      <c r="I781" s="8">
        <f t="shared" si="2"/>
        <v>142.729809</v>
      </c>
      <c r="J781" s="19">
        <v>3.14</v>
      </c>
      <c r="K781" s="11">
        <f t="shared" si="3"/>
        <v>274.951902</v>
      </c>
      <c r="L781" s="11">
        <f t="shared" si="13"/>
        <v>175.0226652</v>
      </c>
      <c r="M781" s="11">
        <f t="shared" si="2333"/>
        <v>162.8104658</v>
      </c>
      <c r="N781" s="11">
        <f t="shared" si="2334"/>
        <v>313.6348851</v>
      </c>
      <c r="O781" s="19">
        <v>4.97</v>
      </c>
      <c r="P781" s="8">
        <f t="shared" ref="P781:P782" si="2342">(O781/100000)*E781</f>
        <v>435.194571</v>
      </c>
      <c r="Q781" s="19">
        <v>3.2</v>
      </c>
      <c r="R781" s="8">
        <f t="shared" ref="R781:R782" si="2343">(Q781/100000)*E781</f>
        <v>280.20576</v>
      </c>
      <c r="S781" s="19">
        <v>7.54</v>
      </c>
      <c r="T781" s="11">
        <f t="shared" ref="T781:T782" si="2344">(S781/100000)*E781</f>
        <v>660.234822</v>
      </c>
      <c r="U781" s="14">
        <f t="shared" si="2335"/>
        <v>5.6692293</v>
      </c>
      <c r="V781" s="14">
        <f t="shared" si="2336"/>
        <v>3.650208</v>
      </c>
      <c r="W781" s="14">
        <f t="shared" si="2337"/>
        <v>8.6008026</v>
      </c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</row>
    <row r="782">
      <c r="A782" s="24" t="s">
        <v>23</v>
      </c>
      <c r="B782" s="16" t="s">
        <v>224</v>
      </c>
      <c r="C782" s="27">
        <v>2021.0</v>
      </c>
      <c r="D782" s="17">
        <f>34529.5+36433</f>
        <v>70962.5</v>
      </c>
      <c r="E782" s="18">
        <v>4345405.0</v>
      </c>
      <c r="F782" s="19">
        <v>1.78</v>
      </c>
      <c r="G782" s="10">
        <f t="shared" si="1"/>
        <v>77.348209</v>
      </c>
      <c r="H782" s="19">
        <v>1.11</v>
      </c>
      <c r="I782" s="8">
        <f t="shared" si="2"/>
        <v>48.2339955</v>
      </c>
      <c r="J782" s="19">
        <v>2.56</v>
      </c>
      <c r="K782" s="11">
        <f t="shared" si="3"/>
        <v>111.242368</v>
      </c>
      <c r="L782" s="11">
        <f t="shared" si="13"/>
        <v>108.9987092</v>
      </c>
      <c r="M782" s="12">
        <f>(I782/D782)*100000</f>
        <v>67.97110516</v>
      </c>
      <c r="N782" s="11">
        <f>(K782/D782)*100000</f>
        <v>156.7621885</v>
      </c>
      <c r="O782" s="19">
        <v>2.77</v>
      </c>
      <c r="P782" s="8">
        <f t="shared" si="2342"/>
        <v>120.3677185</v>
      </c>
      <c r="Q782" s="19">
        <v>1.78</v>
      </c>
      <c r="R782" s="8">
        <f t="shared" si="2343"/>
        <v>77.348209</v>
      </c>
      <c r="S782" s="19">
        <v>4.15</v>
      </c>
      <c r="T782" s="11">
        <f t="shared" si="2344"/>
        <v>180.3343075</v>
      </c>
      <c r="U782" s="11">
        <f>(P782/D782)*100000</f>
        <v>169.6215868</v>
      </c>
      <c r="V782" s="11">
        <f>(R782/D782)*100000</f>
        <v>108.9987092</v>
      </c>
      <c r="W782" s="11">
        <f>(T782/D782)*100000</f>
        <v>254.126204</v>
      </c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</row>
    <row r="783" hidden="1">
      <c r="A783" s="24" t="s">
        <v>25</v>
      </c>
      <c r="B783" s="16" t="s">
        <v>224</v>
      </c>
      <c r="C783" s="28">
        <v>2030.0</v>
      </c>
      <c r="D783" s="17">
        <f>34577+36290</f>
        <v>70867</v>
      </c>
      <c r="E783" s="10">
        <v>4833859.0</v>
      </c>
      <c r="F783" s="19">
        <v>1.78</v>
      </c>
      <c r="G783" s="10">
        <f t="shared" si="1"/>
        <v>86.0426902</v>
      </c>
      <c r="H783" s="19">
        <v>1.11</v>
      </c>
      <c r="I783" s="8">
        <f t="shared" si="2"/>
        <v>53.6558349</v>
      </c>
      <c r="J783" s="19">
        <v>2.56</v>
      </c>
      <c r="K783" s="11">
        <f t="shared" si="3"/>
        <v>123.7467904</v>
      </c>
      <c r="L783" s="11">
        <f t="shared" si="13"/>
        <v>121.4143257</v>
      </c>
      <c r="M783" s="11">
        <f t="shared" ref="M783:M785" si="2345">(I783*D783)/100000</f>
        <v>38.02428052</v>
      </c>
      <c r="N783" s="11">
        <f t="shared" ref="N783:N785" si="2346">(K783*D783)/100000</f>
        <v>87.69563795</v>
      </c>
      <c r="O783" s="19">
        <v>2.77</v>
      </c>
      <c r="P783" s="19"/>
      <c r="Q783" s="19">
        <v>1.78</v>
      </c>
      <c r="R783" s="19"/>
      <c r="S783" s="19">
        <v>4.15</v>
      </c>
      <c r="T783" s="14"/>
      <c r="U783" s="14">
        <f t="shared" ref="U783:U785" si="2347">(O783*D783)/100000</f>
        <v>1.9630159</v>
      </c>
      <c r="V783" s="14">
        <f t="shared" ref="V783:V785" si="2348">(Q783*D783)/100000</f>
        <v>1.2614326</v>
      </c>
      <c r="W783" s="14">
        <f t="shared" ref="W783:W785" si="2349">(S783*D783)/100000</f>
        <v>2.9409805</v>
      </c>
      <c r="X783" s="13"/>
      <c r="Y783" s="13"/>
      <c r="Z783" s="13" t="str">
        <f t="shared" ref="Z783:Z784" si="2350">ROUND(F783, 0) &amp; " (" &amp; ROUND(H783, 0) &amp; "-" &amp; ROUND(J783, 0) &amp; ")"</f>
        <v>2 (1-3)</v>
      </c>
      <c r="AA783" s="13" t="str">
        <f t="shared" ref="AA783:AA784" si="2351">ROUND(L783, 0) &amp; " (" &amp; ROUND(M783, 0) &amp; "-" &amp; ROUND(N783, 0) &amp; ")"</f>
        <v>121 (38-88)</v>
      </c>
      <c r="AB783" s="13" t="str">
        <f t="shared" ref="AB783:AB784" si="2352">ROUND(O783, 0) &amp; " (" &amp; ROUND(Q783, 0) &amp; "-" &amp; ROUND(S783, 0) &amp; ")"</f>
        <v>3 (2-4)</v>
      </c>
      <c r="AC783" s="13" t="str">
        <f t="shared" ref="AC783:AC784" si="2353">ROUND(U783, 0) &amp; " (" &amp; ROUND(V783, 0) &amp; "-" &amp; ROUND(W783, 0) &amp; ")"</f>
        <v>2 (1-3)</v>
      </c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</row>
    <row r="784" hidden="1">
      <c r="A784" s="24" t="s">
        <v>27</v>
      </c>
      <c r="B784" s="16" t="s">
        <v>224</v>
      </c>
      <c r="C784" s="28">
        <v>2040.0</v>
      </c>
      <c r="D784" s="17">
        <f>34284+35948</f>
        <v>70232</v>
      </c>
      <c r="E784" s="10">
        <v>5286592.0</v>
      </c>
      <c r="F784" s="19">
        <v>1.78</v>
      </c>
      <c r="G784" s="10">
        <f t="shared" si="1"/>
        <v>94.1013376</v>
      </c>
      <c r="H784" s="19">
        <v>1.11</v>
      </c>
      <c r="I784" s="8">
        <f t="shared" si="2"/>
        <v>58.6811712</v>
      </c>
      <c r="J784" s="19">
        <v>2.56</v>
      </c>
      <c r="K784" s="11">
        <f t="shared" si="3"/>
        <v>135.3367552</v>
      </c>
      <c r="L784" s="11">
        <f t="shared" si="13"/>
        <v>133.986413</v>
      </c>
      <c r="M784" s="11">
        <f t="shared" si="2345"/>
        <v>41.21296016</v>
      </c>
      <c r="N784" s="11">
        <f t="shared" si="2346"/>
        <v>95.04970991</v>
      </c>
      <c r="O784" s="19">
        <v>2.77</v>
      </c>
      <c r="P784" s="19"/>
      <c r="Q784" s="19">
        <v>1.78</v>
      </c>
      <c r="R784" s="19"/>
      <c r="S784" s="19">
        <v>4.15</v>
      </c>
      <c r="T784" s="14"/>
      <c r="U784" s="14">
        <f t="shared" si="2347"/>
        <v>1.9454264</v>
      </c>
      <c r="V784" s="14">
        <f t="shared" si="2348"/>
        <v>1.2501296</v>
      </c>
      <c r="W784" s="14">
        <f t="shared" si="2349"/>
        <v>2.914628</v>
      </c>
      <c r="X784" s="13"/>
      <c r="Y784" s="13"/>
      <c r="Z784" s="13" t="str">
        <f t="shared" si="2350"/>
        <v>2 (1-3)</v>
      </c>
      <c r="AA784" s="13" t="str">
        <f t="shared" si="2351"/>
        <v>134 (41-95)</v>
      </c>
      <c r="AB784" s="13" t="str">
        <f t="shared" si="2352"/>
        <v>3 (2-4)</v>
      </c>
      <c r="AC784" s="13" t="str">
        <f t="shared" si="2353"/>
        <v>2 (1-3)</v>
      </c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</row>
    <row r="785" hidden="1">
      <c r="A785" s="24" t="s">
        <v>29</v>
      </c>
      <c r="B785" s="16" t="s">
        <v>224</v>
      </c>
      <c r="C785" s="28">
        <v>2050.0</v>
      </c>
      <c r="D785" s="17">
        <f>32573+34146</f>
        <v>66719</v>
      </c>
      <c r="E785" s="10">
        <v>5630680.0</v>
      </c>
      <c r="F785" s="19">
        <v>1.78</v>
      </c>
      <c r="G785" s="10">
        <f t="shared" si="1"/>
        <v>100.226104</v>
      </c>
      <c r="H785" s="19">
        <v>1.11</v>
      </c>
      <c r="I785" s="8">
        <f t="shared" si="2"/>
        <v>62.500548</v>
      </c>
      <c r="J785" s="19">
        <v>2.56</v>
      </c>
      <c r="K785" s="11">
        <f t="shared" si="3"/>
        <v>144.145408</v>
      </c>
      <c r="L785" s="11">
        <f t="shared" si="13"/>
        <v>150.2212323</v>
      </c>
      <c r="M785" s="11">
        <f t="shared" si="2345"/>
        <v>41.69974062</v>
      </c>
      <c r="N785" s="11">
        <f t="shared" si="2346"/>
        <v>96.17237476</v>
      </c>
      <c r="O785" s="19">
        <v>2.77</v>
      </c>
      <c r="P785" s="8">
        <f t="shared" ref="P785:P786" si="2354">(O785/100000)*E785</f>
        <v>155.969836</v>
      </c>
      <c r="Q785" s="19">
        <v>1.78</v>
      </c>
      <c r="R785" s="8">
        <f t="shared" ref="R785:R786" si="2355">(Q785/100000)*E785</f>
        <v>100.226104</v>
      </c>
      <c r="S785" s="19">
        <v>4.15</v>
      </c>
      <c r="T785" s="11">
        <f t="shared" ref="T785:T786" si="2356">(S785/100000)*E785</f>
        <v>233.67322</v>
      </c>
      <c r="U785" s="14">
        <f t="shared" si="2347"/>
        <v>1.8481163</v>
      </c>
      <c r="V785" s="14">
        <f t="shared" si="2348"/>
        <v>1.1875982</v>
      </c>
      <c r="W785" s="14">
        <f t="shared" si="2349"/>
        <v>2.7688385</v>
      </c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</row>
    <row r="786">
      <c r="A786" s="24" t="s">
        <v>23</v>
      </c>
      <c r="B786" s="16" t="s">
        <v>225</v>
      </c>
      <c r="C786" s="27">
        <v>2021.0</v>
      </c>
      <c r="D786" s="17">
        <f>206201.5+216830</f>
        <v>423031.5</v>
      </c>
      <c r="E786" s="18">
        <v>2.8237826E7</v>
      </c>
      <c r="F786" s="19">
        <v>2.38</v>
      </c>
      <c r="G786" s="10">
        <f t="shared" si="1"/>
        <v>672.0602588</v>
      </c>
      <c r="H786" s="19">
        <v>1.64</v>
      </c>
      <c r="I786" s="8">
        <f t="shared" si="2"/>
        <v>463.1003464</v>
      </c>
      <c r="J786" s="19">
        <v>3.31</v>
      </c>
      <c r="K786" s="11">
        <f t="shared" si="3"/>
        <v>934.6720406</v>
      </c>
      <c r="L786" s="11">
        <f t="shared" si="13"/>
        <v>158.8676632</v>
      </c>
      <c r="M786" s="12">
        <f>(I786/D786)*100000</f>
        <v>109.4718352</v>
      </c>
      <c r="N786" s="11">
        <f>(K786/D786)*100000</f>
        <v>220.9462039</v>
      </c>
      <c r="O786" s="19">
        <v>4.46</v>
      </c>
      <c r="P786" s="8">
        <f t="shared" si="2354"/>
        <v>1259.40704</v>
      </c>
      <c r="Q786" s="19">
        <v>2.99</v>
      </c>
      <c r="R786" s="8">
        <f t="shared" si="2355"/>
        <v>844.3109974</v>
      </c>
      <c r="S786" s="19">
        <v>6.56</v>
      </c>
      <c r="T786" s="11">
        <f t="shared" si="2356"/>
        <v>1852.401386</v>
      </c>
      <c r="U786" s="11">
        <f>(P786/D786)*100000</f>
        <v>297.7099908</v>
      </c>
      <c r="V786" s="11">
        <f>(R786/D786)*100000</f>
        <v>199.5858458</v>
      </c>
      <c r="W786" s="11">
        <f>(T786/D786)*100000</f>
        <v>437.8873407</v>
      </c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</row>
    <row r="787" hidden="1">
      <c r="A787" s="24" t="s">
        <v>25</v>
      </c>
      <c r="B787" s="16" t="s">
        <v>225</v>
      </c>
      <c r="C787" s="28">
        <v>2030.0</v>
      </c>
      <c r="D787" s="17">
        <f>217367+227800</f>
        <v>445167</v>
      </c>
      <c r="E787" s="10">
        <v>2.915181E7</v>
      </c>
      <c r="F787" s="19">
        <v>2.38</v>
      </c>
      <c r="G787" s="10">
        <f t="shared" si="1"/>
        <v>693.813078</v>
      </c>
      <c r="H787" s="19">
        <v>1.64</v>
      </c>
      <c r="I787" s="8">
        <f t="shared" si="2"/>
        <v>478.089684</v>
      </c>
      <c r="J787" s="19">
        <v>3.31</v>
      </c>
      <c r="K787" s="11">
        <f t="shared" si="3"/>
        <v>964.924911</v>
      </c>
      <c r="L787" s="11">
        <f t="shared" si="13"/>
        <v>155.854562</v>
      </c>
      <c r="M787" s="11">
        <f t="shared" ref="M787:M789" si="2357">(I787*D787)/100000</f>
        <v>2128.297504</v>
      </c>
      <c r="N787" s="11">
        <f t="shared" ref="N787:N789" si="2358">(K787*D787)/100000</f>
        <v>4295.527279</v>
      </c>
      <c r="O787" s="19">
        <v>4.46</v>
      </c>
      <c r="P787" s="19"/>
      <c r="Q787" s="19">
        <v>2.99</v>
      </c>
      <c r="R787" s="19"/>
      <c r="S787" s="19">
        <v>6.56</v>
      </c>
      <c r="T787" s="14"/>
      <c r="U787" s="14">
        <f t="shared" ref="U787:U789" si="2359">(O787*D787)/100000</f>
        <v>19.8544482</v>
      </c>
      <c r="V787" s="14">
        <f t="shared" ref="V787:V789" si="2360">(Q787*D787)/100000</f>
        <v>13.3104933</v>
      </c>
      <c r="W787" s="14">
        <f t="shared" ref="W787:W789" si="2361">(S787*D787)/100000</f>
        <v>29.2029552</v>
      </c>
      <c r="X787" s="13"/>
      <c r="Y787" s="13"/>
      <c r="Z787" s="13" t="str">
        <f t="shared" ref="Z787:Z788" si="2362">ROUND(F787, 0) &amp; " (" &amp; ROUND(H787, 0) &amp; "-" &amp; ROUND(J787, 0) &amp; ")"</f>
        <v>2 (2-3)</v>
      </c>
      <c r="AA787" s="13" t="str">
        <f t="shared" ref="AA787:AA788" si="2363">ROUND(L787, 0) &amp; " (" &amp; ROUND(M787, 0) &amp; "-" &amp; ROUND(N787, 0) &amp; ")"</f>
        <v>156 (2128-4296)</v>
      </c>
      <c r="AB787" s="13" t="str">
        <f t="shared" ref="AB787:AB788" si="2364">ROUND(O787, 0) &amp; " (" &amp; ROUND(Q787, 0) &amp; "-" &amp; ROUND(S787, 0) &amp; ")"</f>
        <v>4 (3-7)</v>
      </c>
      <c r="AC787" s="13" t="str">
        <f t="shared" ref="AC787:AC788" si="2365">ROUND(U787, 0) &amp; " (" &amp; ROUND(V787, 0) &amp; "-" &amp; ROUND(W787, 0) &amp; ")"</f>
        <v>20 (13-29)</v>
      </c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</row>
    <row r="788" hidden="1">
      <c r="A788" s="24" t="s">
        <v>27</v>
      </c>
      <c r="B788" s="16" t="s">
        <v>225</v>
      </c>
      <c r="C788" s="28">
        <v>2040.0</v>
      </c>
      <c r="D788" s="17">
        <f>209760+219568</f>
        <v>429328</v>
      </c>
      <c r="E788" s="10">
        <v>3.0495443E7</v>
      </c>
      <c r="F788" s="19">
        <v>2.38</v>
      </c>
      <c r="G788" s="10">
        <f t="shared" si="1"/>
        <v>725.7915434</v>
      </c>
      <c r="H788" s="19">
        <v>1.64</v>
      </c>
      <c r="I788" s="8">
        <f t="shared" si="2"/>
        <v>500.1252652</v>
      </c>
      <c r="J788" s="19">
        <v>3.31</v>
      </c>
      <c r="K788" s="11">
        <f t="shared" si="3"/>
        <v>1009.399163</v>
      </c>
      <c r="L788" s="11">
        <f t="shared" si="13"/>
        <v>169.0529254</v>
      </c>
      <c r="M788" s="11">
        <f t="shared" si="2357"/>
        <v>2147.177799</v>
      </c>
      <c r="N788" s="11">
        <f t="shared" si="2358"/>
        <v>4333.63324</v>
      </c>
      <c r="O788" s="19">
        <v>4.46</v>
      </c>
      <c r="P788" s="19"/>
      <c r="Q788" s="19">
        <v>2.99</v>
      </c>
      <c r="R788" s="19"/>
      <c r="S788" s="19">
        <v>6.56</v>
      </c>
      <c r="T788" s="14"/>
      <c r="U788" s="14">
        <f t="shared" si="2359"/>
        <v>19.1480288</v>
      </c>
      <c r="V788" s="14">
        <f t="shared" si="2360"/>
        <v>12.8369072</v>
      </c>
      <c r="W788" s="14">
        <f t="shared" si="2361"/>
        <v>28.1639168</v>
      </c>
      <c r="X788" s="13"/>
      <c r="Y788" s="13"/>
      <c r="Z788" s="13" t="str">
        <f t="shared" si="2362"/>
        <v>2 (2-3)</v>
      </c>
      <c r="AA788" s="13" t="str">
        <f t="shared" si="2363"/>
        <v>169 (2147-4334)</v>
      </c>
      <c r="AB788" s="13" t="str">
        <f t="shared" si="2364"/>
        <v>4 (3-7)</v>
      </c>
      <c r="AC788" s="13" t="str">
        <f t="shared" si="2365"/>
        <v>19 (13-28)</v>
      </c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</row>
    <row r="789" hidden="1">
      <c r="A789" s="24" t="s">
        <v>29</v>
      </c>
      <c r="B789" s="16" t="s">
        <v>225</v>
      </c>
      <c r="C789" s="28">
        <v>2050.0</v>
      </c>
      <c r="D789" s="17">
        <f>183424+192080</f>
        <v>375504</v>
      </c>
      <c r="E789" s="10">
        <v>3.1094883E7</v>
      </c>
      <c r="F789" s="19">
        <v>2.38</v>
      </c>
      <c r="G789" s="10">
        <f t="shared" si="1"/>
        <v>740.0582154</v>
      </c>
      <c r="H789" s="19">
        <v>1.64</v>
      </c>
      <c r="I789" s="8">
        <f t="shared" si="2"/>
        <v>509.9560812</v>
      </c>
      <c r="J789" s="19">
        <v>3.31</v>
      </c>
      <c r="K789" s="11">
        <f t="shared" si="3"/>
        <v>1029.240627</v>
      </c>
      <c r="L789" s="11">
        <f t="shared" si="13"/>
        <v>197.0839766</v>
      </c>
      <c r="M789" s="11">
        <f t="shared" si="2357"/>
        <v>1914.905483</v>
      </c>
      <c r="N789" s="11">
        <f t="shared" si="2358"/>
        <v>3864.839725</v>
      </c>
      <c r="O789" s="19">
        <v>4.46</v>
      </c>
      <c r="P789" s="8">
        <f t="shared" ref="P789:P790" si="2366">(O789/100000)*E789</f>
        <v>1386.831782</v>
      </c>
      <c r="Q789" s="19">
        <v>2.99</v>
      </c>
      <c r="R789" s="8">
        <f t="shared" ref="R789:R790" si="2367">(Q789/100000)*E789</f>
        <v>929.7370017</v>
      </c>
      <c r="S789" s="19">
        <v>6.56</v>
      </c>
      <c r="T789" s="11">
        <f t="shared" ref="T789:T790" si="2368">(S789/100000)*E789</f>
        <v>2039.824325</v>
      </c>
      <c r="U789" s="14">
        <f t="shared" si="2359"/>
        <v>16.7474784</v>
      </c>
      <c r="V789" s="14">
        <f t="shared" si="2360"/>
        <v>11.2275696</v>
      </c>
      <c r="W789" s="14">
        <f t="shared" si="2361"/>
        <v>24.6330624</v>
      </c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</row>
    <row r="790">
      <c r="A790" s="24" t="s">
        <v>23</v>
      </c>
      <c r="B790" s="16" t="s">
        <v>226</v>
      </c>
      <c r="C790" s="27">
        <v>2021.0</v>
      </c>
      <c r="D790" s="17">
        <f>1302693+1357221.5</f>
        <v>2659914.5</v>
      </c>
      <c r="E790" s="18">
        <v>2.09550294E8</v>
      </c>
      <c r="F790" s="19">
        <v>1.48</v>
      </c>
      <c r="G790" s="10">
        <f t="shared" si="1"/>
        <v>3101.344351</v>
      </c>
      <c r="H790" s="19">
        <v>1.12</v>
      </c>
      <c r="I790" s="8">
        <f t="shared" si="2"/>
        <v>2346.963293</v>
      </c>
      <c r="J790" s="19">
        <v>1.88</v>
      </c>
      <c r="K790" s="11">
        <f t="shared" si="3"/>
        <v>3939.545527</v>
      </c>
      <c r="L790" s="11">
        <f t="shared" si="13"/>
        <v>116.5956406</v>
      </c>
      <c r="M790" s="12">
        <f>(I790/D790)*100000</f>
        <v>88.23453885</v>
      </c>
      <c r="N790" s="11">
        <f>(K790/D790)*100000</f>
        <v>148.1079759</v>
      </c>
      <c r="O790" s="19">
        <v>2.19</v>
      </c>
      <c r="P790" s="8">
        <f t="shared" si="2366"/>
        <v>4589.151439</v>
      </c>
      <c r="Q790" s="19">
        <v>1.59</v>
      </c>
      <c r="R790" s="8">
        <f t="shared" si="2367"/>
        <v>3331.849675</v>
      </c>
      <c r="S790" s="19">
        <v>3.09</v>
      </c>
      <c r="T790" s="11">
        <f t="shared" si="2368"/>
        <v>6475.104085</v>
      </c>
      <c r="U790" s="11">
        <f>(P790/D790)*100000</f>
        <v>172.5300358</v>
      </c>
      <c r="V790" s="11">
        <f>(R790/D790)*100000</f>
        <v>125.2615328</v>
      </c>
      <c r="W790" s="11">
        <f>(T790/D790)*100000</f>
        <v>243.4327902</v>
      </c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</row>
    <row r="791" hidden="1">
      <c r="A791" s="24" t="s">
        <v>25</v>
      </c>
      <c r="B791" s="16" t="s">
        <v>226</v>
      </c>
      <c r="C791" s="28">
        <v>2030.0</v>
      </c>
      <c r="D791" s="17">
        <f>1162497+1212524</f>
        <v>2375021</v>
      </c>
      <c r="E791" s="10">
        <v>2.16074411E8</v>
      </c>
      <c r="F791" s="19">
        <v>1.48</v>
      </c>
      <c r="G791" s="10">
        <f t="shared" si="1"/>
        <v>3197.901283</v>
      </c>
      <c r="H791" s="19">
        <v>1.12</v>
      </c>
      <c r="I791" s="8">
        <f t="shared" si="2"/>
        <v>2420.033403</v>
      </c>
      <c r="J791" s="19">
        <v>1.88</v>
      </c>
      <c r="K791" s="11">
        <f t="shared" si="3"/>
        <v>4062.198927</v>
      </c>
      <c r="L791" s="11">
        <f t="shared" si="13"/>
        <v>134.6472845</v>
      </c>
      <c r="M791" s="11">
        <f t="shared" ref="M791:M793" si="2369">(I791*D791)/100000</f>
        <v>57476.30153</v>
      </c>
      <c r="N791" s="11">
        <f t="shared" ref="N791:N793" si="2370">(K791*D791)/100000</f>
        <v>96478.07757</v>
      </c>
      <c r="O791" s="19">
        <v>2.19</v>
      </c>
      <c r="P791" s="19"/>
      <c r="Q791" s="19">
        <v>1.59</v>
      </c>
      <c r="R791" s="19"/>
      <c r="S791" s="19">
        <v>3.09</v>
      </c>
      <c r="T791" s="14"/>
      <c r="U791" s="14">
        <f t="shared" ref="U791:U793" si="2371">(O791*D791)/100000</f>
        <v>52.0129599</v>
      </c>
      <c r="V791" s="14">
        <f t="shared" ref="V791:V793" si="2372">(Q791*D791)/100000</f>
        <v>37.7628339</v>
      </c>
      <c r="W791" s="14">
        <f t="shared" ref="W791:W793" si="2373">(S791*D791)/100000</f>
        <v>73.3881489</v>
      </c>
      <c r="X791" s="13"/>
      <c r="Y791" s="13"/>
      <c r="Z791" s="13" t="str">
        <f t="shared" ref="Z791:Z792" si="2374">ROUND(F791, 0) &amp; " (" &amp; ROUND(H791, 0) &amp; "-" &amp; ROUND(J791, 0) &amp; ")"</f>
        <v>1 (1-2)</v>
      </c>
      <c r="AA791" s="13" t="str">
        <f t="shared" ref="AA791:AA792" si="2375">ROUND(L791, 0) &amp; " (" &amp; ROUND(M791, 0) &amp; "-" &amp; ROUND(N791, 0) &amp; ")"</f>
        <v>135 (57476-96478)</v>
      </c>
      <c r="AB791" s="13" t="str">
        <f t="shared" ref="AB791:AB792" si="2376">ROUND(O791, 0) &amp; " (" &amp; ROUND(Q791, 0) &amp; "-" &amp; ROUND(S791, 0) &amp; ")"</f>
        <v>2 (2-3)</v>
      </c>
      <c r="AC791" s="13" t="str">
        <f t="shared" ref="AC791:AC792" si="2377">ROUND(U791, 0) &amp; " (" &amp; ROUND(V791, 0) &amp; "-" &amp; ROUND(W791, 0) &amp; ")"</f>
        <v>52 (38-73)</v>
      </c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</row>
    <row r="792" hidden="1">
      <c r="A792" s="24" t="s">
        <v>27</v>
      </c>
      <c r="B792" s="16" t="s">
        <v>226</v>
      </c>
      <c r="C792" s="28">
        <v>2040.0</v>
      </c>
      <c r="D792" s="17">
        <f>1073988+1120446</f>
        <v>2194434</v>
      </c>
      <c r="E792" s="10">
        <v>2.19237084E8</v>
      </c>
      <c r="F792" s="19">
        <v>1.48</v>
      </c>
      <c r="G792" s="10">
        <f t="shared" si="1"/>
        <v>3244.708843</v>
      </c>
      <c r="H792" s="19">
        <v>1.12</v>
      </c>
      <c r="I792" s="8">
        <f t="shared" si="2"/>
        <v>2455.455341</v>
      </c>
      <c r="J792" s="19">
        <v>1.88</v>
      </c>
      <c r="K792" s="11">
        <f t="shared" si="3"/>
        <v>4121.657179</v>
      </c>
      <c r="L792" s="11">
        <f t="shared" si="13"/>
        <v>147.8608536</v>
      </c>
      <c r="M792" s="11">
        <f t="shared" si="2369"/>
        <v>53883.34685</v>
      </c>
      <c r="N792" s="11">
        <f t="shared" si="2370"/>
        <v>90447.0465</v>
      </c>
      <c r="O792" s="19">
        <v>2.19</v>
      </c>
      <c r="P792" s="19"/>
      <c r="Q792" s="19">
        <v>1.59</v>
      </c>
      <c r="R792" s="19"/>
      <c r="S792" s="19">
        <v>3.09</v>
      </c>
      <c r="T792" s="14"/>
      <c r="U792" s="14">
        <f t="shared" si="2371"/>
        <v>48.0581046</v>
      </c>
      <c r="V792" s="14">
        <f t="shared" si="2372"/>
        <v>34.8915006</v>
      </c>
      <c r="W792" s="14">
        <f t="shared" si="2373"/>
        <v>67.8080106</v>
      </c>
      <c r="X792" s="13"/>
      <c r="Y792" s="13"/>
      <c r="Z792" s="13" t="str">
        <f t="shared" si="2374"/>
        <v>1 (1-2)</v>
      </c>
      <c r="AA792" s="13" t="str">
        <f t="shared" si="2375"/>
        <v>148 (53883-90447)</v>
      </c>
      <c r="AB792" s="13" t="str">
        <f t="shared" si="2376"/>
        <v>2 (2-3)</v>
      </c>
      <c r="AC792" s="13" t="str">
        <f t="shared" si="2377"/>
        <v>48 (35-68)</v>
      </c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</row>
    <row r="793" hidden="1">
      <c r="A793" s="24" t="s">
        <v>29</v>
      </c>
      <c r="B793" s="16" t="s">
        <v>226</v>
      </c>
      <c r="C793" s="28">
        <v>2050.0</v>
      </c>
      <c r="D793" s="17">
        <f>974901+1017769</f>
        <v>1992670</v>
      </c>
      <c r="E793" s="10">
        <v>2.17489299E8</v>
      </c>
      <c r="F793" s="19">
        <v>1.48</v>
      </c>
      <c r="G793" s="10">
        <f t="shared" si="1"/>
        <v>3218.841625</v>
      </c>
      <c r="H793" s="19">
        <v>1.12</v>
      </c>
      <c r="I793" s="8">
        <f t="shared" si="2"/>
        <v>2435.880149</v>
      </c>
      <c r="J793" s="19">
        <v>1.88</v>
      </c>
      <c r="K793" s="11">
        <f t="shared" si="3"/>
        <v>4088.798821</v>
      </c>
      <c r="L793" s="11">
        <f t="shared" si="13"/>
        <v>161.5341038</v>
      </c>
      <c r="M793" s="11">
        <f t="shared" si="2369"/>
        <v>48539.05296</v>
      </c>
      <c r="N793" s="11">
        <f t="shared" si="2370"/>
        <v>81476.26747</v>
      </c>
      <c r="O793" s="19">
        <v>2.19</v>
      </c>
      <c r="P793" s="8">
        <f t="shared" ref="P793:P794" si="2378">(O793/100000)*E793</f>
        <v>4763.015648</v>
      </c>
      <c r="Q793" s="19">
        <v>1.59</v>
      </c>
      <c r="R793" s="8">
        <f t="shared" ref="R793:R794" si="2379">(Q793/100000)*E793</f>
        <v>3458.079854</v>
      </c>
      <c r="S793" s="19">
        <v>3.09</v>
      </c>
      <c r="T793" s="11">
        <f t="shared" ref="T793:T794" si="2380">(S793/100000)*E793</f>
        <v>6720.419339</v>
      </c>
      <c r="U793" s="14">
        <f t="shared" si="2371"/>
        <v>43.639473</v>
      </c>
      <c r="V793" s="14">
        <f t="shared" si="2372"/>
        <v>31.683453</v>
      </c>
      <c r="W793" s="14">
        <f t="shared" si="2373"/>
        <v>61.573503</v>
      </c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</row>
    <row r="794">
      <c r="A794" s="24" t="s">
        <v>23</v>
      </c>
      <c r="B794" s="16" t="s">
        <v>227</v>
      </c>
      <c r="C794" s="27">
        <v>2021.0</v>
      </c>
      <c r="D794" s="17">
        <f>66762+69911</f>
        <v>136673</v>
      </c>
      <c r="E794" s="18">
        <v>6684182.0</v>
      </c>
      <c r="F794" s="19">
        <v>1.2</v>
      </c>
      <c r="G794" s="10">
        <f t="shared" si="1"/>
        <v>80.210184</v>
      </c>
      <c r="H794" s="19">
        <v>0.87</v>
      </c>
      <c r="I794" s="8">
        <f t="shared" si="2"/>
        <v>58.1523834</v>
      </c>
      <c r="J794" s="19">
        <v>1.59</v>
      </c>
      <c r="K794" s="11">
        <f t="shared" si="3"/>
        <v>106.2784938</v>
      </c>
      <c r="L794" s="11">
        <f t="shared" si="13"/>
        <v>58.68765886</v>
      </c>
      <c r="M794" s="12">
        <f>(I794/D794)*100000</f>
        <v>42.54855268</v>
      </c>
      <c r="N794" s="11">
        <f>(K794/D794)*100000</f>
        <v>77.761148</v>
      </c>
      <c r="O794" s="19">
        <v>2.2</v>
      </c>
      <c r="P794" s="8">
        <f t="shared" si="2378"/>
        <v>147.052004</v>
      </c>
      <c r="Q794" s="19">
        <v>1.28</v>
      </c>
      <c r="R794" s="8">
        <f t="shared" si="2379"/>
        <v>85.5575296</v>
      </c>
      <c r="S794" s="19">
        <v>3.78</v>
      </c>
      <c r="T794" s="11">
        <f t="shared" si="2380"/>
        <v>252.6620796</v>
      </c>
      <c r="U794" s="11">
        <f>(P794/D794)*100000</f>
        <v>107.5940413</v>
      </c>
      <c r="V794" s="11">
        <f>(R794/D794)*100000</f>
        <v>62.60016946</v>
      </c>
      <c r="W794" s="11">
        <f>(T794/D794)*100000</f>
        <v>184.8661254</v>
      </c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</row>
    <row r="795" hidden="1">
      <c r="A795" s="24" t="s">
        <v>25</v>
      </c>
      <c r="B795" s="16" t="s">
        <v>227</v>
      </c>
      <c r="C795" s="28">
        <v>2030.0</v>
      </c>
      <c r="D795" s="17">
        <f>63385+66333</f>
        <v>129718</v>
      </c>
      <c r="E795" s="10">
        <v>7407618.0</v>
      </c>
      <c r="F795" s="19">
        <v>1.2</v>
      </c>
      <c r="G795" s="10">
        <f t="shared" si="1"/>
        <v>88.891416</v>
      </c>
      <c r="H795" s="19">
        <v>0.87</v>
      </c>
      <c r="I795" s="8">
        <f t="shared" si="2"/>
        <v>64.4462766</v>
      </c>
      <c r="J795" s="19">
        <v>1.59</v>
      </c>
      <c r="K795" s="11">
        <f t="shared" si="3"/>
        <v>117.7811262</v>
      </c>
      <c r="L795" s="11">
        <f t="shared" si="13"/>
        <v>68.52666245</v>
      </c>
      <c r="M795" s="11">
        <f t="shared" ref="M795:M797" si="2381">(I795*D795)/100000</f>
        <v>83.59842108</v>
      </c>
      <c r="N795" s="11">
        <f t="shared" ref="N795:N797" si="2382">(K795*D795)/100000</f>
        <v>152.7833213</v>
      </c>
      <c r="O795" s="19">
        <v>2.2</v>
      </c>
      <c r="P795" s="19"/>
      <c r="Q795" s="19">
        <v>1.28</v>
      </c>
      <c r="R795" s="19"/>
      <c r="S795" s="19">
        <v>3.78</v>
      </c>
      <c r="T795" s="14"/>
      <c r="U795" s="14">
        <f t="shared" ref="U795:U797" si="2383">(O795*D795)/100000</f>
        <v>2.853796</v>
      </c>
      <c r="V795" s="14">
        <f t="shared" ref="V795:V797" si="2384">(Q795*D795)/100000</f>
        <v>1.6603904</v>
      </c>
      <c r="W795" s="14">
        <f t="shared" ref="W795:W797" si="2385">(S795*D795)/100000</f>
        <v>4.9033404</v>
      </c>
      <c r="X795" s="13"/>
      <c r="Y795" s="13"/>
      <c r="Z795" s="13" t="str">
        <f t="shared" ref="Z795:Z796" si="2386">ROUND(F795, 0) &amp; " (" &amp; ROUND(H795, 0) &amp; "-" &amp; ROUND(J795, 0) &amp; ")"</f>
        <v>1 (1-2)</v>
      </c>
      <c r="AA795" s="13" t="str">
        <f t="shared" ref="AA795:AA796" si="2387">ROUND(L795, 0) &amp; " (" &amp; ROUND(M795, 0) &amp; "-" &amp; ROUND(N795, 0) &amp; ")"</f>
        <v>69 (84-153)</v>
      </c>
      <c r="AB795" s="13" t="str">
        <f t="shared" ref="AB795:AB796" si="2388">ROUND(O795, 0) &amp; " (" &amp; ROUND(Q795, 0) &amp; "-" &amp; ROUND(S795, 0) &amp; ")"</f>
        <v>2 (1-4)</v>
      </c>
      <c r="AC795" s="13" t="str">
        <f t="shared" ref="AC795:AC796" si="2389">ROUND(U795, 0) &amp; " (" &amp; ROUND(V795, 0) &amp; "-" &amp; ROUND(W795, 0) &amp; ")"</f>
        <v>3 (2-5)</v>
      </c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</row>
    <row r="796" hidden="1">
      <c r="A796" s="24" t="s">
        <v>27</v>
      </c>
      <c r="B796" s="16" t="s">
        <v>227</v>
      </c>
      <c r="C796" s="28">
        <v>2040.0</v>
      </c>
      <c r="D796" s="17">
        <f>61345+64231</f>
        <v>125576</v>
      </c>
      <c r="E796" s="10">
        <v>8087572.0</v>
      </c>
      <c r="F796" s="19">
        <v>1.2</v>
      </c>
      <c r="G796" s="10">
        <f t="shared" si="1"/>
        <v>97.050864</v>
      </c>
      <c r="H796" s="19">
        <v>0.87</v>
      </c>
      <c r="I796" s="8">
        <f t="shared" si="2"/>
        <v>70.3618764</v>
      </c>
      <c r="J796" s="19">
        <v>1.59</v>
      </c>
      <c r="K796" s="11">
        <f t="shared" si="3"/>
        <v>128.5923948</v>
      </c>
      <c r="L796" s="11">
        <f t="shared" si="13"/>
        <v>77.28456393</v>
      </c>
      <c r="M796" s="11">
        <f t="shared" si="2381"/>
        <v>88.35762991</v>
      </c>
      <c r="N796" s="11">
        <f t="shared" si="2382"/>
        <v>161.4811857</v>
      </c>
      <c r="O796" s="19">
        <v>2.2</v>
      </c>
      <c r="P796" s="19"/>
      <c r="Q796" s="19">
        <v>1.28</v>
      </c>
      <c r="R796" s="19"/>
      <c r="S796" s="19">
        <v>3.78</v>
      </c>
      <c r="T796" s="14"/>
      <c r="U796" s="14">
        <f t="shared" si="2383"/>
        <v>2.762672</v>
      </c>
      <c r="V796" s="14">
        <f t="shared" si="2384"/>
        <v>1.6073728</v>
      </c>
      <c r="W796" s="14">
        <f t="shared" si="2385"/>
        <v>4.7467728</v>
      </c>
      <c r="X796" s="13"/>
      <c r="Y796" s="13"/>
      <c r="Z796" s="13" t="str">
        <f t="shared" si="2386"/>
        <v>1 (1-2)</v>
      </c>
      <c r="AA796" s="13" t="str">
        <f t="shared" si="2387"/>
        <v>77 (88-161)</v>
      </c>
      <c r="AB796" s="13" t="str">
        <f t="shared" si="2388"/>
        <v>2 (1-4)</v>
      </c>
      <c r="AC796" s="13" t="str">
        <f t="shared" si="2389"/>
        <v>3 (2-5)</v>
      </c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</row>
    <row r="797" hidden="1">
      <c r="A797" s="24" t="s">
        <v>29</v>
      </c>
      <c r="B797" s="16" t="s">
        <v>227</v>
      </c>
      <c r="C797" s="28">
        <v>2050.0</v>
      </c>
      <c r="D797" s="17">
        <f>60108+62981</f>
        <v>123089</v>
      </c>
      <c r="E797" s="10">
        <v>8640464.0</v>
      </c>
      <c r="F797" s="19">
        <v>1.2</v>
      </c>
      <c r="G797" s="10">
        <f t="shared" si="1"/>
        <v>103.685568</v>
      </c>
      <c r="H797" s="19">
        <v>0.87</v>
      </c>
      <c r="I797" s="8">
        <f t="shared" si="2"/>
        <v>75.1720368</v>
      </c>
      <c r="J797" s="19">
        <v>1.59</v>
      </c>
      <c r="K797" s="11">
        <f t="shared" si="3"/>
        <v>137.3833776</v>
      </c>
      <c r="L797" s="11">
        <f t="shared" si="13"/>
        <v>84.23625832</v>
      </c>
      <c r="M797" s="11">
        <f t="shared" si="2381"/>
        <v>92.52850838</v>
      </c>
      <c r="N797" s="11">
        <f t="shared" si="2382"/>
        <v>169.1038257</v>
      </c>
      <c r="O797" s="19">
        <v>2.2</v>
      </c>
      <c r="P797" s="8">
        <f>(O797/100000)*E797</f>
        <v>190.090208</v>
      </c>
      <c r="Q797" s="19">
        <v>1.28</v>
      </c>
      <c r="R797" s="8">
        <f>(Q797/100000)*E797</f>
        <v>110.5979392</v>
      </c>
      <c r="S797" s="19">
        <v>3.78</v>
      </c>
      <c r="T797" s="11">
        <f>(S797/100000)*E797</f>
        <v>326.6095392</v>
      </c>
      <c r="U797" s="14">
        <f t="shared" si="2383"/>
        <v>2.707958</v>
      </c>
      <c r="V797" s="14">
        <f t="shared" si="2384"/>
        <v>1.5755392</v>
      </c>
      <c r="W797" s="14">
        <f t="shared" si="2385"/>
        <v>4.6527642</v>
      </c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</row>
    <row r="798" hidden="1">
      <c r="A798" s="13"/>
      <c r="B798" s="13"/>
      <c r="C798" s="13"/>
      <c r="D798" s="17"/>
      <c r="E798" s="17"/>
      <c r="F798" s="29"/>
      <c r="G798" s="30"/>
      <c r="H798" s="29"/>
      <c r="I798" s="17"/>
      <c r="J798" s="29"/>
      <c r="K798" s="17"/>
      <c r="L798" s="17"/>
      <c r="M798" s="17"/>
      <c r="N798" s="17"/>
      <c r="O798" s="29"/>
      <c r="P798" s="17"/>
      <c r="Q798" s="29"/>
      <c r="R798" s="17"/>
      <c r="S798" s="29"/>
      <c r="T798" s="17"/>
      <c r="U798" s="17"/>
      <c r="V798" s="17"/>
      <c r="W798" s="17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</row>
    <row r="799" hidden="1">
      <c r="A799" s="13"/>
      <c r="B799" s="13"/>
      <c r="C799" s="13"/>
      <c r="D799" s="17"/>
      <c r="E799" s="17"/>
      <c r="F799" s="29"/>
      <c r="G799" s="30"/>
      <c r="H799" s="29"/>
      <c r="I799" s="17"/>
      <c r="J799" s="29"/>
      <c r="K799" s="17"/>
      <c r="L799" s="17"/>
      <c r="M799" s="17"/>
      <c r="N799" s="17"/>
      <c r="O799" s="29"/>
      <c r="P799" s="17"/>
      <c r="Q799" s="29"/>
      <c r="R799" s="17"/>
      <c r="S799" s="29"/>
      <c r="T799" s="17"/>
      <c r="U799" s="17"/>
      <c r="V799" s="17"/>
      <c r="W799" s="17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</row>
    <row r="800" hidden="1">
      <c r="A800" s="13"/>
      <c r="B800" s="13"/>
      <c r="C800" s="13"/>
      <c r="D800" s="17"/>
      <c r="E800" s="17"/>
      <c r="F800" s="29"/>
      <c r="G800" s="30"/>
      <c r="H800" s="29"/>
      <c r="I800" s="17"/>
      <c r="J800" s="29"/>
      <c r="K800" s="17"/>
      <c r="L800" s="17"/>
      <c r="M800" s="17"/>
      <c r="N800" s="17"/>
      <c r="O800" s="29"/>
      <c r="P800" s="17"/>
      <c r="Q800" s="29"/>
      <c r="R800" s="17"/>
      <c r="S800" s="29"/>
      <c r="T800" s="17"/>
      <c r="U800" s="17"/>
      <c r="V800" s="17"/>
      <c r="W800" s="17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</row>
    <row r="801" hidden="1">
      <c r="A801" s="13"/>
      <c r="B801" s="13"/>
      <c r="C801" s="13"/>
      <c r="D801" s="17"/>
      <c r="E801" s="17"/>
      <c r="F801" s="29"/>
      <c r="G801" s="30"/>
      <c r="H801" s="29"/>
      <c r="I801" s="17"/>
      <c r="J801" s="29"/>
      <c r="K801" s="17"/>
      <c r="L801" s="17"/>
      <c r="M801" s="17"/>
      <c r="N801" s="17"/>
      <c r="O801" s="29"/>
      <c r="P801" s="17"/>
      <c r="Q801" s="29"/>
      <c r="R801" s="17"/>
      <c r="S801" s="29"/>
      <c r="T801" s="17"/>
      <c r="U801" s="17"/>
      <c r="V801" s="17"/>
      <c r="W801" s="17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</row>
    <row r="802" hidden="1">
      <c r="A802" s="13"/>
      <c r="B802" s="13"/>
      <c r="C802" s="13"/>
      <c r="D802" s="17"/>
      <c r="E802" s="17"/>
      <c r="F802" s="29"/>
      <c r="G802" s="30"/>
      <c r="H802" s="29"/>
      <c r="I802" s="17"/>
      <c r="J802" s="29"/>
      <c r="K802" s="17"/>
      <c r="L802" s="17"/>
      <c r="M802" s="17"/>
      <c r="N802" s="17"/>
      <c r="O802" s="29"/>
      <c r="P802" s="17"/>
      <c r="Q802" s="29"/>
      <c r="R802" s="17"/>
      <c r="S802" s="29"/>
      <c r="T802" s="17"/>
      <c r="U802" s="17"/>
      <c r="V802" s="17"/>
      <c r="W802" s="17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</row>
    <row r="803" hidden="1">
      <c r="A803" s="13"/>
      <c r="B803" s="13"/>
      <c r="C803" s="13"/>
      <c r="D803" s="17"/>
      <c r="E803" s="17"/>
      <c r="F803" s="29"/>
      <c r="G803" s="30"/>
      <c r="H803" s="29"/>
      <c r="I803" s="17"/>
      <c r="J803" s="29"/>
      <c r="K803" s="17"/>
      <c r="L803" s="17"/>
      <c r="M803" s="17"/>
      <c r="N803" s="17"/>
      <c r="O803" s="29"/>
      <c r="P803" s="17"/>
      <c r="Q803" s="29"/>
      <c r="R803" s="17"/>
      <c r="S803" s="29"/>
      <c r="T803" s="17"/>
      <c r="U803" s="17"/>
      <c r="V803" s="17"/>
      <c r="W803" s="17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</row>
    <row r="804" hidden="1">
      <c r="A804" s="13"/>
      <c r="B804" s="13"/>
      <c r="C804" s="13"/>
      <c r="D804" s="17"/>
      <c r="E804" s="17"/>
      <c r="F804" s="29"/>
      <c r="G804" s="30"/>
      <c r="H804" s="29"/>
      <c r="I804" s="17"/>
      <c r="J804" s="29"/>
      <c r="K804" s="17"/>
      <c r="L804" s="17"/>
      <c r="M804" s="17"/>
      <c r="N804" s="17"/>
      <c r="O804" s="29"/>
      <c r="P804" s="17"/>
      <c r="Q804" s="29"/>
      <c r="R804" s="17"/>
      <c r="S804" s="29"/>
      <c r="T804" s="17"/>
      <c r="U804" s="17"/>
      <c r="V804" s="17"/>
      <c r="W804" s="17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</row>
    <row r="805" hidden="1">
      <c r="A805" s="13"/>
      <c r="B805" s="13"/>
      <c r="C805" s="13"/>
      <c r="D805" s="17"/>
      <c r="E805" s="17"/>
      <c r="F805" s="29"/>
      <c r="G805" s="30"/>
      <c r="H805" s="29"/>
      <c r="I805" s="17"/>
      <c r="J805" s="29"/>
      <c r="K805" s="17"/>
      <c r="L805" s="17"/>
      <c r="M805" s="17"/>
      <c r="N805" s="17"/>
      <c r="O805" s="29"/>
      <c r="P805" s="17"/>
      <c r="Q805" s="29"/>
      <c r="R805" s="17"/>
      <c r="S805" s="29"/>
      <c r="T805" s="17"/>
      <c r="U805" s="17"/>
      <c r="V805" s="17"/>
      <c r="W805" s="17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</row>
    <row r="806" hidden="1">
      <c r="A806" s="13"/>
      <c r="B806" s="13"/>
      <c r="C806" s="13"/>
      <c r="D806" s="17"/>
      <c r="E806" s="17"/>
      <c r="F806" s="29"/>
      <c r="G806" s="30"/>
      <c r="H806" s="29"/>
      <c r="I806" s="17"/>
      <c r="J806" s="29"/>
      <c r="K806" s="17"/>
      <c r="L806" s="17"/>
      <c r="M806" s="17"/>
      <c r="N806" s="17"/>
      <c r="O806" s="29"/>
      <c r="P806" s="17"/>
      <c r="Q806" s="29"/>
      <c r="R806" s="17"/>
      <c r="S806" s="29"/>
      <c r="T806" s="17"/>
      <c r="U806" s="17"/>
      <c r="V806" s="17"/>
      <c r="W806" s="17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</row>
    <row r="807" hidden="1">
      <c r="A807" s="13"/>
      <c r="B807" s="13"/>
      <c r="C807" s="13"/>
      <c r="D807" s="17"/>
      <c r="E807" s="17"/>
      <c r="F807" s="29"/>
      <c r="G807" s="30"/>
      <c r="H807" s="29"/>
      <c r="I807" s="17"/>
      <c r="J807" s="29"/>
      <c r="K807" s="17"/>
      <c r="L807" s="17"/>
      <c r="M807" s="17"/>
      <c r="N807" s="17"/>
      <c r="O807" s="29"/>
      <c r="P807" s="17"/>
      <c r="Q807" s="29"/>
      <c r="R807" s="17"/>
      <c r="S807" s="29"/>
      <c r="T807" s="17"/>
      <c r="U807" s="17"/>
      <c r="V807" s="17"/>
      <c r="W807" s="17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</row>
    <row r="808" hidden="1">
      <c r="A808" s="13"/>
      <c r="B808" s="13"/>
      <c r="C808" s="13"/>
      <c r="D808" s="17"/>
      <c r="E808" s="17"/>
      <c r="F808" s="29"/>
      <c r="G808" s="30"/>
      <c r="H808" s="29"/>
      <c r="I808" s="17"/>
      <c r="J808" s="29"/>
      <c r="K808" s="17"/>
      <c r="L808" s="17"/>
      <c r="M808" s="17"/>
      <c r="N808" s="17"/>
      <c r="O808" s="29"/>
      <c r="P808" s="17"/>
      <c r="Q808" s="29"/>
      <c r="R808" s="17"/>
      <c r="S808" s="29"/>
      <c r="T808" s="17"/>
      <c r="U808" s="17"/>
      <c r="V808" s="17"/>
      <c r="W808" s="17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</row>
    <row r="809" hidden="1">
      <c r="A809" s="13"/>
      <c r="B809" s="13"/>
      <c r="C809" s="13"/>
      <c r="D809" s="17"/>
      <c r="E809" s="17"/>
      <c r="F809" s="29"/>
      <c r="G809" s="30"/>
      <c r="H809" s="29"/>
      <c r="I809" s="17"/>
      <c r="J809" s="29"/>
      <c r="K809" s="17"/>
      <c r="L809" s="17"/>
      <c r="M809" s="17"/>
      <c r="N809" s="17"/>
      <c r="O809" s="29"/>
      <c r="P809" s="17"/>
      <c r="Q809" s="29"/>
      <c r="R809" s="17"/>
      <c r="S809" s="29"/>
      <c r="T809" s="17"/>
      <c r="U809" s="17"/>
      <c r="V809" s="17"/>
      <c r="W809" s="17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</row>
    <row r="810" hidden="1">
      <c r="A810" s="13"/>
      <c r="B810" s="13"/>
      <c r="C810" s="13"/>
      <c r="D810" s="17"/>
      <c r="E810" s="17"/>
      <c r="F810" s="29"/>
      <c r="G810" s="30"/>
      <c r="H810" s="29"/>
      <c r="I810" s="17"/>
      <c r="J810" s="29"/>
      <c r="K810" s="17"/>
      <c r="L810" s="17"/>
      <c r="M810" s="17"/>
      <c r="N810" s="17"/>
      <c r="O810" s="29"/>
      <c r="P810" s="17"/>
      <c r="Q810" s="29"/>
      <c r="R810" s="17"/>
      <c r="S810" s="29"/>
      <c r="T810" s="17"/>
      <c r="U810" s="17"/>
      <c r="V810" s="17"/>
      <c r="W810" s="17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</row>
    <row r="811" hidden="1">
      <c r="A811" s="13"/>
      <c r="B811" s="13"/>
      <c r="C811" s="13"/>
      <c r="D811" s="17"/>
      <c r="E811" s="17"/>
      <c r="F811" s="29"/>
      <c r="G811" s="30"/>
      <c r="H811" s="29"/>
      <c r="I811" s="17"/>
      <c r="J811" s="29"/>
      <c r="K811" s="17"/>
      <c r="L811" s="17"/>
      <c r="M811" s="17"/>
      <c r="N811" s="17"/>
      <c r="O811" s="29"/>
      <c r="P811" s="17"/>
      <c r="Q811" s="29"/>
      <c r="R811" s="17"/>
      <c r="S811" s="29"/>
      <c r="T811" s="17"/>
      <c r="U811" s="17"/>
      <c r="V811" s="17"/>
      <c r="W811" s="17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</row>
    <row r="812" hidden="1">
      <c r="A812" s="13"/>
      <c r="B812" s="13"/>
      <c r="C812" s="13"/>
      <c r="D812" s="17"/>
      <c r="E812" s="17"/>
      <c r="F812" s="29"/>
      <c r="G812" s="30"/>
      <c r="H812" s="29"/>
      <c r="I812" s="17"/>
      <c r="J812" s="29"/>
      <c r="K812" s="17"/>
      <c r="L812" s="17"/>
      <c r="M812" s="17"/>
      <c r="N812" s="17"/>
      <c r="O812" s="29"/>
      <c r="P812" s="17"/>
      <c r="Q812" s="29"/>
      <c r="R812" s="17"/>
      <c r="S812" s="29"/>
      <c r="T812" s="17"/>
      <c r="U812" s="17"/>
      <c r="V812" s="17"/>
      <c r="W812" s="17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</row>
    <row r="813" hidden="1">
      <c r="A813" s="13"/>
      <c r="B813" s="13"/>
      <c r="C813" s="13"/>
      <c r="D813" s="17"/>
      <c r="E813" s="17"/>
      <c r="F813" s="29"/>
      <c r="G813" s="30"/>
      <c r="H813" s="29"/>
      <c r="I813" s="17"/>
      <c r="J813" s="29"/>
      <c r="K813" s="17"/>
      <c r="L813" s="17"/>
      <c r="M813" s="17"/>
      <c r="N813" s="17"/>
      <c r="O813" s="29"/>
      <c r="P813" s="17"/>
      <c r="Q813" s="29"/>
      <c r="R813" s="17"/>
      <c r="S813" s="29"/>
      <c r="T813" s="17"/>
      <c r="U813" s="17"/>
      <c r="V813" s="17"/>
      <c r="W813" s="17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</row>
    <row r="814" hidden="1">
      <c r="A814" s="13"/>
      <c r="B814" s="13"/>
      <c r="C814" s="13"/>
      <c r="D814" s="17"/>
      <c r="E814" s="17"/>
      <c r="F814" s="29"/>
      <c r="G814" s="30"/>
      <c r="H814" s="29"/>
      <c r="I814" s="17"/>
      <c r="J814" s="29"/>
      <c r="K814" s="17"/>
      <c r="L814" s="17"/>
      <c r="M814" s="17"/>
      <c r="N814" s="17"/>
      <c r="O814" s="29"/>
      <c r="P814" s="17"/>
      <c r="Q814" s="29"/>
      <c r="R814" s="17"/>
      <c r="S814" s="29"/>
      <c r="T814" s="17"/>
      <c r="U814" s="17"/>
      <c r="V814" s="17"/>
      <c r="W814" s="17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</row>
    <row r="815" hidden="1">
      <c r="A815" s="13"/>
      <c r="B815" s="13"/>
      <c r="C815" s="13"/>
      <c r="D815" s="17"/>
      <c r="E815" s="17"/>
      <c r="F815" s="29"/>
      <c r="G815" s="30"/>
      <c r="H815" s="29"/>
      <c r="I815" s="17"/>
      <c r="J815" s="29"/>
      <c r="K815" s="17"/>
      <c r="L815" s="17"/>
      <c r="M815" s="17"/>
      <c r="N815" s="17"/>
      <c r="O815" s="29"/>
      <c r="P815" s="17"/>
      <c r="Q815" s="29"/>
      <c r="R815" s="17"/>
      <c r="S815" s="29"/>
      <c r="T815" s="17"/>
      <c r="U815" s="17"/>
      <c r="V815" s="17"/>
      <c r="W815" s="17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</row>
    <row r="816" hidden="1">
      <c r="A816" s="13"/>
      <c r="B816" s="13"/>
      <c r="C816" s="13"/>
      <c r="D816" s="17"/>
      <c r="E816" s="17"/>
      <c r="F816" s="29"/>
      <c r="G816" s="30"/>
      <c r="H816" s="29"/>
      <c r="I816" s="17"/>
      <c r="J816" s="29"/>
      <c r="K816" s="17"/>
      <c r="L816" s="17"/>
      <c r="M816" s="17"/>
      <c r="N816" s="17"/>
      <c r="O816" s="29"/>
      <c r="P816" s="17"/>
      <c r="Q816" s="29"/>
      <c r="R816" s="17"/>
      <c r="S816" s="29"/>
      <c r="T816" s="17"/>
      <c r="U816" s="17"/>
      <c r="V816" s="17"/>
      <c r="W816" s="17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</row>
    <row r="817" hidden="1">
      <c r="A817" s="13"/>
      <c r="B817" s="13"/>
      <c r="C817" s="13"/>
      <c r="D817" s="17"/>
      <c r="E817" s="17"/>
      <c r="F817" s="29"/>
      <c r="G817" s="30"/>
      <c r="H817" s="29"/>
      <c r="I817" s="17"/>
      <c r="J817" s="29"/>
      <c r="K817" s="17"/>
      <c r="L817" s="17"/>
      <c r="M817" s="17"/>
      <c r="N817" s="17"/>
      <c r="O817" s="29"/>
      <c r="P817" s="17"/>
      <c r="Q817" s="29"/>
      <c r="R817" s="17"/>
      <c r="S817" s="29"/>
      <c r="T817" s="17"/>
      <c r="U817" s="17"/>
      <c r="V817" s="17"/>
      <c r="W817" s="17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</row>
    <row r="818" hidden="1">
      <c r="A818" s="13"/>
      <c r="B818" s="13"/>
      <c r="C818" s="13"/>
      <c r="D818" s="17"/>
      <c r="E818" s="17"/>
      <c r="F818" s="29"/>
      <c r="G818" s="30"/>
      <c r="H818" s="29"/>
      <c r="I818" s="17"/>
      <c r="J818" s="29"/>
      <c r="K818" s="17"/>
      <c r="L818" s="17"/>
      <c r="M818" s="17"/>
      <c r="N818" s="17"/>
      <c r="O818" s="29"/>
      <c r="P818" s="17"/>
      <c r="Q818" s="29"/>
      <c r="R818" s="17"/>
      <c r="S818" s="29"/>
      <c r="T818" s="17"/>
      <c r="U818" s="17"/>
      <c r="V818" s="17"/>
      <c r="W818" s="17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</row>
    <row r="819" hidden="1">
      <c r="A819" s="13"/>
      <c r="B819" s="13"/>
      <c r="C819" s="13"/>
      <c r="D819" s="17"/>
      <c r="E819" s="17"/>
      <c r="F819" s="29"/>
      <c r="G819" s="30"/>
      <c r="H819" s="29"/>
      <c r="I819" s="17"/>
      <c r="J819" s="29"/>
      <c r="K819" s="17"/>
      <c r="L819" s="17"/>
      <c r="M819" s="17"/>
      <c r="N819" s="17"/>
      <c r="O819" s="29"/>
      <c r="P819" s="17"/>
      <c r="Q819" s="29"/>
      <c r="R819" s="17"/>
      <c r="S819" s="29"/>
      <c r="T819" s="17"/>
      <c r="U819" s="17"/>
      <c r="V819" s="17"/>
      <c r="W819" s="17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</row>
    <row r="820" hidden="1">
      <c r="A820" s="13"/>
      <c r="B820" s="13"/>
      <c r="C820" s="13"/>
      <c r="D820" s="17"/>
      <c r="E820" s="17"/>
      <c r="F820" s="29"/>
      <c r="G820" s="30"/>
      <c r="H820" s="29"/>
      <c r="I820" s="17"/>
      <c r="J820" s="29"/>
      <c r="K820" s="17"/>
      <c r="L820" s="17"/>
      <c r="M820" s="17"/>
      <c r="N820" s="17"/>
      <c r="O820" s="29"/>
      <c r="P820" s="17"/>
      <c r="Q820" s="29"/>
      <c r="R820" s="17"/>
      <c r="S820" s="29"/>
      <c r="T820" s="17"/>
      <c r="U820" s="17"/>
      <c r="V820" s="17"/>
      <c r="W820" s="17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</row>
    <row r="821" hidden="1">
      <c r="A821" s="13"/>
      <c r="B821" s="13"/>
      <c r="C821" s="13"/>
      <c r="D821" s="17"/>
      <c r="E821" s="17"/>
      <c r="F821" s="29"/>
      <c r="G821" s="30"/>
      <c r="H821" s="29"/>
      <c r="I821" s="17"/>
      <c r="J821" s="29"/>
      <c r="K821" s="17"/>
      <c r="L821" s="17"/>
      <c r="M821" s="17"/>
      <c r="N821" s="17"/>
      <c r="O821" s="29"/>
      <c r="P821" s="17"/>
      <c r="Q821" s="29"/>
      <c r="R821" s="17"/>
      <c r="S821" s="29"/>
      <c r="T821" s="17"/>
      <c r="U821" s="17"/>
      <c r="V821" s="17"/>
      <c r="W821" s="17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</row>
    <row r="822" hidden="1">
      <c r="A822" s="13"/>
      <c r="B822" s="13"/>
      <c r="C822" s="13"/>
      <c r="D822" s="17"/>
      <c r="E822" s="17"/>
      <c r="F822" s="29"/>
      <c r="G822" s="30"/>
      <c r="H822" s="29"/>
      <c r="I822" s="17"/>
      <c r="J822" s="29"/>
      <c r="K822" s="17"/>
      <c r="L822" s="17"/>
      <c r="M822" s="17"/>
      <c r="N822" s="17"/>
      <c r="O822" s="29"/>
      <c r="P822" s="17"/>
      <c r="Q822" s="29"/>
      <c r="R822" s="17"/>
      <c r="S822" s="29"/>
      <c r="T822" s="17"/>
      <c r="U822" s="17"/>
      <c r="V822" s="17"/>
      <c r="W822" s="17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</row>
    <row r="823" hidden="1">
      <c r="A823" s="13"/>
      <c r="B823" s="13"/>
      <c r="C823" s="13"/>
      <c r="D823" s="17"/>
      <c r="E823" s="17"/>
      <c r="F823" s="29"/>
      <c r="G823" s="30"/>
      <c r="H823" s="29"/>
      <c r="I823" s="17"/>
      <c r="J823" s="29"/>
      <c r="K823" s="17"/>
      <c r="L823" s="17"/>
      <c r="M823" s="17"/>
      <c r="N823" s="17"/>
      <c r="O823" s="29"/>
      <c r="P823" s="17"/>
      <c r="Q823" s="29"/>
      <c r="R823" s="17"/>
      <c r="S823" s="29"/>
      <c r="T823" s="17"/>
      <c r="U823" s="17"/>
      <c r="V823" s="17"/>
      <c r="W823" s="17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</row>
    <row r="824" hidden="1">
      <c r="A824" s="13"/>
      <c r="B824" s="13"/>
      <c r="C824" s="13"/>
      <c r="D824" s="17"/>
      <c r="E824" s="17"/>
      <c r="F824" s="29"/>
      <c r="G824" s="30"/>
      <c r="H824" s="29"/>
      <c r="I824" s="17"/>
      <c r="J824" s="29"/>
      <c r="K824" s="17"/>
      <c r="L824" s="17"/>
      <c r="M824" s="17"/>
      <c r="N824" s="17"/>
      <c r="O824" s="29"/>
      <c r="P824" s="17"/>
      <c r="Q824" s="29"/>
      <c r="R824" s="17"/>
      <c r="S824" s="29"/>
      <c r="T824" s="17"/>
      <c r="U824" s="17"/>
      <c r="V824" s="17"/>
      <c r="W824" s="17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</row>
    <row r="825" hidden="1">
      <c r="A825" s="13"/>
      <c r="B825" s="13"/>
      <c r="C825" s="13"/>
      <c r="D825" s="17"/>
      <c r="E825" s="17"/>
      <c r="F825" s="29"/>
      <c r="G825" s="30"/>
      <c r="H825" s="29"/>
      <c r="I825" s="17"/>
      <c r="J825" s="29"/>
      <c r="K825" s="17"/>
      <c r="L825" s="17"/>
      <c r="M825" s="17"/>
      <c r="N825" s="17"/>
      <c r="O825" s="29"/>
      <c r="P825" s="17"/>
      <c r="Q825" s="29"/>
      <c r="R825" s="17"/>
      <c r="S825" s="29"/>
      <c r="T825" s="17"/>
      <c r="U825" s="17"/>
      <c r="V825" s="17"/>
      <c r="W825" s="17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</row>
    <row r="826" hidden="1">
      <c r="A826" s="13"/>
      <c r="B826" s="13"/>
      <c r="C826" s="13"/>
      <c r="D826" s="17"/>
      <c r="E826" s="17"/>
      <c r="F826" s="29"/>
      <c r="G826" s="30"/>
      <c r="H826" s="29"/>
      <c r="I826" s="17"/>
      <c r="J826" s="29"/>
      <c r="K826" s="17"/>
      <c r="L826" s="17"/>
      <c r="M826" s="17"/>
      <c r="N826" s="17"/>
      <c r="O826" s="29"/>
      <c r="P826" s="17"/>
      <c r="Q826" s="29"/>
      <c r="R826" s="17"/>
      <c r="S826" s="29"/>
      <c r="T826" s="17"/>
      <c r="U826" s="17"/>
      <c r="V826" s="17"/>
      <c r="W826" s="17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</row>
    <row r="827" hidden="1">
      <c r="A827" s="13"/>
      <c r="B827" s="13"/>
      <c r="C827" s="13"/>
      <c r="D827" s="17"/>
      <c r="E827" s="17"/>
      <c r="F827" s="29"/>
      <c r="G827" s="30"/>
      <c r="H827" s="29"/>
      <c r="I827" s="17"/>
      <c r="J827" s="29"/>
      <c r="K827" s="17"/>
      <c r="L827" s="17"/>
      <c r="M827" s="17"/>
      <c r="N827" s="17"/>
      <c r="O827" s="29"/>
      <c r="P827" s="17"/>
      <c r="Q827" s="29"/>
      <c r="R827" s="17"/>
      <c r="S827" s="29"/>
      <c r="T827" s="17"/>
      <c r="U827" s="17"/>
      <c r="V827" s="17"/>
      <c r="W827" s="17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</row>
    <row r="828" hidden="1">
      <c r="A828" s="13"/>
      <c r="B828" s="13"/>
      <c r="C828" s="13"/>
      <c r="D828" s="17"/>
      <c r="E828" s="17"/>
      <c r="F828" s="29"/>
      <c r="G828" s="30"/>
      <c r="H828" s="29"/>
      <c r="I828" s="17"/>
      <c r="J828" s="29"/>
      <c r="K828" s="17"/>
      <c r="L828" s="17"/>
      <c r="M828" s="17"/>
      <c r="N828" s="17"/>
      <c r="O828" s="29"/>
      <c r="P828" s="17"/>
      <c r="Q828" s="29"/>
      <c r="R828" s="17"/>
      <c r="S828" s="29"/>
      <c r="T828" s="17"/>
      <c r="U828" s="17"/>
      <c r="V828" s="17"/>
      <c r="W828" s="17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</row>
    <row r="829" hidden="1">
      <c r="A829" s="13"/>
      <c r="B829" s="13"/>
      <c r="C829" s="13"/>
      <c r="D829" s="17"/>
      <c r="E829" s="17"/>
      <c r="F829" s="29"/>
      <c r="G829" s="30"/>
      <c r="H829" s="29"/>
      <c r="I829" s="17"/>
      <c r="J829" s="29"/>
      <c r="K829" s="17"/>
      <c r="L829" s="17"/>
      <c r="M829" s="17"/>
      <c r="N829" s="17"/>
      <c r="O829" s="29"/>
      <c r="P829" s="17"/>
      <c r="Q829" s="29"/>
      <c r="R829" s="17"/>
      <c r="S829" s="29"/>
      <c r="T829" s="17"/>
      <c r="U829" s="17"/>
      <c r="V829" s="17"/>
      <c r="W829" s="17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</row>
    <row r="830" hidden="1">
      <c r="A830" s="13"/>
      <c r="B830" s="13"/>
      <c r="C830" s="13"/>
      <c r="D830" s="17"/>
      <c r="E830" s="17"/>
      <c r="F830" s="29"/>
      <c r="G830" s="30"/>
      <c r="H830" s="29"/>
      <c r="I830" s="17"/>
      <c r="J830" s="29"/>
      <c r="K830" s="17"/>
      <c r="L830" s="17"/>
      <c r="M830" s="17"/>
      <c r="N830" s="17"/>
      <c r="O830" s="29"/>
      <c r="P830" s="17"/>
      <c r="Q830" s="29"/>
      <c r="R830" s="17"/>
      <c r="S830" s="29"/>
      <c r="T830" s="17"/>
      <c r="U830" s="17"/>
      <c r="V830" s="17"/>
      <c r="W830" s="17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</row>
    <row r="831" hidden="1">
      <c r="A831" s="13"/>
      <c r="B831" s="13"/>
      <c r="C831" s="13"/>
      <c r="D831" s="17"/>
      <c r="E831" s="17"/>
      <c r="F831" s="29"/>
      <c r="G831" s="30"/>
      <c r="H831" s="29"/>
      <c r="I831" s="17"/>
      <c r="J831" s="29"/>
      <c r="K831" s="17"/>
      <c r="L831" s="17"/>
      <c r="M831" s="17"/>
      <c r="N831" s="17"/>
      <c r="O831" s="29"/>
      <c r="P831" s="17"/>
      <c r="Q831" s="29"/>
      <c r="R831" s="17"/>
      <c r="S831" s="29"/>
      <c r="T831" s="17"/>
      <c r="U831" s="17"/>
      <c r="V831" s="17"/>
      <c r="W831" s="17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</row>
    <row r="832" hidden="1">
      <c r="A832" s="13"/>
      <c r="B832" s="13"/>
      <c r="C832" s="13"/>
      <c r="D832" s="17"/>
      <c r="E832" s="17"/>
      <c r="F832" s="29"/>
      <c r="G832" s="30"/>
      <c r="H832" s="29"/>
      <c r="I832" s="17"/>
      <c r="J832" s="29"/>
      <c r="K832" s="17"/>
      <c r="L832" s="17"/>
      <c r="M832" s="17"/>
      <c r="N832" s="17"/>
      <c r="O832" s="29"/>
      <c r="P832" s="17"/>
      <c r="Q832" s="29"/>
      <c r="R832" s="17"/>
      <c r="S832" s="29"/>
      <c r="T832" s="17"/>
      <c r="U832" s="17"/>
      <c r="V832" s="17"/>
      <c r="W832" s="17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</row>
    <row r="833" hidden="1">
      <c r="A833" s="13"/>
      <c r="B833" s="13"/>
      <c r="C833" s="13"/>
      <c r="D833" s="17"/>
      <c r="E833" s="17"/>
      <c r="F833" s="29"/>
      <c r="G833" s="30"/>
      <c r="H833" s="29"/>
      <c r="I833" s="17"/>
      <c r="J833" s="29"/>
      <c r="K833" s="17"/>
      <c r="L833" s="17"/>
      <c r="M833" s="17"/>
      <c r="N833" s="17"/>
      <c r="O833" s="29"/>
      <c r="P833" s="17"/>
      <c r="Q833" s="29"/>
      <c r="R833" s="17"/>
      <c r="S833" s="29"/>
      <c r="T833" s="17"/>
      <c r="U833" s="17"/>
      <c r="V833" s="17"/>
      <c r="W833" s="17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</row>
    <row r="834" hidden="1">
      <c r="A834" s="13"/>
      <c r="B834" s="13"/>
      <c r="C834" s="13"/>
      <c r="D834" s="17"/>
      <c r="E834" s="17"/>
      <c r="F834" s="29"/>
      <c r="G834" s="30"/>
      <c r="H834" s="29"/>
      <c r="I834" s="17"/>
      <c r="J834" s="29"/>
      <c r="K834" s="17"/>
      <c r="L834" s="17"/>
      <c r="M834" s="17"/>
      <c r="N834" s="17"/>
      <c r="O834" s="29"/>
      <c r="P834" s="17"/>
      <c r="Q834" s="29"/>
      <c r="R834" s="17"/>
      <c r="S834" s="29"/>
      <c r="T834" s="17"/>
      <c r="U834" s="17"/>
      <c r="V834" s="17"/>
      <c r="W834" s="17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</row>
    <row r="835" hidden="1">
      <c r="A835" s="13"/>
      <c r="B835" s="13"/>
      <c r="C835" s="13"/>
      <c r="D835" s="17"/>
      <c r="E835" s="17"/>
      <c r="F835" s="29"/>
      <c r="G835" s="30"/>
      <c r="H835" s="29"/>
      <c r="I835" s="17"/>
      <c r="J835" s="29"/>
      <c r="K835" s="17"/>
      <c r="L835" s="17"/>
      <c r="M835" s="17"/>
      <c r="N835" s="17"/>
      <c r="O835" s="29"/>
      <c r="P835" s="17"/>
      <c r="Q835" s="29"/>
      <c r="R835" s="17"/>
      <c r="S835" s="29"/>
      <c r="T835" s="17"/>
      <c r="U835" s="17"/>
      <c r="V835" s="17"/>
      <c r="W835" s="17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</row>
    <row r="836" hidden="1">
      <c r="A836" s="13"/>
      <c r="B836" s="13"/>
      <c r="C836" s="13"/>
      <c r="D836" s="17"/>
      <c r="E836" s="17"/>
      <c r="F836" s="29"/>
      <c r="G836" s="30"/>
      <c r="H836" s="29"/>
      <c r="I836" s="17"/>
      <c r="J836" s="29"/>
      <c r="K836" s="17"/>
      <c r="L836" s="17"/>
      <c r="M836" s="17"/>
      <c r="N836" s="17"/>
      <c r="O836" s="29"/>
      <c r="P836" s="17"/>
      <c r="Q836" s="29"/>
      <c r="R836" s="17"/>
      <c r="S836" s="29"/>
      <c r="T836" s="17"/>
      <c r="U836" s="17"/>
      <c r="V836" s="17"/>
      <c r="W836" s="17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</row>
    <row r="837" hidden="1">
      <c r="A837" s="13"/>
      <c r="B837" s="13"/>
      <c r="C837" s="13"/>
      <c r="D837" s="17"/>
      <c r="E837" s="17"/>
      <c r="F837" s="29"/>
      <c r="G837" s="30"/>
      <c r="H837" s="29"/>
      <c r="I837" s="17"/>
      <c r="J837" s="29"/>
      <c r="K837" s="17"/>
      <c r="L837" s="17"/>
      <c r="M837" s="17"/>
      <c r="N837" s="17"/>
      <c r="O837" s="29"/>
      <c r="P837" s="17"/>
      <c r="Q837" s="29"/>
      <c r="R837" s="17"/>
      <c r="S837" s="29"/>
      <c r="T837" s="17"/>
      <c r="U837" s="17"/>
      <c r="V837" s="17"/>
      <c r="W837" s="17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</row>
    <row r="838" hidden="1">
      <c r="A838" s="13"/>
      <c r="B838" s="13"/>
      <c r="C838" s="13"/>
      <c r="D838" s="17"/>
      <c r="E838" s="17"/>
      <c r="F838" s="29"/>
      <c r="G838" s="30"/>
      <c r="H838" s="29"/>
      <c r="I838" s="17"/>
      <c r="J838" s="29"/>
      <c r="K838" s="17"/>
      <c r="L838" s="17"/>
      <c r="M838" s="17"/>
      <c r="N838" s="17"/>
      <c r="O838" s="29"/>
      <c r="P838" s="17"/>
      <c r="Q838" s="29"/>
      <c r="R838" s="17"/>
      <c r="S838" s="29"/>
      <c r="T838" s="17"/>
      <c r="U838" s="17"/>
      <c r="V838" s="17"/>
      <c r="W838" s="17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</row>
    <row r="839" hidden="1">
      <c r="A839" s="13"/>
      <c r="B839" s="13"/>
      <c r="C839" s="13"/>
      <c r="D839" s="17"/>
      <c r="E839" s="17"/>
      <c r="F839" s="29"/>
      <c r="G839" s="30"/>
      <c r="H839" s="29"/>
      <c r="I839" s="17"/>
      <c r="J839" s="29"/>
      <c r="K839" s="17"/>
      <c r="L839" s="17"/>
      <c r="M839" s="17"/>
      <c r="N839" s="17"/>
      <c r="O839" s="29"/>
      <c r="P839" s="17"/>
      <c r="Q839" s="29"/>
      <c r="R839" s="17"/>
      <c r="S839" s="29"/>
      <c r="T839" s="17"/>
      <c r="U839" s="17"/>
      <c r="V839" s="17"/>
      <c r="W839" s="17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</row>
    <row r="840" hidden="1">
      <c r="A840" s="13"/>
      <c r="B840" s="13"/>
      <c r="C840" s="13"/>
      <c r="D840" s="17"/>
      <c r="E840" s="17"/>
      <c r="F840" s="29"/>
      <c r="G840" s="30"/>
      <c r="H840" s="29"/>
      <c r="I840" s="17"/>
      <c r="J840" s="29"/>
      <c r="K840" s="17"/>
      <c r="L840" s="17"/>
      <c r="M840" s="17"/>
      <c r="N840" s="17"/>
      <c r="O840" s="29"/>
      <c r="P840" s="17"/>
      <c r="Q840" s="29"/>
      <c r="R840" s="17"/>
      <c r="S840" s="29"/>
      <c r="T840" s="17"/>
      <c r="U840" s="17"/>
      <c r="V840" s="17"/>
      <c r="W840" s="17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</row>
    <row r="841" hidden="1">
      <c r="A841" s="13"/>
      <c r="B841" s="13"/>
      <c r="C841" s="13"/>
      <c r="D841" s="17"/>
      <c r="E841" s="17"/>
      <c r="F841" s="29"/>
      <c r="G841" s="30"/>
      <c r="H841" s="29"/>
      <c r="I841" s="17"/>
      <c r="J841" s="29"/>
      <c r="K841" s="17"/>
      <c r="L841" s="17"/>
      <c r="M841" s="17"/>
      <c r="N841" s="17"/>
      <c r="O841" s="29"/>
      <c r="P841" s="17"/>
      <c r="Q841" s="29"/>
      <c r="R841" s="17"/>
      <c r="S841" s="29"/>
      <c r="T841" s="17"/>
      <c r="U841" s="17"/>
      <c r="V841" s="17"/>
      <c r="W841" s="17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</row>
    <row r="842" hidden="1">
      <c r="A842" s="13"/>
      <c r="B842" s="13"/>
      <c r="C842" s="13"/>
      <c r="D842" s="17"/>
      <c r="E842" s="17"/>
      <c r="F842" s="29"/>
      <c r="G842" s="30"/>
      <c r="H842" s="29"/>
      <c r="I842" s="17"/>
      <c r="J842" s="29"/>
      <c r="K842" s="17"/>
      <c r="L842" s="17"/>
      <c r="M842" s="17"/>
      <c r="N842" s="17"/>
      <c r="O842" s="29"/>
      <c r="P842" s="17"/>
      <c r="Q842" s="29"/>
      <c r="R842" s="17"/>
      <c r="S842" s="29"/>
      <c r="T842" s="17"/>
      <c r="U842" s="17"/>
      <c r="V842" s="17"/>
      <c r="W842" s="17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</row>
    <row r="843" hidden="1">
      <c r="A843" s="13"/>
      <c r="B843" s="13"/>
      <c r="C843" s="13"/>
      <c r="D843" s="17"/>
      <c r="E843" s="17"/>
      <c r="F843" s="29"/>
      <c r="G843" s="30"/>
      <c r="H843" s="29"/>
      <c r="I843" s="17"/>
      <c r="J843" s="29"/>
      <c r="K843" s="17"/>
      <c r="L843" s="17"/>
      <c r="M843" s="17"/>
      <c r="N843" s="17"/>
      <c r="O843" s="29"/>
      <c r="P843" s="17"/>
      <c r="Q843" s="29"/>
      <c r="R843" s="17"/>
      <c r="S843" s="29"/>
      <c r="T843" s="17"/>
      <c r="U843" s="17"/>
      <c r="V843" s="17"/>
      <c r="W843" s="17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</row>
    <row r="844" hidden="1">
      <c r="A844" s="13"/>
      <c r="B844" s="13"/>
      <c r="C844" s="13"/>
      <c r="D844" s="17"/>
      <c r="E844" s="17"/>
      <c r="F844" s="29"/>
      <c r="G844" s="30"/>
      <c r="H844" s="29"/>
      <c r="I844" s="17"/>
      <c r="J844" s="29"/>
      <c r="K844" s="17"/>
      <c r="L844" s="17"/>
      <c r="M844" s="17"/>
      <c r="N844" s="17"/>
      <c r="O844" s="29"/>
      <c r="P844" s="17"/>
      <c r="Q844" s="29"/>
      <c r="R844" s="17"/>
      <c r="S844" s="29"/>
      <c r="T844" s="17"/>
      <c r="U844" s="17"/>
      <c r="V844" s="17"/>
      <c r="W844" s="17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</row>
    <row r="845" hidden="1">
      <c r="A845" s="13"/>
      <c r="B845" s="13"/>
      <c r="C845" s="13"/>
      <c r="D845" s="17"/>
      <c r="E845" s="17"/>
      <c r="F845" s="29"/>
      <c r="G845" s="30"/>
      <c r="H845" s="29"/>
      <c r="I845" s="17"/>
      <c r="J845" s="29"/>
      <c r="K845" s="17"/>
      <c r="L845" s="17"/>
      <c r="M845" s="17"/>
      <c r="N845" s="17"/>
      <c r="O845" s="29"/>
      <c r="P845" s="17"/>
      <c r="Q845" s="29"/>
      <c r="R845" s="17"/>
      <c r="S845" s="29"/>
      <c r="T845" s="17"/>
      <c r="U845" s="17"/>
      <c r="V845" s="17"/>
      <c r="W845" s="17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</row>
    <row r="846" hidden="1">
      <c r="A846" s="13"/>
      <c r="B846" s="13"/>
      <c r="C846" s="13"/>
      <c r="D846" s="17"/>
      <c r="E846" s="17"/>
      <c r="F846" s="29"/>
      <c r="G846" s="30"/>
      <c r="H846" s="29"/>
      <c r="I846" s="17"/>
      <c r="J846" s="29"/>
      <c r="K846" s="17"/>
      <c r="L846" s="17"/>
      <c r="M846" s="17"/>
      <c r="N846" s="17"/>
      <c r="O846" s="29"/>
      <c r="P846" s="17"/>
      <c r="Q846" s="29"/>
      <c r="R846" s="17"/>
      <c r="S846" s="29"/>
      <c r="T846" s="17"/>
      <c r="U846" s="17"/>
      <c r="V846" s="17"/>
      <c r="W846" s="17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</row>
    <row r="847" hidden="1">
      <c r="A847" s="13"/>
      <c r="B847" s="13"/>
      <c r="C847" s="13"/>
      <c r="D847" s="17"/>
      <c r="E847" s="17"/>
      <c r="F847" s="29"/>
      <c r="G847" s="30"/>
      <c r="H847" s="29"/>
      <c r="I847" s="17"/>
      <c r="J847" s="29"/>
      <c r="K847" s="17"/>
      <c r="L847" s="17"/>
      <c r="M847" s="17"/>
      <c r="N847" s="17"/>
      <c r="O847" s="29"/>
      <c r="P847" s="17"/>
      <c r="Q847" s="29"/>
      <c r="R847" s="17"/>
      <c r="S847" s="29"/>
      <c r="T847" s="17"/>
      <c r="U847" s="17"/>
      <c r="V847" s="17"/>
      <c r="W847" s="17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</row>
    <row r="848" hidden="1">
      <c r="A848" s="13"/>
      <c r="B848" s="13"/>
      <c r="C848" s="13"/>
      <c r="D848" s="17"/>
      <c r="E848" s="17"/>
      <c r="F848" s="29"/>
      <c r="G848" s="30"/>
      <c r="H848" s="29"/>
      <c r="I848" s="17"/>
      <c r="J848" s="29"/>
      <c r="K848" s="17"/>
      <c r="L848" s="17"/>
      <c r="M848" s="17"/>
      <c r="N848" s="17"/>
      <c r="O848" s="29"/>
      <c r="P848" s="17"/>
      <c r="Q848" s="29"/>
      <c r="R848" s="17"/>
      <c r="S848" s="29"/>
      <c r="T848" s="17"/>
      <c r="U848" s="17"/>
      <c r="V848" s="17"/>
      <c r="W848" s="17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</row>
    <row r="849" hidden="1">
      <c r="A849" s="13"/>
      <c r="B849" s="13"/>
      <c r="C849" s="13"/>
      <c r="D849" s="17"/>
      <c r="E849" s="17"/>
      <c r="F849" s="29"/>
      <c r="G849" s="30"/>
      <c r="H849" s="29"/>
      <c r="I849" s="17"/>
      <c r="J849" s="29"/>
      <c r="K849" s="17"/>
      <c r="L849" s="17"/>
      <c r="M849" s="17"/>
      <c r="N849" s="17"/>
      <c r="O849" s="29"/>
      <c r="P849" s="17"/>
      <c r="Q849" s="29"/>
      <c r="R849" s="17"/>
      <c r="S849" s="29"/>
      <c r="T849" s="17"/>
      <c r="U849" s="17"/>
      <c r="V849" s="17"/>
      <c r="W849" s="17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</row>
    <row r="850" hidden="1">
      <c r="A850" s="13"/>
      <c r="B850" s="13"/>
      <c r="C850" s="13"/>
      <c r="D850" s="17"/>
      <c r="E850" s="17"/>
      <c r="F850" s="29"/>
      <c r="G850" s="30"/>
      <c r="H850" s="29"/>
      <c r="I850" s="17"/>
      <c r="J850" s="29"/>
      <c r="K850" s="17"/>
      <c r="L850" s="17"/>
      <c r="M850" s="17"/>
      <c r="N850" s="17"/>
      <c r="O850" s="29"/>
      <c r="P850" s="17"/>
      <c r="Q850" s="29"/>
      <c r="R850" s="17"/>
      <c r="S850" s="29"/>
      <c r="T850" s="17"/>
      <c r="U850" s="17"/>
      <c r="V850" s="17"/>
      <c r="W850" s="17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</row>
    <row r="851" hidden="1">
      <c r="A851" s="13"/>
      <c r="B851" s="13"/>
      <c r="C851" s="13"/>
      <c r="D851" s="17"/>
      <c r="E851" s="17"/>
      <c r="F851" s="29"/>
      <c r="G851" s="30"/>
      <c r="H851" s="29"/>
      <c r="I851" s="17"/>
      <c r="J851" s="29"/>
      <c r="K851" s="17"/>
      <c r="L851" s="17"/>
      <c r="M851" s="17"/>
      <c r="N851" s="17"/>
      <c r="O851" s="29"/>
      <c r="P851" s="17"/>
      <c r="Q851" s="29"/>
      <c r="R851" s="17"/>
      <c r="S851" s="29"/>
      <c r="T851" s="17"/>
      <c r="U851" s="17"/>
      <c r="V851" s="17"/>
      <c r="W851" s="17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</row>
    <row r="852" hidden="1">
      <c r="A852" s="13"/>
      <c r="B852" s="13"/>
      <c r="C852" s="13"/>
      <c r="D852" s="17"/>
      <c r="E852" s="17"/>
      <c r="F852" s="29"/>
      <c r="G852" s="30"/>
      <c r="H852" s="29"/>
      <c r="I852" s="17"/>
      <c r="J852" s="29"/>
      <c r="K852" s="17"/>
      <c r="L852" s="17"/>
      <c r="M852" s="17"/>
      <c r="N852" s="17"/>
      <c r="O852" s="29"/>
      <c r="P852" s="17"/>
      <c r="Q852" s="29"/>
      <c r="R852" s="17"/>
      <c r="S852" s="29"/>
      <c r="T852" s="17"/>
      <c r="U852" s="17"/>
      <c r="V852" s="17"/>
      <c r="W852" s="17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</row>
    <row r="853" hidden="1">
      <c r="A853" s="13"/>
      <c r="B853" s="13"/>
      <c r="C853" s="13"/>
      <c r="D853" s="17"/>
      <c r="E853" s="17"/>
      <c r="F853" s="29"/>
      <c r="G853" s="30"/>
      <c r="H853" s="29"/>
      <c r="I853" s="17"/>
      <c r="J853" s="29"/>
      <c r="K853" s="17"/>
      <c r="L853" s="17"/>
      <c r="M853" s="17"/>
      <c r="N853" s="17"/>
      <c r="O853" s="29"/>
      <c r="P853" s="17"/>
      <c r="Q853" s="29"/>
      <c r="R853" s="17"/>
      <c r="S853" s="29"/>
      <c r="T853" s="17"/>
      <c r="U853" s="17"/>
      <c r="V853" s="17"/>
      <c r="W853" s="17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</row>
    <row r="854" hidden="1">
      <c r="A854" s="13"/>
      <c r="B854" s="13"/>
      <c r="C854" s="13"/>
      <c r="D854" s="17"/>
      <c r="E854" s="17"/>
      <c r="F854" s="29"/>
      <c r="G854" s="30"/>
      <c r="H854" s="29"/>
      <c r="I854" s="17"/>
      <c r="J854" s="29"/>
      <c r="K854" s="17"/>
      <c r="L854" s="17"/>
      <c r="M854" s="17"/>
      <c r="N854" s="17"/>
      <c r="O854" s="29"/>
      <c r="P854" s="17"/>
      <c r="Q854" s="29"/>
      <c r="R854" s="17"/>
      <c r="S854" s="29"/>
      <c r="T854" s="17"/>
      <c r="U854" s="17"/>
      <c r="V854" s="17"/>
      <c r="W854" s="17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</row>
    <row r="855" hidden="1">
      <c r="A855" s="13"/>
      <c r="B855" s="13"/>
      <c r="C855" s="13"/>
      <c r="D855" s="17"/>
      <c r="E855" s="17"/>
      <c r="F855" s="29"/>
      <c r="G855" s="30"/>
      <c r="H855" s="29"/>
      <c r="I855" s="17"/>
      <c r="J855" s="29"/>
      <c r="K855" s="17"/>
      <c r="L855" s="17"/>
      <c r="M855" s="17"/>
      <c r="N855" s="17"/>
      <c r="O855" s="29"/>
      <c r="P855" s="17"/>
      <c r="Q855" s="29"/>
      <c r="R855" s="17"/>
      <c r="S855" s="29"/>
      <c r="T855" s="17"/>
      <c r="U855" s="17"/>
      <c r="V855" s="17"/>
      <c r="W855" s="17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</row>
    <row r="856" hidden="1">
      <c r="A856" s="13"/>
      <c r="B856" s="13"/>
      <c r="C856" s="13"/>
      <c r="D856" s="17"/>
      <c r="E856" s="17"/>
      <c r="F856" s="29"/>
      <c r="G856" s="30"/>
      <c r="H856" s="29"/>
      <c r="I856" s="17"/>
      <c r="J856" s="29"/>
      <c r="K856" s="17"/>
      <c r="L856" s="17"/>
      <c r="M856" s="17"/>
      <c r="N856" s="17"/>
      <c r="O856" s="29"/>
      <c r="P856" s="17"/>
      <c r="Q856" s="29"/>
      <c r="R856" s="17"/>
      <c r="S856" s="29"/>
      <c r="T856" s="17"/>
      <c r="U856" s="17"/>
      <c r="V856" s="17"/>
      <c r="W856" s="17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</row>
    <row r="857" hidden="1">
      <c r="A857" s="13"/>
      <c r="B857" s="13"/>
      <c r="C857" s="13"/>
      <c r="D857" s="17"/>
      <c r="E857" s="17"/>
      <c r="F857" s="29"/>
      <c r="G857" s="30"/>
      <c r="H857" s="29"/>
      <c r="I857" s="17"/>
      <c r="J857" s="29"/>
      <c r="K857" s="17"/>
      <c r="L857" s="17"/>
      <c r="M857" s="17"/>
      <c r="N857" s="17"/>
      <c r="O857" s="29"/>
      <c r="P857" s="17"/>
      <c r="Q857" s="29"/>
      <c r="R857" s="17"/>
      <c r="S857" s="29"/>
      <c r="T857" s="17"/>
      <c r="U857" s="17"/>
      <c r="V857" s="17"/>
      <c r="W857" s="17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</row>
    <row r="858" hidden="1">
      <c r="A858" s="13"/>
      <c r="B858" s="13"/>
      <c r="C858" s="13"/>
      <c r="D858" s="17"/>
      <c r="E858" s="17"/>
      <c r="F858" s="29"/>
      <c r="G858" s="30"/>
      <c r="H858" s="29"/>
      <c r="I858" s="17"/>
      <c r="J858" s="29"/>
      <c r="K858" s="17"/>
      <c r="L858" s="17"/>
      <c r="M858" s="17"/>
      <c r="N858" s="17"/>
      <c r="O858" s="29"/>
      <c r="P858" s="17"/>
      <c r="Q858" s="29"/>
      <c r="R858" s="17"/>
      <c r="S858" s="29"/>
      <c r="T858" s="17"/>
      <c r="U858" s="17"/>
      <c r="V858" s="17"/>
      <c r="W858" s="17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</row>
    <row r="859" hidden="1">
      <c r="A859" s="13"/>
      <c r="B859" s="13"/>
      <c r="C859" s="13"/>
      <c r="D859" s="17"/>
      <c r="E859" s="17"/>
      <c r="F859" s="29"/>
      <c r="G859" s="30"/>
      <c r="H859" s="29"/>
      <c r="I859" s="17"/>
      <c r="J859" s="29"/>
      <c r="K859" s="17"/>
      <c r="L859" s="17"/>
      <c r="M859" s="17"/>
      <c r="N859" s="17"/>
      <c r="O859" s="29"/>
      <c r="P859" s="17"/>
      <c r="Q859" s="29"/>
      <c r="R859" s="17"/>
      <c r="S859" s="29"/>
      <c r="T859" s="17"/>
      <c r="U859" s="17"/>
      <c r="V859" s="17"/>
      <c r="W859" s="17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</row>
    <row r="860" hidden="1">
      <c r="A860" s="13"/>
      <c r="B860" s="13"/>
      <c r="C860" s="13"/>
      <c r="D860" s="17"/>
      <c r="E860" s="17"/>
      <c r="F860" s="29"/>
      <c r="G860" s="30"/>
      <c r="H860" s="29"/>
      <c r="I860" s="17"/>
      <c r="J860" s="29"/>
      <c r="K860" s="17"/>
      <c r="L860" s="17"/>
      <c r="M860" s="17"/>
      <c r="N860" s="17"/>
      <c r="O860" s="29"/>
      <c r="P860" s="17"/>
      <c r="Q860" s="29"/>
      <c r="R860" s="17"/>
      <c r="S860" s="29"/>
      <c r="T860" s="17"/>
      <c r="U860" s="17"/>
      <c r="V860" s="17"/>
      <c r="W860" s="17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</row>
    <row r="861" hidden="1">
      <c r="A861" s="13"/>
      <c r="B861" s="13"/>
      <c r="C861" s="13"/>
      <c r="D861" s="17"/>
      <c r="E861" s="17"/>
      <c r="F861" s="29"/>
      <c r="G861" s="30"/>
      <c r="H861" s="29"/>
      <c r="I861" s="17"/>
      <c r="J861" s="29"/>
      <c r="K861" s="17"/>
      <c r="L861" s="17"/>
      <c r="M861" s="17"/>
      <c r="N861" s="17"/>
      <c r="O861" s="29"/>
      <c r="P861" s="17"/>
      <c r="Q861" s="29"/>
      <c r="R861" s="17"/>
      <c r="S861" s="29"/>
      <c r="T861" s="17"/>
      <c r="U861" s="17"/>
      <c r="V861" s="17"/>
      <c r="W861" s="17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</row>
    <row r="862" hidden="1">
      <c r="A862" s="13"/>
      <c r="B862" s="13"/>
      <c r="C862" s="13"/>
      <c r="D862" s="17"/>
      <c r="E862" s="17"/>
      <c r="F862" s="29"/>
      <c r="G862" s="30"/>
      <c r="H862" s="29"/>
      <c r="I862" s="17"/>
      <c r="J862" s="29"/>
      <c r="K862" s="17"/>
      <c r="L862" s="17"/>
      <c r="M862" s="17"/>
      <c r="N862" s="17"/>
      <c r="O862" s="29"/>
      <c r="P862" s="17"/>
      <c r="Q862" s="29"/>
      <c r="R862" s="17"/>
      <c r="S862" s="29"/>
      <c r="T862" s="17"/>
      <c r="U862" s="17"/>
      <c r="V862" s="17"/>
      <c r="W862" s="17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</row>
    <row r="863" hidden="1">
      <c r="A863" s="13"/>
      <c r="B863" s="13"/>
      <c r="C863" s="13"/>
      <c r="D863" s="17"/>
      <c r="E863" s="17"/>
      <c r="F863" s="29"/>
      <c r="G863" s="30"/>
      <c r="H863" s="29"/>
      <c r="I863" s="17"/>
      <c r="J863" s="29"/>
      <c r="K863" s="17"/>
      <c r="L863" s="17"/>
      <c r="M863" s="17"/>
      <c r="N863" s="17"/>
      <c r="O863" s="29"/>
      <c r="P863" s="17"/>
      <c r="Q863" s="29"/>
      <c r="R863" s="17"/>
      <c r="S863" s="29"/>
      <c r="T863" s="17"/>
      <c r="U863" s="17"/>
      <c r="V863" s="17"/>
      <c r="W863" s="17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</row>
    <row r="864" hidden="1">
      <c r="A864" s="13"/>
      <c r="B864" s="13"/>
      <c r="C864" s="13"/>
      <c r="D864" s="17"/>
      <c r="E864" s="17"/>
      <c r="F864" s="29"/>
      <c r="G864" s="30"/>
      <c r="H864" s="29"/>
      <c r="I864" s="17"/>
      <c r="J864" s="29"/>
      <c r="K864" s="17"/>
      <c r="L864" s="17"/>
      <c r="M864" s="17"/>
      <c r="N864" s="17"/>
      <c r="O864" s="29"/>
      <c r="P864" s="17"/>
      <c r="Q864" s="29"/>
      <c r="R864" s="17"/>
      <c r="S864" s="29"/>
      <c r="T864" s="17"/>
      <c r="U864" s="17"/>
      <c r="V864" s="17"/>
      <c r="W864" s="17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</row>
    <row r="865" hidden="1">
      <c r="A865" s="13"/>
      <c r="B865" s="13"/>
      <c r="C865" s="13"/>
      <c r="D865" s="17"/>
      <c r="E865" s="17"/>
      <c r="F865" s="29"/>
      <c r="G865" s="30"/>
      <c r="H865" s="29"/>
      <c r="I865" s="17"/>
      <c r="J865" s="29"/>
      <c r="K865" s="17"/>
      <c r="L865" s="17"/>
      <c r="M865" s="17"/>
      <c r="N865" s="17"/>
      <c r="O865" s="29"/>
      <c r="P865" s="17"/>
      <c r="Q865" s="29"/>
      <c r="R865" s="17"/>
      <c r="S865" s="29"/>
      <c r="T865" s="17"/>
      <c r="U865" s="17"/>
      <c r="V865" s="17"/>
      <c r="W865" s="17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</row>
    <row r="866" hidden="1">
      <c r="A866" s="13"/>
      <c r="B866" s="13"/>
      <c r="C866" s="13"/>
      <c r="D866" s="17"/>
      <c r="E866" s="17"/>
      <c r="F866" s="29"/>
      <c r="G866" s="30"/>
      <c r="H866" s="29"/>
      <c r="I866" s="17"/>
      <c r="J866" s="29"/>
      <c r="K866" s="17"/>
      <c r="L866" s="17"/>
      <c r="M866" s="17"/>
      <c r="N866" s="17"/>
      <c r="O866" s="29"/>
      <c r="P866" s="17"/>
      <c r="Q866" s="29"/>
      <c r="R866" s="17"/>
      <c r="S866" s="29"/>
      <c r="T866" s="17"/>
      <c r="U866" s="17"/>
      <c r="V866" s="17"/>
      <c r="W866" s="17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</row>
    <row r="867" hidden="1">
      <c r="A867" s="13"/>
      <c r="B867" s="13"/>
      <c r="C867" s="13"/>
      <c r="D867" s="17"/>
      <c r="E867" s="17"/>
      <c r="F867" s="29"/>
      <c r="G867" s="30"/>
      <c r="H867" s="29"/>
      <c r="I867" s="17"/>
      <c r="J867" s="29"/>
      <c r="K867" s="17"/>
      <c r="L867" s="17"/>
      <c r="M867" s="17"/>
      <c r="N867" s="17"/>
      <c r="O867" s="29"/>
      <c r="P867" s="17"/>
      <c r="Q867" s="29"/>
      <c r="R867" s="17"/>
      <c r="S867" s="29"/>
      <c r="T867" s="17"/>
      <c r="U867" s="17"/>
      <c r="V867" s="17"/>
      <c r="W867" s="17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</row>
    <row r="868" hidden="1">
      <c r="A868" s="13"/>
      <c r="B868" s="13"/>
      <c r="C868" s="13"/>
      <c r="D868" s="17"/>
      <c r="E868" s="17"/>
      <c r="F868" s="29"/>
      <c r="G868" s="30"/>
      <c r="H868" s="29"/>
      <c r="I868" s="17"/>
      <c r="J868" s="29"/>
      <c r="K868" s="17"/>
      <c r="L868" s="17"/>
      <c r="M868" s="17"/>
      <c r="N868" s="17"/>
      <c r="O868" s="29"/>
      <c r="P868" s="17"/>
      <c r="Q868" s="29"/>
      <c r="R868" s="17"/>
      <c r="S868" s="29"/>
      <c r="T868" s="17"/>
      <c r="U868" s="17"/>
      <c r="V868" s="17"/>
      <c r="W868" s="17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</row>
    <row r="869" hidden="1">
      <c r="A869" s="13"/>
      <c r="B869" s="13"/>
      <c r="C869" s="13"/>
      <c r="D869" s="17"/>
      <c r="E869" s="17"/>
      <c r="F869" s="29"/>
      <c r="G869" s="30"/>
      <c r="H869" s="29"/>
      <c r="I869" s="17"/>
      <c r="J869" s="29"/>
      <c r="K869" s="17"/>
      <c r="L869" s="17"/>
      <c r="M869" s="17"/>
      <c r="N869" s="17"/>
      <c r="O869" s="29"/>
      <c r="P869" s="17"/>
      <c r="Q869" s="29"/>
      <c r="R869" s="17"/>
      <c r="S869" s="29"/>
      <c r="T869" s="17"/>
      <c r="U869" s="17"/>
      <c r="V869" s="17"/>
      <c r="W869" s="17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</row>
    <row r="870" hidden="1">
      <c r="A870" s="13"/>
      <c r="B870" s="13"/>
      <c r="C870" s="13"/>
      <c r="D870" s="17"/>
      <c r="E870" s="17"/>
      <c r="F870" s="29"/>
      <c r="G870" s="30"/>
      <c r="H870" s="29"/>
      <c r="I870" s="17"/>
      <c r="J870" s="29"/>
      <c r="K870" s="17"/>
      <c r="L870" s="17"/>
      <c r="M870" s="17"/>
      <c r="N870" s="17"/>
      <c r="O870" s="29"/>
      <c r="P870" s="17"/>
      <c r="Q870" s="29"/>
      <c r="R870" s="17"/>
      <c r="S870" s="29"/>
      <c r="T870" s="17"/>
      <c r="U870" s="17"/>
      <c r="V870" s="17"/>
      <c r="W870" s="17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</row>
    <row r="871" hidden="1">
      <c r="A871" s="13"/>
      <c r="B871" s="13"/>
      <c r="C871" s="13"/>
      <c r="D871" s="17"/>
      <c r="E871" s="17"/>
      <c r="F871" s="29"/>
      <c r="G871" s="30"/>
      <c r="H871" s="29"/>
      <c r="I871" s="17"/>
      <c r="J871" s="29"/>
      <c r="K871" s="17"/>
      <c r="L871" s="17"/>
      <c r="M871" s="17"/>
      <c r="N871" s="17"/>
      <c r="O871" s="29"/>
      <c r="P871" s="17"/>
      <c r="Q871" s="29"/>
      <c r="R871" s="17"/>
      <c r="S871" s="29"/>
      <c r="T871" s="17"/>
      <c r="U871" s="17"/>
      <c r="V871" s="17"/>
      <c r="W871" s="17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</row>
    <row r="872" hidden="1">
      <c r="A872" s="13"/>
      <c r="B872" s="13"/>
      <c r="C872" s="13"/>
      <c r="D872" s="17"/>
      <c r="E872" s="17"/>
      <c r="F872" s="29"/>
      <c r="G872" s="30"/>
      <c r="H872" s="29"/>
      <c r="I872" s="17"/>
      <c r="J872" s="29"/>
      <c r="K872" s="17"/>
      <c r="L872" s="17"/>
      <c r="M872" s="17"/>
      <c r="N872" s="17"/>
      <c r="O872" s="29"/>
      <c r="P872" s="17"/>
      <c r="Q872" s="29"/>
      <c r="R872" s="17"/>
      <c r="S872" s="29"/>
      <c r="T872" s="17"/>
      <c r="U872" s="17"/>
      <c r="V872" s="17"/>
      <c r="W872" s="17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</row>
    <row r="873" hidden="1">
      <c r="A873" s="13"/>
      <c r="B873" s="13"/>
      <c r="C873" s="13"/>
      <c r="D873" s="17"/>
      <c r="E873" s="17"/>
      <c r="F873" s="29"/>
      <c r="G873" s="30"/>
      <c r="H873" s="29"/>
      <c r="I873" s="17"/>
      <c r="J873" s="29"/>
      <c r="K873" s="17"/>
      <c r="L873" s="17"/>
      <c r="M873" s="17"/>
      <c r="N873" s="17"/>
      <c r="O873" s="29"/>
      <c r="P873" s="17"/>
      <c r="Q873" s="29"/>
      <c r="R873" s="17"/>
      <c r="S873" s="29"/>
      <c r="T873" s="17"/>
      <c r="U873" s="17"/>
      <c r="V873" s="17"/>
      <c r="W873" s="17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</row>
    <row r="874" hidden="1">
      <c r="A874" s="13"/>
      <c r="B874" s="13"/>
      <c r="C874" s="13"/>
      <c r="D874" s="17"/>
      <c r="E874" s="17"/>
      <c r="F874" s="29"/>
      <c r="G874" s="30"/>
      <c r="H874" s="29"/>
      <c r="I874" s="17"/>
      <c r="J874" s="29"/>
      <c r="K874" s="17"/>
      <c r="L874" s="17"/>
      <c r="M874" s="17"/>
      <c r="N874" s="17"/>
      <c r="O874" s="29"/>
      <c r="P874" s="17"/>
      <c r="Q874" s="29"/>
      <c r="R874" s="17"/>
      <c r="S874" s="29"/>
      <c r="T874" s="17"/>
      <c r="U874" s="17"/>
      <c r="V874" s="17"/>
      <c r="W874" s="17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</row>
    <row r="875" hidden="1">
      <c r="A875" s="13"/>
      <c r="B875" s="13"/>
      <c r="C875" s="13"/>
      <c r="D875" s="17"/>
      <c r="E875" s="17"/>
      <c r="F875" s="29"/>
      <c r="G875" s="30"/>
      <c r="H875" s="29"/>
      <c r="I875" s="17"/>
      <c r="J875" s="29"/>
      <c r="K875" s="17"/>
      <c r="L875" s="17"/>
      <c r="M875" s="17"/>
      <c r="N875" s="17"/>
      <c r="O875" s="29"/>
      <c r="P875" s="17"/>
      <c r="Q875" s="29"/>
      <c r="R875" s="17"/>
      <c r="S875" s="29"/>
      <c r="T875" s="17"/>
      <c r="U875" s="17"/>
      <c r="V875" s="17"/>
      <c r="W875" s="17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</row>
    <row r="876" hidden="1">
      <c r="A876" s="13"/>
      <c r="B876" s="13"/>
      <c r="C876" s="13"/>
      <c r="D876" s="17"/>
      <c r="E876" s="17"/>
      <c r="F876" s="29"/>
      <c r="G876" s="30"/>
      <c r="H876" s="29"/>
      <c r="I876" s="17"/>
      <c r="J876" s="29"/>
      <c r="K876" s="17"/>
      <c r="L876" s="17"/>
      <c r="M876" s="17"/>
      <c r="N876" s="17"/>
      <c r="O876" s="29"/>
      <c r="P876" s="17"/>
      <c r="Q876" s="29"/>
      <c r="R876" s="17"/>
      <c r="S876" s="29"/>
      <c r="T876" s="17"/>
      <c r="U876" s="17"/>
      <c r="V876" s="17"/>
      <c r="W876" s="17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</row>
    <row r="877" hidden="1">
      <c r="A877" s="13"/>
      <c r="B877" s="13"/>
      <c r="C877" s="13"/>
      <c r="D877" s="17"/>
      <c r="E877" s="17"/>
      <c r="F877" s="29"/>
      <c r="G877" s="30"/>
      <c r="H877" s="29"/>
      <c r="I877" s="17"/>
      <c r="J877" s="29"/>
      <c r="K877" s="17"/>
      <c r="L877" s="17"/>
      <c r="M877" s="17"/>
      <c r="N877" s="17"/>
      <c r="O877" s="29"/>
      <c r="P877" s="17"/>
      <c r="Q877" s="29"/>
      <c r="R877" s="17"/>
      <c r="S877" s="29"/>
      <c r="T877" s="17"/>
      <c r="U877" s="17"/>
      <c r="V877" s="17"/>
      <c r="W877" s="17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</row>
    <row r="878" hidden="1">
      <c r="A878" s="13"/>
      <c r="B878" s="13"/>
      <c r="C878" s="13"/>
      <c r="D878" s="17"/>
      <c r="E878" s="17"/>
      <c r="F878" s="29"/>
      <c r="G878" s="30"/>
      <c r="H878" s="29"/>
      <c r="I878" s="17"/>
      <c r="J878" s="29"/>
      <c r="K878" s="17"/>
      <c r="L878" s="17"/>
      <c r="M878" s="17"/>
      <c r="N878" s="17"/>
      <c r="O878" s="29"/>
      <c r="P878" s="17"/>
      <c r="Q878" s="29"/>
      <c r="R878" s="17"/>
      <c r="S878" s="29"/>
      <c r="T878" s="17"/>
      <c r="U878" s="17"/>
      <c r="V878" s="17"/>
      <c r="W878" s="17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</row>
    <row r="879" hidden="1">
      <c r="A879" s="13"/>
      <c r="B879" s="13"/>
      <c r="C879" s="13"/>
      <c r="D879" s="17"/>
      <c r="E879" s="17"/>
      <c r="F879" s="29"/>
      <c r="G879" s="30"/>
      <c r="H879" s="29"/>
      <c r="I879" s="17"/>
      <c r="J879" s="29"/>
      <c r="K879" s="17"/>
      <c r="L879" s="17"/>
      <c r="M879" s="17"/>
      <c r="N879" s="17"/>
      <c r="O879" s="29"/>
      <c r="P879" s="17"/>
      <c r="Q879" s="29"/>
      <c r="R879" s="17"/>
      <c r="S879" s="29"/>
      <c r="T879" s="17"/>
      <c r="U879" s="17"/>
      <c r="V879" s="17"/>
      <c r="W879" s="17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</row>
    <row r="880" hidden="1">
      <c r="A880" s="13"/>
      <c r="B880" s="13"/>
      <c r="C880" s="13"/>
      <c r="D880" s="17"/>
      <c r="E880" s="17"/>
      <c r="F880" s="29"/>
      <c r="G880" s="30"/>
      <c r="H880" s="29"/>
      <c r="I880" s="17"/>
      <c r="J880" s="29"/>
      <c r="K880" s="17"/>
      <c r="L880" s="17"/>
      <c r="M880" s="17"/>
      <c r="N880" s="17"/>
      <c r="O880" s="29"/>
      <c r="P880" s="17"/>
      <c r="Q880" s="29"/>
      <c r="R880" s="17"/>
      <c r="S880" s="29"/>
      <c r="T880" s="17"/>
      <c r="U880" s="17"/>
      <c r="V880" s="17"/>
      <c r="W880" s="17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</row>
    <row r="881" hidden="1">
      <c r="A881" s="13"/>
      <c r="B881" s="13"/>
      <c r="C881" s="13"/>
      <c r="D881" s="17"/>
      <c r="E881" s="17"/>
      <c r="F881" s="29"/>
      <c r="G881" s="30"/>
      <c r="H881" s="29"/>
      <c r="I881" s="17"/>
      <c r="J881" s="29"/>
      <c r="K881" s="17"/>
      <c r="L881" s="17"/>
      <c r="M881" s="17"/>
      <c r="N881" s="17"/>
      <c r="O881" s="29"/>
      <c r="P881" s="17"/>
      <c r="Q881" s="29"/>
      <c r="R881" s="17"/>
      <c r="S881" s="29"/>
      <c r="T881" s="17"/>
      <c r="U881" s="17"/>
      <c r="V881" s="17"/>
      <c r="W881" s="17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</row>
    <row r="882" hidden="1">
      <c r="A882" s="13"/>
      <c r="B882" s="13"/>
      <c r="C882" s="13"/>
      <c r="D882" s="17"/>
      <c r="E882" s="17"/>
      <c r="F882" s="29"/>
      <c r="G882" s="30"/>
      <c r="H882" s="29"/>
      <c r="I882" s="17"/>
      <c r="J882" s="29"/>
      <c r="K882" s="17"/>
      <c r="L882" s="17"/>
      <c r="M882" s="17"/>
      <c r="N882" s="17"/>
      <c r="O882" s="29"/>
      <c r="P882" s="17"/>
      <c r="Q882" s="29"/>
      <c r="R882" s="17"/>
      <c r="S882" s="29"/>
      <c r="T882" s="17"/>
      <c r="U882" s="17"/>
      <c r="V882" s="17"/>
      <c r="W882" s="17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</row>
    <row r="883" hidden="1">
      <c r="A883" s="13"/>
      <c r="B883" s="13"/>
      <c r="C883" s="13"/>
      <c r="D883" s="17"/>
      <c r="E883" s="17"/>
      <c r="F883" s="29"/>
      <c r="G883" s="30"/>
      <c r="H883" s="29"/>
      <c r="I883" s="17"/>
      <c r="J883" s="29"/>
      <c r="K883" s="17"/>
      <c r="L883" s="17"/>
      <c r="M883" s="17"/>
      <c r="N883" s="17"/>
      <c r="O883" s="29"/>
      <c r="P883" s="17"/>
      <c r="Q883" s="29"/>
      <c r="R883" s="17"/>
      <c r="S883" s="29"/>
      <c r="T883" s="17"/>
      <c r="U883" s="17"/>
      <c r="V883" s="17"/>
      <c r="W883" s="17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</row>
    <row r="884" hidden="1">
      <c r="A884" s="13"/>
      <c r="B884" s="13"/>
      <c r="C884" s="13"/>
      <c r="D884" s="17"/>
      <c r="E884" s="17"/>
      <c r="F884" s="29"/>
      <c r="G884" s="30"/>
      <c r="H884" s="29"/>
      <c r="I884" s="17"/>
      <c r="J884" s="29"/>
      <c r="K884" s="17"/>
      <c r="L884" s="17"/>
      <c r="M884" s="17"/>
      <c r="N884" s="17"/>
      <c r="O884" s="29"/>
      <c r="P884" s="17"/>
      <c r="Q884" s="29"/>
      <c r="R884" s="17"/>
      <c r="S884" s="29"/>
      <c r="T884" s="17"/>
      <c r="U884" s="17"/>
      <c r="V884" s="17"/>
      <c r="W884" s="17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</row>
    <row r="885" hidden="1">
      <c r="A885" s="13"/>
      <c r="B885" s="13"/>
      <c r="C885" s="13"/>
      <c r="D885" s="17"/>
      <c r="E885" s="17"/>
      <c r="F885" s="29"/>
      <c r="G885" s="30"/>
      <c r="H885" s="29"/>
      <c r="I885" s="17"/>
      <c r="J885" s="29"/>
      <c r="K885" s="17"/>
      <c r="L885" s="17"/>
      <c r="M885" s="17"/>
      <c r="N885" s="17"/>
      <c r="O885" s="29"/>
      <c r="P885" s="17"/>
      <c r="Q885" s="29"/>
      <c r="R885" s="17"/>
      <c r="S885" s="29"/>
      <c r="T885" s="17"/>
      <c r="U885" s="17"/>
      <c r="V885" s="17"/>
      <c r="W885" s="17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</row>
    <row r="886" hidden="1">
      <c r="A886" s="13"/>
      <c r="B886" s="13"/>
      <c r="C886" s="13"/>
      <c r="D886" s="17"/>
      <c r="E886" s="17"/>
      <c r="F886" s="29"/>
      <c r="G886" s="30"/>
      <c r="H886" s="29"/>
      <c r="I886" s="17"/>
      <c r="J886" s="29"/>
      <c r="K886" s="17"/>
      <c r="L886" s="17"/>
      <c r="M886" s="17"/>
      <c r="N886" s="17"/>
      <c r="O886" s="29"/>
      <c r="P886" s="17"/>
      <c r="Q886" s="29"/>
      <c r="R886" s="17"/>
      <c r="S886" s="29"/>
      <c r="T886" s="17"/>
      <c r="U886" s="17"/>
      <c r="V886" s="17"/>
      <c r="W886" s="17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</row>
    <row r="887" hidden="1">
      <c r="A887" s="13"/>
      <c r="B887" s="13"/>
      <c r="C887" s="13"/>
      <c r="D887" s="17"/>
      <c r="E887" s="17"/>
      <c r="F887" s="29"/>
      <c r="G887" s="30"/>
      <c r="H887" s="29"/>
      <c r="I887" s="17"/>
      <c r="J887" s="29"/>
      <c r="K887" s="17"/>
      <c r="L887" s="17"/>
      <c r="M887" s="17"/>
      <c r="N887" s="17"/>
      <c r="O887" s="29"/>
      <c r="P887" s="17"/>
      <c r="Q887" s="29"/>
      <c r="R887" s="17"/>
      <c r="S887" s="29"/>
      <c r="T887" s="17"/>
      <c r="U887" s="17"/>
      <c r="V887" s="17"/>
      <c r="W887" s="17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</row>
    <row r="888" hidden="1">
      <c r="A888" s="13"/>
      <c r="B888" s="13"/>
      <c r="C888" s="13"/>
      <c r="D888" s="17"/>
      <c r="E888" s="17"/>
      <c r="F888" s="29"/>
      <c r="G888" s="30"/>
      <c r="H888" s="29"/>
      <c r="I888" s="17"/>
      <c r="J888" s="29"/>
      <c r="K888" s="17"/>
      <c r="L888" s="17"/>
      <c r="M888" s="17"/>
      <c r="N888" s="17"/>
      <c r="O888" s="29"/>
      <c r="P888" s="17"/>
      <c r="Q888" s="29"/>
      <c r="R888" s="17"/>
      <c r="S888" s="29"/>
      <c r="T888" s="17"/>
      <c r="U888" s="17"/>
      <c r="V888" s="17"/>
      <c r="W888" s="17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</row>
    <row r="889" hidden="1">
      <c r="A889" s="13"/>
      <c r="B889" s="13"/>
      <c r="C889" s="13"/>
      <c r="D889" s="17"/>
      <c r="E889" s="17"/>
      <c r="F889" s="29"/>
      <c r="G889" s="30"/>
      <c r="H889" s="29"/>
      <c r="I889" s="17"/>
      <c r="J889" s="29"/>
      <c r="K889" s="17"/>
      <c r="L889" s="17"/>
      <c r="M889" s="17"/>
      <c r="N889" s="17"/>
      <c r="O889" s="29"/>
      <c r="P889" s="17"/>
      <c r="Q889" s="29"/>
      <c r="R889" s="17"/>
      <c r="S889" s="29"/>
      <c r="T889" s="17"/>
      <c r="U889" s="17"/>
      <c r="V889" s="17"/>
      <c r="W889" s="17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</row>
    <row r="890" hidden="1">
      <c r="A890" s="13"/>
      <c r="B890" s="13"/>
      <c r="C890" s="13"/>
      <c r="D890" s="17"/>
      <c r="E890" s="17"/>
      <c r="F890" s="29"/>
      <c r="G890" s="30"/>
      <c r="H890" s="29"/>
      <c r="I890" s="17"/>
      <c r="J890" s="29"/>
      <c r="K890" s="17"/>
      <c r="L890" s="17"/>
      <c r="M890" s="17"/>
      <c r="N890" s="17"/>
      <c r="O890" s="29"/>
      <c r="P890" s="17"/>
      <c r="Q890" s="29"/>
      <c r="R890" s="17"/>
      <c r="S890" s="29"/>
      <c r="T890" s="17"/>
      <c r="U890" s="17"/>
      <c r="V890" s="17"/>
      <c r="W890" s="17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</row>
    <row r="891" hidden="1">
      <c r="A891" s="13"/>
      <c r="B891" s="13"/>
      <c r="C891" s="13"/>
      <c r="D891" s="17"/>
      <c r="E891" s="17"/>
      <c r="F891" s="29"/>
      <c r="G891" s="30"/>
      <c r="H891" s="29"/>
      <c r="I891" s="17"/>
      <c r="J891" s="29"/>
      <c r="K891" s="17"/>
      <c r="L891" s="17"/>
      <c r="M891" s="17"/>
      <c r="N891" s="17"/>
      <c r="O891" s="29"/>
      <c r="P891" s="17"/>
      <c r="Q891" s="29"/>
      <c r="R891" s="17"/>
      <c r="S891" s="29"/>
      <c r="T891" s="17"/>
      <c r="U891" s="17"/>
      <c r="V891" s="17"/>
      <c r="W891" s="17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</row>
    <row r="892" hidden="1">
      <c r="A892" s="13"/>
      <c r="B892" s="13"/>
      <c r="C892" s="13"/>
      <c r="D892" s="17"/>
      <c r="E892" s="17"/>
      <c r="F892" s="29"/>
      <c r="G892" s="30"/>
      <c r="H892" s="29"/>
      <c r="I892" s="17"/>
      <c r="J892" s="29"/>
      <c r="K892" s="17"/>
      <c r="L892" s="17"/>
      <c r="M892" s="17"/>
      <c r="N892" s="17"/>
      <c r="O892" s="29"/>
      <c r="P892" s="17"/>
      <c r="Q892" s="29"/>
      <c r="R892" s="17"/>
      <c r="S892" s="29"/>
      <c r="T892" s="17"/>
      <c r="U892" s="17"/>
      <c r="V892" s="17"/>
      <c r="W892" s="17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</row>
    <row r="893" hidden="1">
      <c r="A893" s="13"/>
      <c r="B893" s="13"/>
      <c r="C893" s="13"/>
      <c r="D893" s="17"/>
      <c r="E893" s="17"/>
      <c r="F893" s="29"/>
      <c r="G893" s="30"/>
      <c r="H893" s="29"/>
      <c r="I893" s="17"/>
      <c r="J893" s="29"/>
      <c r="K893" s="17"/>
      <c r="L893" s="17"/>
      <c r="M893" s="17"/>
      <c r="N893" s="17"/>
      <c r="O893" s="29"/>
      <c r="P893" s="17"/>
      <c r="Q893" s="29"/>
      <c r="R893" s="17"/>
      <c r="S893" s="29"/>
      <c r="T893" s="17"/>
      <c r="U893" s="17"/>
      <c r="V893" s="17"/>
      <c r="W893" s="17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</row>
    <row r="894" hidden="1">
      <c r="A894" s="13"/>
      <c r="B894" s="13"/>
      <c r="C894" s="13"/>
      <c r="D894" s="17"/>
      <c r="E894" s="17"/>
      <c r="F894" s="29"/>
      <c r="G894" s="30"/>
      <c r="H894" s="29"/>
      <c r="I894" s="17"/>
      <c r="J894" s="29"/>
      <c r="K894" s="17"/>
      <c r="L894" s="17"/>
      <c r="M894" s="17"/>
      <c r="N894" s="17"/>
      <c r="O894" s="29"/>
      <c r="P894" s="17"/>
      <c r="Q894" s="29"/>
      <c r="R894" s="17"/>
      <c r="S894" s="29"/>
      <c r="T894" s="17"/>
      <c r="U894" s="17"/>
      <c r="V894" s="17"/>
      <c r="W894" s="17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</row>
    <row r="895" hidden="1">
      <c r="A895" s="13"/>
      <c r="B895" s="13"/>
      <c r="C895" s="13"/>
      <c r="D895" s="17"/>
      <c r="E895" s="17"/>
      <c r="F895" s="29"/>
      <c r="G895" s="30"/>
      <c r="H895" s="29"/>
      <c r="I895" s="17"/>
      <c r="J895" s="29"/>
      <c r="K895" s="17"/>
      <c r="L895" s="17"/>
      <c r="M895" s="17"/>
      <c r="N895" s="17"/>
      <c r="O895" s="29"/>
      <c r="P895" s="17"/>
      <c r="Q895" s="29"/>
      <c r="R895" s="17"/>
      <c r="S895" s="29"/>
      <c r="T895" s="17"/>
      <c r="U895" s="17"/>
      <c r="V895" s="17"/>
      <c r="W895" s="17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</row>
    <row r="896" hidden="1">
      <c r="A896" s="13"/>
      <c r="B896" s="13"/>
      <c r="C896" s="13"/>
      <c r="D896" s="17"/>
      <c r="E896" s="17"/>
      <c r="F896" s="29"/>
      <c r="G896" s="30"/>
      <c r="H896" s="29"/>
      <c r="I896" s="17"/>
      <c r="J896" s="29"/>
      <c r="K896" s="17"/>
      <c r="L896" s="17"/>
      <c r="M896" s="17"/>
      <c r="N896" s="17"/>
      <c r="O896" s="29"/>
      <c r="P896" s="17"/>
      <c r="Q896" s="29"/>
      <c r="R896" s="17"/>
      <c r="S896" s="29"/>
      <c r="T896" s="17"/>
      <c r="U896" s="17"/>
      <c r="V896" s="17"/>
      <c r="W896" s="17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</row>
    <row r="897" hidden="1">
      <c r="A897" s="13"/>
      <c r="B897" s="13"/>
      <c r="C897" s="13"/>
      <c r="D897" s="17"/>
      <c r="E897" s="17"/>
      <c r="F897" s="29"/>
      <c r="G897" s="30"/>
      <c r="H897" s="29"/>
      <c r="I897" s="17"/>
      <c r="J897" s="29"/>
      <c r="K897" s="17"/>
      <c r="L897" s="17"/>
      <c r="M897" s="17"/>
      <c r="N897" s="17"/>
      <c r="O897" s="29"/>
      <c r="P897" s="17"/>
      <c r="Q897" s="29"/>
      <c r="R897" s="17"/>
      <c r="S897" s="29"/>
      <c r="T897" s="17"/>
      <c r="U897" s="17"/>
      <c r="V897" s="17"/>
      <c r="W897" s="17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</row>
    <row r="898" hidden="1">
      <c r="A898" s="13"/>
      <c r="B898" s="13"/>
      <c r="C898" s="13"/>
      <c r="D898" s="17"/>
      <c r="E898" s="17"/>
      <c r="F898" s="29"/>
      <c r="G898" s="30"/>
      <c r="H898" s="29"/>
      <c r="I898" s="17"/>
      <c r="J898" s="29"/>
      <c r="K898" s="17"/>
      <c r="L898" s="17"/>
      <c r="M898" s="17"/>
      <c r="N898" s="17"/>
      <c r="O898" s="29"/>
      <c r="P898" s="17"/>
      <c r="Q898" s="29"/>
      <c r="R898" s="17"/>
      <c r="S898" s="29"/>
      <c r="T898" s="17"/>
      <c r="U898" s="17"/>
      <c r="V898" s="17"/>
      <c r="W898" s="17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</row>
    <row r="899" hidden="1">
      <c r="A899" s="13"/>
      <c r="B899" s="13"/>
      <c r="C899" s="13"/>
      <c r="D899" s="17"/>
      <c r="E899" s="17"/>
      <c r="F899" s="29"/>
      <c r="G899" s="30"/>
      <c r="H899" s="29"/>
      <c r="I899" s="17"/>
      <c r="J899" s="29"/>
      <c r="K899" s="17"/>
      <c r="L899" s="17"/>
      <c r="M899" s="17"/>
      <c r="N899" s="17"/>
      <c r="O899" s="29"/>
      <c r="P899" s="17"/>
      <c r="Q899" s="29"/>
      <c r="R899" s="17"/>
      <c r="S899" s="29"/>
      <c r="T899" s="17"/>
      <c r="U899" s="17"/>
      <c r="V899" s="17"/>
      <c r="W899" s="17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</row>
    <row r="900" hidden="1">
      <c r="A900" s="13"/>
      <c r="B900" s="13"/>
      <c r="C900" s="13"/>
      <c r="D900" s="17"/>
      <c r="E900" s="17"/>
      <c r="F900" s="29"/>
      <c r="G900" s="30"/>
      <c r="H900" s="29"/>
      <c r="I900" s="17"/>
      <c r="J900" s="29"/>
      <c r="K900" s="17"/>
      <c r="L900" s="17"/>
      <c r="M900" s="17"/>
      <c r="N900" s="17"/>
      <c r="O900" s="29"/>
      <c r="P900" s="17"/>
      <c r="Q900" s="29"/>
      <c r="R900" s="17"/>
      <c r="S900" s="29"/>
      <c r="T900" s="17"/>
      <c r="U900" s="17"/>
      <c r="V900" s="17"/>
      <c r="W900" s="17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</row>
    <row r="901" hidden="1">
      <c r="A901" s="13"/>
      <c r="B901" s="13"/>
      <c r="C901" s="13"/>
      <c r="D901" s="17"/>
      <c r="E901" s="17"/>
      <c r="F901" s="29"/>
      <c r="G901" s="30"/>
      <c r="H901" s="29"/>
      <c r="I901" s="17"/>
      <c r="J901" s="29"/>
      <c r="K901" s="17"/>
      <c r="L901" s="17"/>
      <c r="M901" s="17"/>
      <c r="N901" s="17"/>
      <c r="O901" s="29"/>
      <c r="P901" s="17"/>
      <c r="Q901" s="29"/>
      <c r="R901" s="17"/>
      <c r="S901" s="29"/>
      <c r="T901" s="17"/>
      <c r="U901" s="17"/>
      <c r="V901" s="17"/>
      <c r="W901" s="17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</row>
    <row r="902" hidden="1">
      <c r="A902" s="13"/>
      <c r="B902" s="13"/>
      <c r="C902" s="13"/>
      <c r="D902" s="17"/>
      <c r="E902" s="17"/>
      <c r="F902" s="29"/>
      <c r="G902" s="30"/>
      <c r="H902" s="29"/>
      <c r="I902" s="17"/>
      <c r="J902" s="29"/>
      <c r="K902" s="17"/>
      <c r="L902" s="17"/>
      <c r="M902" s="17"/>
      <c r="N902" s="17"/>
      <c r="O902" s="29"/>
      <c r="P902" s="17"/>
      <c r="Q902" s="29"/>
      <c r="R902" s="17"/>
      <c r="S902" s="29"/>
      <c r="T902" s="17"/>
      <c r="U902" s="17"/>
      <c r="V902" s="17"/>
      <c r="W902" s="17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</row>
    <row r="903" hidden="1">
      <c r="A903" s="13"/>
      <c r="B903" s="13"/>
      <c r="C903" s="13"/>
      <c r="D903" s="17"/>
      <c r="E903" s="17"/>
      <c r="F903" s="29"/>
      <c r="G903" s="30"/>
      <c r="H903" s="29"/>
      <c r="I903" s="17"/>
      <c r="J903" s="29"/>
      <c r="K903" s="17"/>
      <c r="L903" s="17"/>
      <c r="M903" s="17"/>
      <c r="N903" s="17"/>
      <c r="O903" s="29"/>
      <c r="P903" s="17"/>
      <c r="Q903" s="29"/>
      <c r="R903" s="17"/>
      <c r="S903" s="29"/>
      <c r="T903" s="17"/>
      <c r="U903" s="17"/>
      <c r="V903" s="17"/>
      <c r="W903" s="17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</row>
    <row r="904" hidden="1">
      <c r="A904" s="13"/>
      <c r="B904" s="13"/>
      <c r="C904" s="13"/>
      <c r="D904" s="17"/>
      <c r="E904" s="17"/>
      <c r="F904" s="29"/>
      <c r="G904" s="30"/>
      <c r="H904" s="29"/>
      <c r="I904" s="17"/>
      <c r="J904" s="29"/>
      <c r="K904" s="17"/>
      <c r="L904" s="17"/>
      <c r="M904" s="17"/>
      <c r="N904" s="17"/>
      <c r="O904" s="29"/>
      <c r="P904" s="17"/>
      <c r="Q904" s="29"/>
      <c r="R904" s="17"/>
      <c r="S904" s="29"/>
      <c r="T904" s="17"/>
      <c r="U904" s="17"/>
      <c r="V904" s="17"/>
      <c r="W904" s="17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</row>
    <row r="905" hidden="1">
      <c r="A905" s="13"/>
      <c r="B905" s="13"/>
      <c r="C905" s="13"/>
      <c r="D905" s="17"/>
      <c r="E905" s="17"/>
      <c r="F905" s="29"/>
      <c r="G905" s="30"/>
      <c r="H905" s="29"/>
      <c r="I905" s="17"/>
      <c r="J905" s="29"/>
      <c r="K905" s="17"/>
      <c r="L905" s="17"/>
      <c r="M905" s="17"/>
      <c r="N905" s="17"/>
      <c r="O905" s="29"/>
      <c r="P905" s="17"/>
      <c r="Q905" s="29"/>
      <c r="R905" s="17"/>
      <c r="S905" s="29"/>
      <c r="T905" s="17"/>
      <c r="U905" s="17"/>
      <c r="V905" s="17"/>
      <c r="W905" s="17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</row>
    <row r="906" hidden="1">
      <c r="A906" s="13"/>
      <c r="B906" s="13"/>
      <c r="C906" s="13"/>
      <c r="D906" s="17"/>
      <c r="E906" s="17"/>
      <c r="F906" s="29"/>
      <c r="G906" s="30"/>
      <c r="H906" s="29"/>
      <c r="I906" s="17"/>
      <c r="J906" s="29"/>
      <c r="K906" s="17"/>
      <c r="L906" s="17"/>
      <c r="M906" s="17"/>
      <c r="N906" s="17"/>
      <c r="O906" s="29"/>
      <c r="P906" s="17"/>
      <c r="Q906" s="29"/>
      <c r="R906" s="17"/>
      <c r="S906" s="29"/>
      <c r="T906" s="17"/>
      <c r="U906" s="17"/>
      <c r="V906" s="17"/>
      <c r="W906" s="17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</row>
    <row r="907" hidden="1">
      <c r="A907" s="13"/>
      <c r="B907" s="13"/>
      <c r="C907" s="13"/>
      <c r="D907" s="17"/>
      <c r="E907" s="17"/>
      <c r="F907" s="29"/>
      <c r="G907" s="30"/>
      <c r="H907" s="29"/>
      <c r="I907" s="17"/>
      <c r="J907" s="29"/>
      <c r="K907" s="17"/>
      <c r="L907" s="17"/>
      <c r="M907" s="17"/>
      <c r="N907" s="17"/>
      <c r="O907" s="29"/>
      <c r="P907" s="17"/>
      <c r="Q907" s="29"/>
      <c r="R907" s="17"/>
      <c r="S907" s="29"/>
      <c r="T907" s="17"/>
      <c r="U907" s="17"/>
      <c r="V907" s="17"/>
      <c r="W907" s="17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</row>
    <row r="908" hidden="1">
      <c r="A908" s="13"/>
      <c r="B908" s="13"/>
      <c r="C908" s="13"/>
      <c r="D908" s="17"/>
      <c r="E908" s="17"/>
      <c r="F908" s="29"/>
      <c r="G908" s="30"/>
      <c r="H908" s="29"/>
      <c r="I908" s="17"/>
      <c r="J908" s="29"/>
      <c r="K908" s="17"/>
      <c r="L908" s="17"/>
      <c r="M908" s="17"/>
      <c r="N908" s="17"/>
      <c r="O908" s="29"/>
      <c r="P908" s="17"/>
      <c r="Q908" s="29"/>
      <c r="R908" s="17"/>
      <c r="S908" s="29"/>
      <c r="T908" s="17"/>
      <c r="U908" s="17"/>
      <c r="V908" s="17"/>
      <c r="W908" s="17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</row>
    <row r="909" hidden="1">
      <c r="A909" s="13"/>
      <c r="B909" s="13"/>
      <c r="C909" s="13"/>
      <c r="D909" s="17"/>
      <c r="E909" s="17"/>
      <c r="F909" s="29"/>
      <c r="G909" s="30"/>
      <c r="H909" s="29"/>
      <c r="I909" s="17"/>
      <c r="J909" s="29"/>
      <c r="K909" s="17"/>
      <c r="L909" s="17"/>
      <c r="M909" s="17"/>
      <c r="N909" s="17"/>
      <c r="O909" s="29"/>
      <c r="P909" s="17"/>
      <c r="Q909" s="29"/>
      <c r="R909" s="17"/>
      <c r="S909" s="29"/>
      <c r="T909" s="17"/>
      <c r="U909" s="17"/>
      <c r="V909" s="17"/>
      <c r="W909" s="17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</row>
    <row r="910" hidden="1">
      <c r="A910" s="13"/>
      <c r="B910" s="13"/>
      <c r="C910" s="13"/>
      <c r="D910" s="17"/>
      <c r="E910" s="17"/>
      <c r="F910" s="29"/>
      <c r="G910" s="30"/>
      <c r="H910" s="29"/>
      <c r="I910" s="17"/>
      <c r="J910" s="29"/>
      <c r="K910" s="17"/>
      <c r="L910" s="17"/>
      <c r="M910" s="17"/>
      <c r="N910" s="17"/>
      <c r="O910" s="29"/>
      <c r="P910" s="17"/>
      <c r="Q910" s="29"/>
      <c r="R910" s="17"/>
      <c r="S910" s="29"/>
      <c r="T910" s="17"/>
      <c r="U910" s="17"/>
      <c r="V910" s="17"/>
      <c r="W910" s="17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</row>
    <row r="911" hidden="1">
      <c r="A911" s="13"/>
      <c r="B911" s="13"/>
      <c r="C911" s="13"/>
      <c r="D911" s="17"/>
      <c r="E911" s="17"/>
      <c r="F911" s="29"/>
      <c r="G911" s="30"/>
      <c r="H911" s="29"/>
      <c r="I911" s="17"/>
      <c r="J911" s="29"/>
      <c r="K911" s="17"/>
      <c r="L911" s="17"/>
      <c r="M911" s="17"/>
      <c r="N911" s="17"/>
      <c r="O911" s="29"/>
      <c r="P911" s="17"/>
      <c r="Q911" s="29"/>
      <c r="R911" s="17"/>
      <c r="S911" s="29"/>
      <c r="T911" s="17"/>
      <c r="U911" s="17"/>
      <c r="V911" s="17"/>
      <c r="W911" s="17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</row>
    <row r="912" hidden="1">
      <c r="A912" s="13"/>
      <c r="B912" s="13"/>
      <c r="C912" s="13"/>
      <c r="D912" s="17"/>
      <c r="E912" s="17"/>
      <c r="F912" s="29"/>
      <c r="G912" s="30"/>
      <c r="H912" s="29"/>
      <c r="I912" s="17"/>
      <c r="J912" s="29"/>
      <c r="K912" s="17"/>
      <c r="L912" s="17"/>
      <c r="M912" s="17"/>
      <c r="N912" s="17"/>
      <c r="O912" s="29"/>
      <c r="P912" s="17"/>
      <c r="Q912" s="29"/>
      <c r="R912" s="17"/>
      <c r="S912" s="29"/>
      <c r="T912" s="17"/>
      <c r="U912" s="17"/>
      <c r="V912" s="17"/>
      <c r="W912" s="17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</row>
    <row r="913" hidden="1">
      <c r="A913" s="13"/>
      <c r="B913" s="13"/>
      <c r="C913" s="13"/>
      <c r="D913" s="17"/>
      <c r="E913" s="17"/>
      <c r="F913" s="29"/>
      <c r="G913" s="30"/>
      <c r="H913" s="29"/>
      <c r="I913" s="17"/>
      <c r="J913" s="29"/>
      <c r="K913" s="17"/>
      <c r="L913" s="17"/>
      <c r="M913" s="17"/>
      <c r="N913" s="17"/>
      <c r="O913" s="29"/>
      <c r="P913" s="17"/>
      <c r="Q913" s="29"/>
      <c r="R913" s="17"/>
      <c r="S913" s="29"/>
      <c r="T913" s="17"/>
      <c r="U913" s="17"/>
      <c r="V913" s="17"/>
      <c r="W913" s="17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</row>
    <row r="914" hidden="1">
      <c r="A914" s="13"/>
      <c r="B914" s="13"/>
      <c r="C914" s="13"/>
      <c r="D914" s="17"/>
      <c r="E914" s="17"/>
      <c r="F914" s="29"/>
      <c r="G914" s="30"/>
      <c r="H914" s="29"/>
      <c r="I914" s="17"/>
      <c r="J914" s="29"/>
      <c r="K914" s="17"/>
      <c r="L914" s="17"/>
      <c r="M914" s="17"/>
      <c r="N914" s="17"/>
      <c r="O914" s="29"/>
      <c r="P914" s="17"/>
      <c r="Q914" s="29"/>
      <c r="R914" s="17"/>
      <c r="S914" s="29"/>
      <c r="T914" s="17"/>
      <c r="U914" s="17"/>
      <c r="V914" s="17"/>
      <c r="W914" s="17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</row>
    <row r="915" hidden="1">
      <c r="A915" s="13"/>
      <c r="B915" s="13"/>
      <c r="C915" s="13"/>
      <c r="D915" s="17"/>
      <c r="E915" s="17"/>
      <c r="F915" s="29"/>
      <c r="G915" s="30"/>
      <c r="H915" s="29"/>
      <c r="I915" s="17"/>
      <c r="J915" s="29"/>
      <c r="K915" s="17"/>
      <c r="L915" s="17"/>
      <c r="M915" s="17"/>
      <c r="N915" s="17"/>
      <c r="O915" s="29"/>
      <c r="P915" s="17"/>
      <c r="Q915" s="29"/>
      <c r="R915" s="17"/>
      <c r="S915" s="29"/>
      <c r="T915" s="17"/>
      <c r="U915" s="17"/>
      <c r="V915" s="17"/>
      <c r="W915" s="17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</row>
    <row r="916" hidden="1">
      <c r="A916" s="13"/>
      <c r="B916" s="13"/>
      <c r="C916" s="13"/>
      <c r="D916" s="17"/>
      <c r="E916" s="17"/>
      <c r="F916" s="29"/>
      <c r="G916" s="30"/>
      <c r="H916" s="29"/>
      <c r="I916" s="17"/>
      <c r="J916" s="29"/>
      <c r="K916" s="17"/>
      <c r="L916" s="17"/>
      <c r="M916" s="17"/>
      <c r="N916" s="17"/>
      <c r="O916" s="29"/>
      <c r="P916" s="17"/>
      <c r="Q916" s="29"/>
      <c r="R916" s="17"/>
      <c r="S916" s="29"/>
      <c r="T916" s="17"/>
      <c r="U916" s="17"/>
      <c r="V916" s="17"/>
      <c r="W916" s="17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</row>
    <row r="917" hidden="1">
      <c r="A917" s="13"/>
      <c r="B917" s="13"/>
      <c r="C917" s="13"/>
      <c r="D917" s="17"/>
      <c r="E917" s="17"/>
      <c r="F917" s="29"/>
      <c r="G917" s="30"/>
      <c r="H917" s="29"/>
      <c r="I917" s="17"/>
      <c r="J917" s="29"/>
      <c r="K917" s="17"/>
      <c r="L917" s="17"/>
      <c r="M917" s="17"/>
      <c r="N917" s="17"/>
      <c r="O917" s="29"/>
      <c r="P917" s="17"/>
      <c r="Q917" s="29"/>
      <c r="R917" s="17"/>
      <c r="S917" s="29"/>
      <c r="T917" s="17"/>
      <c r="U917" s="17"/>
      <c r="V917" s="17"/>
      <c r="W917" s="17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</row>
    <row r="918" hidden="1">
      <c r="A918" s="13"/>
      <c r="B918" s="13"/>
      <c r="C918" s="13"/>
      <c r="D918" s="17"/>
      <c r="E918" s="17"/>
      <c r="F918" s="29"/>
      <c r="G918" s="30"/>
      <c r="H918" s="29"/>
      <c r="I918" s="17"/>
      <c r="J918" s="29"/>
      <c r="K918" s="17"/>
      <c r="L918" s="17"/>
      <c r="M918" s="17"/>
      <c r="N918" s="17"/>
      <c r="O918" s="29"/>
      <c r="P918" s="17"/>
      <c r="Q918" s="29"/>
      <c r="R918" s="17"/>
      <c r="S918" s="29"/>
      <c r="T918" s="17"/>
      <c r="U918" s="17"/>
      <c r="V918" s="17"/>
      <c r="W918" s="17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</row>
    <row r="919" hidden="1">
      <c r="A919" s="13"/>
      <c r="B919" s="13"/>
      <c r="C919" s="13"/>
      <c r="D919" s="17"/>
      <c r="E919" s="17"/>
      <c r="F919" s="29"/>
      <c r="G919" s="30"/>
      <c r="H919" s="29"/>
      <c r="I919" s="17"/>
      <c r="J919" s="29"/>
      <c r="K919" s="17"/>
      <c r="L919" s="17"/>
      <c r="M919" s="17"/>
      <c r="N919" s="17"/>
      <c r="O919" s="29"/>
      <c r="P919" s="17"/>
      <c r="Q919" s="29"/>
      <c r="R919" s="17"/>
      <c r="S919" s="29"/>
      <c r="T919" s="17"/>
      <c r="U919" s="17"/>
      <c r="V919" s="17"/>
      <c r="W919" s="17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</row>
    <row r="920" hidden="1">
      <c r="A920" s="13"/>
      <c r="B920" s="13"/>
      <c r="C920" s="13"/>
      <c r="D920" s="17"/>
      <c r="E920" s="17"/>
      <c r="F920" s="29"/>
      <c r="G920" s="30"/>
      <c r="H920" s="29"/>
      <c r="I920" s="17"/>
      <c r="J920" s="29"/>
      <c r="K920" s="17"/>
      <c r="L920" s="17"/>
      <c r="M920" s="17"/>
      <c r="N920" s="17"/>
      <c r="O920" s="29"/>
      <c r="P920" s="17"/>
      <c r="Q920" s="29"/>
      <c r="R920" s="17"/>
      <c r="S920" s="29"/>
      <c r="T920" s="17"/>
      <c r="U920" s="17"/>
      <c r="V920" s="17"/>
      <c r="W920" s="17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</row>
    <row r="921" hidden="1">
      <c r="A921" s="13"/>
      <c r="B921" s="13"/>
      <c r="C921" s="13"/>
      <c r="D921" s="17"/>
      <c r="E921" s="17"/>
      <c r="F921" s="29"/>
      <c r="G921" s="30"/>
      <c r="H921" s="29"/>
      <c r="I921" s="17"/>
      <c r="J921" s="29"/>
      <c r="K921" s="17"/>
      <c r="L921" s="17"/>
      <c r="M921" s="17"/>
      <c r="N921" s="17"/>
      <c r="O921" s="29"/>
      <c r="P921" s="17"/>
      <c r="Q921" s="29"/>
      <c r="R921" s="17"/>
      <c r="S921" s="29"/>
      <c r="T921" s="17"/>
      <c r="U921" s="17"/>
      <c r="V921" s="17"/>
      <c r="W921" s="17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</row>
    <row r="922" hidden="1">
      <c r="A922" s="13"/>
      <c r="B922" s="13"/>
      <c r="C922" s="13"/>
      <c r="D922" s="17"/>
      <c r="E922" s="17"/>
      <c r="F922" s="29"/>
      <c r="G922" s="30"/>
      <c r="H922" s="29"/>
      <c r="I922" s="17"/>
      <c r="J922" s="29"/>
      <c r="K922" s="17"/>
      <c r="L922" s="17"/>
      <c r="M922" s="17"/>
      <c r="N922" s="17"/>
      <c r="O922" s="29"/>
      <c r="P922" s="17"/>
      <c r="Q922" s="29"/>
      <c r="R922" s="17"/>
      <c r="S922" s="29"/>
      <c r="T922" s="17"/>
      <c r="U922" s="17"/>
      <c r="V922" s="17"/>
      <c r="W922" s="17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</row>
    <row r="923" hidden="1">
      <c r="A923" s="13"/>
      <c r="B923" s="13"/>
      <c r="C923" s="13"/>
      <c r="D923" s="17"/>
      <c r="E923" s="17"/>
      <c r="F923" s="29"/>
      <c r="G923" s="30"/>
      <c r="H923" s="29"/>
      <c r="I923" s="17"/>
      <c r="J923" s="29"/>
      <c r="K923" s="17"/>
      <c r="L923" s="17"/>
      <c r="M923" s="17"/>
      <c r="N923" s="17"/>
      <c r="O923" s="29"/>
      <c r="P923" s="17"/>
      <c r="Q923" s="29"/>
      <c r="R923" s="17"/>
      <c r="S923" s="29"/>
      <c r="T923" s="17"/>
      <c r="U923" s="17"/>
      <c r="V923" s="17"/>
      <c r="W923" s="17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</row>
    <row r="924" hidden="1">
      <c r="A924" s="13"/>
      <c r="B924" s="13"/>
      <c r="C924" s="13"/>
      <c r="D924" s="17"/>
      <c r="E924" s="17"/>
      <c r="F924" s="29"/>
      <c r="G924" s="30"/>
      <c r="H924" s="29"/>
      <c r="I924" s="17"/>
      <c r="J924" s="29"/>
      <c r="K924" s="17"/>
      <c r="L924" s="17"/>
      <c r="M924" s="17"/>
      <c r="N924" s="17"/>
      <c r="O924" s="29"/>
      <c r="P924" s="17"/>
      <c r="Q924" s="29"/>
      <c r="R924" s="17"/>
      <c r="S924" s="29"/>
      <c r="T924" s="17"/>
      <c r="U924" s="17"/>
      <c r="V924" s="17"/>
      <c r="W924" s="17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</row>
    <row r="925" hidden="1">
      <c r="A925" s="13"/>
      <c r="B925" s="13"/>
      <c r="C925" s="13"/>
      <c r="D925" s="17"/>
      <c r="E925" s="17"/>
      <c r="F925" s="29"/>
      <c r="G925" s="30"/>
      <c r="H925" s="29"/>
      <c r="I925" s="17"/>
      <c r="J925" s="29"/>
      <c r="K925" s="17"/>
      <c r="L925" s="17"/>
      <c r="M925" s="17"/>
      <c r="N925" s="17"/>
      <c r="O925" s="29"/>
      <c r="P925" s="17"/>
      <c r="Q925" s="29"/>
      <c r="R925" s="17"/>
      <c r="S925" s="29"/>
      <c r="T925" s="17"/>
      <c r="U925" s="17"/>
      <c r="V925" s="17"/>
      <c r="W925" s="17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</row>
    <row r="926" hidden="1">
      <c r="A926" s="13"/>
      <c r="B926" s="13"/>
      <c r="C926" s="13"/>
      <c r="D926" s="17"/>
      <c r="E926" s="17"/>
      <c r="F926" s="29"/>
      <c r="G926" s="30"/>
      <c r="H926" s="29"/>
      <c r="I926" s="17"/>
      <c r="J926" s="29"/>
      <c r="K926" s="17"/>
      <c r="L926" s="17"/>
      <c r="M926" s="17"/>
      <c r="N926" s="17"/>
      <c r="O926" s="29"/>
      <c r="P926" s="17"/>
      <c r="Q926" s="29"/>
      <c r="R926" s="17"/>
      <c r="S926" s="29"/>
      <c r="T926" s="17"/>
      <c r="U926" s="17"/>
      <c r="V926" s="17"/>
      <c r="W926" s="17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</row>
    <row r="927" hidden="1">
      <c r="A927" s="13"/>
      <c r="B927" s="13"/>
      <c r="C927" s="13"/>
      <c r="D927" s="17"/>
      <c r="E927" s="17"/>
      <c r="F927" s="29"/>
      <c r="G927" s="30"/>
      <c r="H927" s="29"/>
      <c r="I927" s="17"/>
      <c r="J927" s="29"/>
      <c r="K927" s="17"/>
      <c r="L927" s="17"/>
      <c r="M927" s="17"/>
      <c r="N927" s="17"/>
      <c r="O927" s="29"/>
      <c r="P927" s="17"/>
      <c r="Q927" s="29"/>
      <c r="R927" s="17"/>
      <c r="S927" s="29"/>
      <c r="T927" s="17"/>
      <c r="U927" s="17"/>
      <c r="V927" s="17"/>
      <c r="W927" s="17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</row>
    <row r="928" hidden="1">
      <c r="A928" s="13"/>
      <c r="B928" s="13"/>
      <c r="C928" s="13"/>
      <c r="D928" s="17"/>
      <c r="E928" s="17"/>
      <c r="F928" s="29"/>
      <c r="G928" s="30"/>
      <c r="H928" s="29"/>
      <c r="I928" s="17"/>
      <c r="J928" s="29"/>
      <c r="K928" s="17"/>
      <c r="L928" s="17"/>
      <c r="M928" s="17"/>
      <c r="N928" s="17"/>
      <c r="O928" s="29"/>
      <c r="P928" s="17"/>
      <c r="Q928" s="29"/>
      <c r="R928" s="17"/>
      <c r="S928" s="29"/>
      <c r="T928" s="17"/>
      <c r="U928" s="17"/>
      <c r="V928" s="17"/>
      <c r="W928" s="17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</row>
    <row r="929" hidden="1">
      <c r="A929" s="13"/>
      <c r="B929" s="13"/>
      <c r="C929" s="13"/>
      <c r="D929" s="17"/>
      <c r="E929" s="17"/>
      <c r="F929" s="29"/>
      <c r="G929" s="30"/>
      <c r="H929" s="29"/>
      <c r="I929" s="17"/>
      <c r="J929" s="29"/>
      <c r="K929" s="17"/>
      <c r="L929" s="17"/>
      <c r="M929" s="17"/>
      <c r="N929" s="17"/>
      <c r="O929" s="29"/>
      <c r="P929" s="17"/>
      <c r="Q929" s="29"/>
      <c r="R929" s="17"/>
      <c r="S929" s="29"/>
      <c r="T929" s="17"/>
      <c r="U929" s="17"/>
      <c r="V929" s="17"/>
      <c r="W929" s="17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</row>
    <row r="930" hidden="1">
      <c r="A930" s="13"/>
      <c r="B930" s="13"/>
      <c r="C930" s="13"/>
      <c r="D930" s="17"/>
      <c r="E930" s="17"/>
      <c r="F930" s="29"/>
      <c r="G930" s="30"/>
      <c r="H930" s="29"/>
      <c r="I930" s="17"/>
      <c r="J930" s="29"/>
      <c r="K930" s="17"/>
      <c r="L930" s="17"/>
      <c r="M930" s="17"/>
      <c r="N930" s="17"/>
      <c r="O930" s="29"/>
      <c r="P930" s="17"/>
      <c r="Q930" s="29"/>
      <c r="R930" s="17"/>
      <c r="S930" s="29"/>
      <c r="T930" s="17"/>
      <c r="U930" s="17"/>
      <c r="V930" s="17"/>
      <c r="W930" s="17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</row>
    <row r="931" hidden="1">
      <c r="A931" s="13"/>
      <c r="B931" s="13"/>
      <c r="C931" s="13"/>
      <c r="D931" s="17"/>
      <c r="E931" s="17"/>
      <c r="F931" s="29"/>
      <c r="G931" s="30"/>
      <c r="H931" s="29"/>
      <c r="I931" s="17"/>
      <c r="J931" s="29"/>
      <c r="K931" s="17"/>
      <c r="L931" s="17"/>
      <c r="M931" s="17"/>
      <c r="N931" s="17"/>
      <c r="O931" s="29"/>
      <c r="P931" s="17"/>
      <c r="Q931" s="29"/>
      <c r="R931" s="17"/>
      <c r="S931" s="29"/>
      <c r="T931" s="17"/>
      <c r="U931" s="17"/>
      <c r="V931" s="17"/>
      <c r="W931" s="17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</row>
    <row r="932" hidden="1">
      <c r="A932" s="13"/>
      <c r="B932" s="13"/>
      <c r="C932" s="13"/>
      <c r="D932" s="17"/>
      <c r="E932" s="17"/>
      <c r="F932" s="29"/>
      <c r="G932" s="30"/>
      <c r="H932" s="29"/>
      <c r="I932" s="17"/>
      <c r="J932" s="29"/>
      <c r="K932" s="17"/>
      <c r="L932" s="17"/>
      <c r="M932" s="17"/>
      <c r="N932" s="17"/>
      <c r="O932" s="29"/>
      <c r="P932" s="17"/>
      <c r="Q932" s="29"/>
      <c r="R932" s="17"/>
      <c r="S932" s="29"/>
      <c r="T932" s="17"/>
      <c r="U932" s="17"/>
      <c r="V932" s="17"/>
      <c r="W932" s="17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</row>
    <row r="933" hidden="1">
      <c r="A933" s="13"/>
      <c r="B933" s="13"/>
      <c r="C933" s="13"/>
      <c r="D933" s="17"/>
      <c r="E933" s="17"/>
      <c r="F933" s="29"/>
      <c r="G933" s="30"/>
      <c r="H933" s="29"/>
      <c r="I933" s="17"/>
      <c r="J933" s="29"/>
      <c r="K933" s="17"/>
      <c r="L933" s="17"/>
      <c r="M933" s="17"/>
      <c r="N933" s="17"/>
      <c r="O933" s="29"/>
      <c r="P933" s="17"/>
      <c r="Q933" s="29"/>
      <c r="R933" s="17"/>
      <c r="S933" s="29"/>
      <c r="T933" s="17"/>
      <c r="U933" s="17"/>
      <c r="V933" s="17"/>
      <c r="W933" s="17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</row>
    <row r="934" hidden="1">
      <c r="A934" s="13"/>
      <c r="B934" s="13"/>
      <c r="C934" s="13"/>
      <c r="D934" s="17"/>
      <c r="E934" s="17"/>
      <c r="F934" s="29"/>
      <c r="G934" s="30"/>
      <c r="H934" s="29"/>
      <c r="I934" s="17"/>
      <c r="J934" s="29"/>
      <c r="K934" s="17"/>
      <c r="L934" s="17"/>
      <c r="M934" s="17"/>
      <c r="N934" s="17"/>
      <c r="O934" s="29"/>
      <c r="P934" s="17"/>
      <c r="Q934" s="29"/>
      <c r="R934" s="17"/>
      <c r="S934" s="29"/>
      <c r="T934" s="17"/>
      <c r="U934" s="17"/>
      <c r="V934" s="17"/>
      <c r="W934" s="17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</row>
    <row r="935" hidden="1">
      <c r="A935" s="13"/>
      <c r="B935" s="13"/>
      <c r="C935" s="13"/>
      <c r="D935" s="17"/>
      <c r="E935" s="17"/>
      <c r="F935" s="29"/>
      <c r="G935" s="30"/>
      <c r="H935" s="29"/>
      <c r="I935" s="17"/>
      <c r="J935" s="29"/>
      <c r="K935" s="17"/>
      <c r="L935" s="17"/>
      <c r="M935" s="17"/>
      <c r="N935" s="17"/>
      <c r="O935" s="29"/>
      <c r="P935" s="17"/>
      <c r="Q935" s="29"/>
      <c r="R935" s="17"/>
      <c r="S935" s="29"/>
      <c r="T935" s="17"/>
      <c r="U935" s="17"/>
      <c r="V935" s="17"/>
      <c r="W935" s="17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</row>
    <row r="936" hidden="1">
      <c r="A936" s="13"/>
      <c r="B936" s="13"/>
      <c r="C936" s="13"/>
      <c r="D936" s="17"/>
      <c r="E936" s="17"/>
      <c r="F936" s="29"/>
      <c r="G936" s="30"/>
      <c r="H936" s="29"/>
      <c r="I936" s="17"/>
      <c r="J936" s="29"/>
      <c r="K936" s="17"/>
      <c r="L936" s="17"/>
      <c r="M936" s="17"/>
      <c r="N936" s="17"/>
      <c r="O936" s="29"/>
      <c r="P936" s="17"/>
      <c r="Q936" s="29"/>
      <c r="R936" s="17"/>
      <c r="S936" s="29"/>
      <c r="T936" s="17"/>
      <c r="U936" s="17"/>
      <c r="V936" s="17"/>
      <c r="W936" s="17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</row>
    <row r="937" hidden="1">
      <c r="A937" s="13"/>
      <c r="B937" s="13"/>
      <c r="C937" s="13"/>
      <c r="D937" s="17"/>
      <c r="E937" s="17"/>
      <c r="F937" s="29"/>
      <c r="G937" s="30"/>
      <c r="H937" s="29"/>
      <c r="I937" s="17"/>
      <c r="J937" s="29"/>
      <c r="K937" s="17"/>
      <c r="L937" s="17"/>
      <c r="M937" s="17"/>
      <c r="N937" s="17"/>
      <c r="O937" s="29"/>
      <c r="P937" s="17"/>
      <c r="Q937" s="29"/>
      <c r="R937" s="17"/>
      <c r="S937" s="29"/>
      <c r="T937" s="17"/>
      <c r="U937" s="17"/>
      <c r="V937" s="17"/>
      <c r="W937" s="17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</row>
    <row r="938" hidden="1">
      <c r="A938" s="13"/>
      <c r="B938" s="13"/>
      <c r="C938" s="13"/>
      <c r="D938" s="17"/>
      <c r="E938" s="17"/>
      <c r="F938" s="29"/>
      <c r="G938" s="30"/>
      <c r="H938" s="29"/>
      <c r="I938" s="17"/>
      <c r="J938" s="29"/>
      <c r="K938" s="17"/>
      <c r="L938" s="17"/>
      <c r="M938" s="17"/>
      <c r="N938" s="17"/>
      <c r="O938" s="29"/>
      <c r="P938" s="17"/>
      <c r="Q938" s="29"/>
      <c r="R938" s="17"/>
      <c r="S938" s="29"/>
      <c r="T938" s="17"/>
      <c r="U938" s="17"/>
      <c r="V938" s="17"/>
      <c r="W938" s="17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</row>
    <row r="939" hidden="1">
      <c r="A939" s="13"/>
      <c r="B939" s="13"/>
      <c r="C939" s="13"/>
      <c r="D939" s="17"/>
      <c r="E939" s="17"/>
      <c r="F939" s="29"/>
      <c r="G939" s="30"/>
      <c r="H939" s="29"/>
      <c r="I939" s="17"/>
      <c r="J939" s="29"/>
      <c r="K939" s="17"/>
      <c r="L939" s="17"/>
      <c r="M939" s="17"/>
      <c r="N939" s="17"/>
      <c r="O939" s="29"/>
      <c r="P939" s="17"/>
      <c r="Q939" s="29"/>
      <c r="R939" s="17"/>
      <c r="S939" s="29"/>
      <c r="T939" s="17"/>
      <c r="U939" s="17"/>
      <c r="V939" s="17"/>
      <c r="W939" s="17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</row>
    <row r="940" hidden="1">
      <c r="A940" s="13"/>
      <c r="B940" s="13"/>
      <c r="C940" s="13"/>
      <c r="D940" s="17"/>
      <c r="E940" s="17"/>
      <c r="F940" s="29"/>
      <c r="G940" s="30"/>
      <c r="H940" s="29"/>
      <c r="I940" s="17"/>
      <c r="J940" s="29"/>
      <c r="K940" s="17"/>
      <c r="L940" s="17"/>
      <c r="M940" s="17"/>
      <c r="N940" s="17"/>
      <c r="O940" s="29"/>
      <c r="P940" s="17"/>
      <c r="Q940" s="29"/>
      <c r="R940" s="17"/>
      <c r="S940" s="29"/>
      <c r="T940" s="17"/>
      <c r="U940" s="17"/>
      <c r="V940" s="17"/>
      <c r="W940" s="17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</row>
    <row r="941" hidden="1">
      <c r="A941" s="13"/>
      <c r="B941" s="13"/>
      <c r="C941" s="13"/>
      <c r="D941" s="17"/>
      <c r="E941" s="17"/>
      <c r="F941" s="29"/>
      <c r="G941" s="30"/>
      <c r="H941" s="29"/>
      <c r="I941" s="17"/>
      <c r="J941" s="29"/>
      <c r="K941" s="17"/>
      <c r="L941" s="17"/>
      <c r="M941" s="17"/>
      <c r="N941" s="17"/>
      <c r="O941" s="29"/>
      <c r="P941" s="17"/>
      <c r="Q941" s="29"/>
      <c r="R941" s="17"/>
      <c r="S941" s="29"/>
      <c r="T941" s="17"/>
      <c r="U941" s="17"/>
      <c r="V941" s="17"/>
      <c r="W941" s="17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</row>
    <row r="942" hidden="1">
      <c r="A942" s="13"/>
      <c r="B942" s="13"/>
      <c r="C942" s="13"/>
      <c r="D942" s="17"/>
      <c r="E942" s="17"/>
      <c r="F942" s="29"/>
      <c r="G942" s="30"/>
      <c r="H942" s="29"/>
      <c r="I942" s="17"/>
      <c r="J942" s="29"/>
      <c r="K942" s="17"/>
      <c r="L942" s="17"/>
      <c r="M942" s="17"/>
      <c r="N942" s="17"/>
      <c r="O942" s="29"/>
      <c r="P942" s="17"/>
      <c r="Q942" s="29"/>
      <c r="R942" s="17"/>
      <c r="S942" s="29"/>
      <c r="T942" s="17"/>
      <c r="U942" s="17"/>
      <c r="V942" s="17"/>
      <c r="W942" s="17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</row>
    <row r="943" hidden="1">
      <c r="A943" s="13"/>
      <c r="B943" s="13"/>
      <c r="C943" s="13"/>
      <c r="D943" s="17"/>
      <c r="E943" s="17"/>
      <c r="F943" s="29"/>
      <c r="G943" s="30"/>
      <c r="H943" s="29"/>
      <c r="I943" s="17"/>
      <c r="J943" s="29"/>
      <c r="K943" s="17"/>
      <c r="L943" s="17"/>
      <c r="M943" s="17"/>
      <c r="N943" s="17"/>
      <c r="O943" s="29"/>
      <c r="P943" s="17"/>
      <c r="Q943" s="29"/>
      <c r="R943" s="17"/>
      <c r="S943" s="29"/>
      <c r="T943" s="17"/>
      <c r="U943" s="17"/>
      <c r="V943" s="17"/>
      <c r="W943" s="17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</row>
    <row r="944" hidden="1">
      <c r="A944" s="13"/>
      <c r="B944" s="13"/>
      <c r="C944" s="13"/>
      <c r="D944" s="17"/>
      <c r="E944" s="17"/>
      <c r="F944" s="29"/>
      <c r="G944" s="30"/>
      <c r="H944" s="29"/>
      <c r="I944" s="17"/>
      <c r="J944" s="29"/>
      <c r="K944" s="17"/>
      <c r="L944" s="17"/>
      <c r="M944" s="17"/>
      <c r="N944" s="17"/>
      <c r="O944" s="29"/>
      <c r="P944" s="17"/>
      <c r="Q944" s="29"/>
      <c r="R944" s="17"/>
      <c r="S944" s="29"/>
      <c r="T944" s="17"/>
      <c r="U944" s="17"/>
      <c r="V944" s="17"/>
      <c r="W944" s="17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</row>
    <row r="945" hidden="1">
      <c r="A945" s="13"/>
      <c r="B945" s="13"/>
      <c r="C945" s="13"/>
      <c r="D945" s="17"/>
      <c r="E945" s="17"/>
      <c r="F945" s="29"/>
      <c r="G945" s="30"/>
      <c r="H945" s="29"/>
      <c r="I945" s="17"/>
      <c r="J945" s="29"/>
      <c r="K945" s="17"/>
      <c r="L945" s="17"/>
      <c r="M945" s="17"/>
      <c r="N945" s="17"/>
      <c r="O945" s="29"/>
      <c r="P945" s="17"/>
      <c r="Q945" s="29"/>
      <c r="R945" s="17"/>
      <c r="S945" s="29"/>
      <c r="T945" s="17"/>
      <c r="U945" s="17"/>
      <c r="V945" s="17"/>
      <c r="W945" s="17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</row>
    <row r="946" hidden="1">
      <c r="A946" s="13"/>
      <c r="B946" s="13"/>
      <c r="C946" s="13"/>
      <c r="D946" s="17"/>
      <c r="E946" s="17"/>
      <c r="F946" s="29"/>
      <c r="G946" s="30"/>
      <c r="H946" s="29"/>
      <c r="I946" s="17"/>
      <c r="J946" s="29"/>
      <c r="K946" s="17"/>
      <c r="L946" s="17"/>
      <c r="M946" s="17"/>
      <c r="N946" s="17"/>
      <c r="O946" s="29"/>
      <c r="P946" s="17"/>
      <c r="Q946" s="29"/>
      <c r="R946" s="17"/>
      <c r="S946" s="29"/>
      <c r="T946" s="17"/>
      <c r="U946" s="17"/>
      <c r="V946" s="17"/>
      <c r="W946" s="17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</row>
    <row r="947" hidden="1">
      <c r="A947" s="13"/>
      <c r="B947" s="13"/>
      <c r="C947" s="13"/>
      <c r="D947" s="17"/>
      <c r="E947" s="17"/>
      <c r="F947" s="29"/>
      <c r="G947" s="30"/>
      <c r="H947" s="29"/>
      <c r="I947" s="17"/>
      <c r="J947" s="29"/>
      <c r="K947" s="17"/>
      <c r="L947" s="17"/>
      <c r="M947" s="17"/>
      <c r="N947" s="17"/>
      <c r="O947" s="29"/>
      <c r="P947" s="17"/>
      <c r="Q947" s="29"/>
      <c r="R947" s="17"/>
      <c r="S947" s="29"/>
      <c r="T947" s="17"/>
      <c r="U947" s="17"/>
      <c r="V947" s="17"/>
      <c r="W947" s="17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</row>
    <row r="948" hidden="1">
      <c r="A948" s="13"/>
      <c r="B948" s="13"/>
      <c r="C948" s="13"/>
      <c r="D948" s="17"/>
      <c r="E948" s="17"/>
      <c r="F948" s="29"/>
      <c r="G948" s="30"/>
      <c r="H948" s="29"/>
      <c r="I948" s="17"/>
      <c r="J948" s="29"/>
      <c r="K948" s="17"/>
      <c r="L948" s="17"/>
      <c r="M948" s="17"/>
      <c r="N948" s="17"/>
      <c r="O948" s="29"/>
      <c r="P948" s="17"/>
      <c r="Q948" s="29"/>
      <c r="R948" s="17"/>
      <c r="S948" s="29"/>
      <c r="T948" s="17"/>
      <c r="U948" s="17"/>
      <c r="V948" s="17"/>
      <c r="W948" s="17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</row>
    <row r="949" hidden="1">
      <c r="A949" s="13"/>
      <c r="B949" s="13"/>
      <c r="C949" s="13"/>
      <c r="D949" s="17"/>
      <c r="E949" s="17"/>
      <c r="F949" s="29"/>
      <c r="G949" s="30"/>
      <c r="H949" s="29"/>
      <c r="I949" s="17"/>
      <c r="J949" s="29"/>
      <c r="K949" s="17"/>
      <c r="L949" s="17"/>
      <c r="M949" s="17"/>
      <c r="N949" s="17"/>
      <c r="O949" s="29"/>
      <c r="P949" s="17"/>
      <c r="Q949" s="29"/>
      <c r="R949" s="17"/>
      <c r="S949" s="29"/>
      <c r="T949" s="17"/>
      <c r="U949" s="17"/>
      <c r="V949" s="17"/>
      <c r="W949" s="17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</row>
    <row r="950" hidden="1">
      <c r="A950" s="13"/>
      <c r="B950" s="13"/>
      <c r="C950" s="13"/>
      <c r="D950" s="17"/>
      <c r="E950" s="17"/>
      <c r="F950" s="29"/>
      <c r="G950" s="30"/>
      <c r="H950" s="29"/>
      <c r="I950" s="17"/>
      <c r="J950" s="29"/>
      <c r="K950" s="17"/>
      <c r="L950" s="17"/>
      <c r="M950" s="17"/>
      <c r="N950" s="17"/>
      <c r="O950" s="29"/>
      <c r="P950" s="17"/>
      <c r="Q950" s="29"/>
      <c r="R950" s="17"/>
      <c r="S950" s="29"/>
      <c r="T950" s="17"/>
      <c r="U950" s="17"/>
      <c r="V950" s="17"/>
      <c r="W950" s="17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</row>
    <row r="951" hidden="1">
      <c r="A951" s="13"/>
      <c r="B951" s="13"/>
      <c r="C951" s="13"/>
      <c r="D951" s="17"/>
      <c r="E951" s="17"/>
      <c r="F951" s="29"/>
      <c r="G951" s="30"/>
      <c r="H951" s="29"/>
      <c r="I951" s="17"/>
      <c r="J951" s="29"/>
      <c r="K951" s="17"/>
      <c r="L951" s="17"/>
      <c r="M951" s="17"/>
      <c r="N951" s="17"/>
      <c r="O951" s="29"/>
      <c r="P951" s="17"/>
      <c r="Q951" s="29"/>
      <c r="R951" s="17"/>
      <c r="S951" s="29"/>
      <c r="T951" s="17"/>
      <c r="U951" s="17"/>
      <c r="V951" s="17"/>
      <c r="W951" s="17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</row>
    <row r="952" hidden="1">
      <c r="A952" s="13"/>
      <c r="B952" s="13"/>
      <c r="C952" s="13"/>
      <c r="D952" s="17"/>
      <c r="E952" s="17"/>
      <c r="F952" s="29"/>
      <c r="G952" s="30"/>
      <c r="H952" s="29"/>
      <c r="I952" s="17"/>
      <c r="J952" s="29"/>
      <c r="K952" s="17"/>
      <c r="L952" s="17"/>
      <c r="M952" s="17"/>
      <c r="N952" s="17"/>
      <c r="O952" s="29"/>
      <c r="P952" s="17"/>
      <c r="Q952" s="29"/>
      <c r="R952" s="17"/>
      <c r="S952" s="29"/>
      <c r="T952" s="17"/>
      <c r="U952" s="17"/>
      <c r="V952" s="17"/>
      <c r="W952" s="17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</row>
    <row r="953" hidden="1">
      <c r="A953" s="13"/>
      <c r="B953" s="13"/>
      <c r="C953" s="13"/>
      <c r="D953" s="17"/>
      <c r="E953" s="17"/>
      <c r="F953" s="29"/>
      <c r="G953" s="30"/>
      <c r="H953" s="29"/>
      <c r="I953" s="17"/>
      <c r="J953" s="29"/>
      <c r="K953" s="17"/>
      <c r="L953" s="17"/>
      <c r="M953" s="17"/>
      <c r="N953" s="17"/>
      <c r="O953" s="29"/>
      <c r="P953" s="17"/>
      <c r="Q953" s="29"/>
      <c r="R953" s="17"/>
      <c r="S953" s="29"/>
      <c r="T953" s="17"/>
      <c r="U953" s="17"/>
      <c r="V953" s="17"/>
      <c r="W953" s="17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</row>
    <row r="954" hidden="1">
      <c r="A954" s="13"/>
      <c r="B954" s="13"/>
      <c r="C954" s="13"/>
      <c r="D954" s="17"/>
      <c r="E954" s="17"/>
      <c r="F954" s="29"/>
      <c r="G954" s="30"/>
      <c r="H954" s="29"/>
      <c r="I954" s="17"/>
      <c r="J954" s="29"/>
      <c r="K954" s="17"/>
      <c r="L954" s="17"/>
      <c r="M954" s="17"/>
      <c r="N954" s="17"/>
      <c r="O954" s="29"/>
      <c r="P954" s="17"/>
      <c r="Q954" s="29"/>
      <c r="R954" s="17"/>
      <c r="S954" s="29"/>
      <c r="T954" s="17"/>
      <c r="U954" s="17"/>
      <c r="V954" s="17"/>
      <c r="W954" s="17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</row>
    <row r="955" hidden="1">
      <c r="A955" s="13"/>
      <c r="B955" s="13"/>
      <c r="C955" s="13"/>
      <c r="D955" s="17"/>
      <c r="E955" s="17"/>
      <c r="F955" s="29"/>
      <c r="G955" s="30"/>
      <c r="H955" s="29"/>
      <c r="I955" s="17"/>
      <c r="J955" s="29"/>
      <c r="K955" s="17"/>
      <c r="L955" s="17"/>
      <c r="M955" s="17"/>
      <c r="N955" s="17"/>
      <c r="O955" s="29"/>
      <c r="P955" s="17"/>
      <c r="Q955" s="29"/>
      <c r="R955" s="17"/>
      <c r="S955" s="29"/>
      <c r="T955" s="17"/>
      <c r="U955" s="17"/>
      <c r="V955" s="17"/>
      <c r="W955" s="17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</row>
    <row r="956" hidden="1">
      <c r="A956" s="13"/>
      <c r="B956" s="13"/>
      <c r="C956" s="13"/>
      <c r="D956" s="17"/>
      <c r="E956" s="17"/>
      <c r="F956" s="29"/>
      <c r="G956" s="30"/>
      <c r="H956" s="29"/>
      <c r="I956" s="17"/>
      <c r="J956" s="29"/>
      <c r="K956" s="17"/>
      <c r="L956" s="17"/>
      <c r="M956" s="17"/>
      <c r="N956" s="17"/>
      <c r="O956" s="29"/>
      <c r="P956" s="17"/>
      <c r="Q956" s="29"/>
      <c r="R956" s="17"/>
      <c r="S956" s="29"/>
      <c r="T956" s="17"/>
      <c r="U956" s="17"/>
      <c r="V956" s="17"/>
      <c r="W956" s="17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</row>
    <row r="957" hidden="1">
      <c r="A957" s="13"/>
      <c r="B957" s="13"/>
      <c r="C957" s="13"/>
      <c r="D957" s="17"/>
      <c r="E957" s="17"/>
      <c r="F957" s="29"/>
      <c r="G957" s="30"/>
      <c r="H957" s="29"/>
      <c r="I957" s="17"/>
      <c r="J957" s="29"/>
      <c r="K957" s="17"/>
      <c r="L957" s="17"/>
      <c r="M957" s="17"/>
      <c r="N957" s="17"/>
      <c r="O957" s="29"/>
      <c r="P957" s="17"/>
      <c r="Q957" s="29"/>
      <c r="R957" s="17"/>
      <c r="S957" s="29"/>
      <c r="T957" s="17"/>
      <c r="U957" s="17"/>
      <c r="V957" s="17"/>
      <c r="W957" s="17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</row>
    <row r="958" hidden="1">
      <c r="A958" s="13"/>
      <c r="B958" s="13"/>
      <c r="C958" s="13"/>
      <c r="D958" s="17"/>
      <c r="E958" s="17"/>
      <c r="F958" s="29"/>
      <c r="G958" s="30"/>
      <c r="H958" s="29"/>
      <c r="I958" s="17"/>
      <c r="J958" s="29"/>
      <c r="K958" s="17"/>
      <c r="L958" s="17"/>
      <c r="M958" s="17"/>
      <c r="N958" s="17"/>
      <c r="O958" s="29"/>
      <c r="P958" s="17"/>
      <c r="Q958" s="29"/>
      <c r="R958" s="17"/>
      <c r="S958" s="29"/>
      <c r="T958" s="17"/>
      <c r="U958" s="17"/>
      <c r="V958" s="17"/>
      <c r="W958" s="17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</row>
    <row r="959" hidden="1">
      <c r="A959" s="13"/>
      <c r="B959" s="13"/>
      <c r="C959" s="13"/>
      <c r="D959" s="17"/>
      <c r="E959" s="17"/>
      <c r="F959" s="29"/>
      <c r="G959" s="30"/>
      <c r="H959" s="29"/>
      <c r="I959" s="17"/>
      <c r="J959" s="29"/>
      <c r="K959" s="17"/>
      <c r="L959" s="17"/>
      <c r="M959" s="17"/>
      <c r="N959" s="17"/>
      <c r="O959" s="29"/>
      <c r="P959" s="17"/>
      <c r="Q959" s="29"/>
      <c r="R959" s="17"/>
      <c r="S959" s="29"/>
      <c r="T959" s="17"/>
      <c r="U959" s="17"/>
      <c r="V959" s="17"/>
      <c r="W959" s="17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</row>
    <row r="960" hidden="1">
      <c r="A960" s="13"/>
      <c r="B960" s="13"/>
      <c r="C960" s="13"/>
      <c r="D960" s="17"/>
      <c r="E960" s="17"/>
      <c r="F960" s="29"/>
      <c r="G960" s="30"/>
      <c r="H960" s="29"/>
      <c r="I960" s="17"/>
      <c r="J960" s="29"/>
      <c r="K960" s="17"/>
      <c r="L960" s="17"/>
      <c r="M960" s="17"/>
      <c r="N960" s="17"/>
      <c r="O960" s="29"/>
      <c r="P960" s="17"/>
      <c r="Q960" s="29"/>
      <c r="R960" s="17"/>
      <c r="S960" s="29"/>
      <c r="T960" s="17"/>
      <c r="U960" s="17"/>
      <c r="V960" s="17"/>
      <c r="W960" s="17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</row>
    <row r="961" hidden="1">
      <c r="A961" s="13"/>
      <c r="B961" s="13"/>
      <c r="C961" s="13"/>
      <c r="D961" s="17"/>
      <c r="E961" s="17"/>
      <c r="F961" s="29"/>
      <c r="G961" s="30"/>
      <c r="H961" s="29"/>
      <c r="I961" s="17"/>
      <c r="J961" s="29"/>
      <c r="K961" s="17"/>
      <c r="L961" s="17"/>
      <c r="M961" s="17"/>
      <c r="N961" s="17"/>
      <c r="O961" s="29"/>
      <c r="P961" s="17"/>
      <c r="Q961" s="29"/>
      <c r="R961" s="17"/>
      <c r="S961" s="29"/>
      <c r="T961" s="17"/>
      <c r="U961" s="17"/>
      <c r="V961" s="17"/>
      <c r="W961" s="17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</row>
    <row r="962" hidden="1">
      <c r="A962" s="13"/>
      <c r="B962" s="13"/>
      <c r="C962" s="13"/>
      <c r="D962" s="17"/>
      <c r="E962" s="17"/>
      <c r="F962" s="29"/>
      <c r="G962" s="30"/>
      <c r="H962" s="29"/>
      <c r="I962" s="17"/>
      <c r="J962" s="29"/>
      <c r="K962" s="17"/>
      <c r="L962" s="17"/>
      <c r="M962" s="17"/>
      <c r="N962" s="17"/>
      <c r="O962" s="29"/>
      <c r="P962" s="17"/>
      <c r="Q962" s="29"/>
      <c r="R962" s="17"/>
      <c r="S962" s="29"/>
      <c r="T962" s="17"/>
      <c r="U962" s="17"/>
      <c r="V962" s="17"/>
      <c r="W962" s="17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</row>
    <row r="963" hidden="1">
      <c r="A963" s="13"/>
      <c r="B963" s="13"/>
      <c r="C963" s="13"/>
      <c r="D963" s="17"/>
      <c r="E963" s="17"/>
      <c r="F963" s="29"/>
      <c r="G963" s="30"/>
      <c r="H963" s="29"/>
      <c r="I963" s="17"/>
      <c r="J963" s="29"/>
      <c r="K963" s="17"/>
      <c r="L963" s="17"/>
      <c r="M963" s="17"/>
      <c r="N963" s="17"/>
      <c r="O963" s="29"/>
      <c r="P963" s="17"/>
      <c r="Q963" s="29"/>
      <c r="R963" s="17"/>
      <c r="S963" s="29"/>
      <c r="T963" s="17"/>
      <c r="U963" s="17"/>
      <c r="V963" s="17"/>
      <c r="W963" s="17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</row>
    <row r="964" hidden="1">
      <c r="A964" s="13"/>
      <c r="B964" s="13"/>
      <c r="C964" s="13"/>
      <c r="D964" s="17"/>
      <c r="E964" s="17"/>
      <c r="F964" s="29"/>
      <c r="G964" s="30"/>
      <c r="H964" s="29"/>
      <c r="I964" s="17"/>
      <c r="J964" s="29"/>
      <c r="K964" s="17"/>
      <c r="L964" s="17"/>
      <c r="M964" s="17"/>
      <c r="N964" s="17"/>
      <c r="O964" s="29"/>
      <c r="P964" s="17"/>
      <c r="Q964" s="29"/>
      <c r="R964" s="17"/>
      <c r="S964" s="29"/>
      <c r="T964" s="17"/>
      <c r="U964" s="17"/>
      <c r="V964" s="17"/>
      <c r="W964" s="17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</row>
    <row r="965" hidden="1">
      <c r="A965" s="13"/>
      <c r="B965" s="13"/>
      <c r="C965" s="13"/>
      <c r="D965" s="17"/>
      <c r="E965" s="17"/>
      <c r="F965" s="29"/>
      <c r="G965" s="30"/>
      <c r="H965" s="29"/>
      <c r="I965" s="17"/>
      <c r="J965" s="29"/>
      <c r="K965" s="17"/>
      <c r="L965" s="17"/>
      <c r="M965" s="17"/>
      <c r="N965" s="17"/>
      <c r="O965" s="29"/>
      <c r="P965" s="17"/>
      <c r="Q965" s="29"/>
      <c r="R965" s="17"/>
      <c r="S965" s="29"/>
      <c r="T965" s="17"/>
      <c r="U965" s="17"/>
      <c r="V965" s="17"/>
      <c r="W965" s="17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</row>
    <row r="966" hidden="1">
      <c r="A966" s="13"/>
      <c r="B966" s="13"/>
      <c r="C966" s="13"/>
      <c r="D966" s="17"/>
      <c r="E966" s="17"/>
      <c r="F966" s="29"/>
      <c r="G966" s="30"/>
      <c r="H966" s="29"/>
      <c r="I966" s="17"/>
      <c r="J966" s="29"/>
      <c r="K966" s="17"/>
      <c r="L966" s="17"/>
      <c r="M966" s="17"/>
      <c r="N966" s="17"/>
      <c r="O966" s="29"/>
      <c r="P966" s="17"/>
      <c r="Q966" s="29"/>
      <c r="R966" s="17"/>
      <c r="S966" s="29"/>
      <c r="T966" s="17"/>
      <c r="U966" s="17"/>
      <c r="V966" s="17"/>
      <c r="W966" s="17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</row>
    <row r="967" hidden="1">
      <c r="A967" s="13"/>
      <c r="B967" s="13"/>
      <c r="C967" s="13"/>
      <c r="D967" s="17"/>
      <c r="E967" s="17"/>
      <c r="F967" s="29"/>
      <c r="G967" s="30"/>
      <c r="H967" s="29"/>
      <c r="I967" s="17"/>
      <c r="J967" s="29"/>
      <c r="K967" s="17"/>
      <c r="L967" s="17"/>
      <c r="M967" s="17"/>
      <c r="N967" s="17"/>
      <c r="O967" s="29"/>
      <c r="P967" s="17"/>
      <c r="Q967" s="29"/>
      <c r="R967" s="17"/>
      <c r="S967" s="29"/>
      <c r="T967" s="17"/>
      <c r="U967" s="17"/>
      <c r="V967" s="17"/>
      <c r="W967" s="17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</row>
    <row r="968" hidden="1">
      <c r="A968" s="13"/>
      <c r="B968" s="13"/>
      <c r="C968" s="13"/>
      <c r="D968" s="17"/>
      <c r="E968" s="17"/>
      <c r="F968" s="29"/>
      <c r="G968" s="30"/>
      <c r="H968" s="29"/>
      <c r="I968" s="17"/>
      <c r="J968" s="29"/>
      <c r="K968" s="17"/>
      <c r="L968" s="17"/>
      <c r="M968" s="17"/>
      <c r="N968" s="17"/>
      <c r="O968" s="29"/>
      <c r="P968" s="17"/>
      <c r="Q968" s="29"/>
      <c r="R968" s="17"/>
      <c r="S968" s="29"/>
      <c r="T968" s="17"/>
      <c r="U968" s="17"/>
      <c r="V968" s="17"/>
      <c r="W968" s="17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</row>
    <row r="969" hidden="1">
      <c r="A969" s="13"/>
      <c r="B969" s="13"/>
      <c r="C969" s="13"/>
      <c r="D969" s="17"/>
      <c r="E969" s="17"/>
      <c r="F969" s="29"/>
      <c r="G969" s="30"/>
      <c r="H969" s="29"/>
      <c r="I969" s="17"/>
      <c r="J969" s="29"/>
      <c r="K969" s="17"/>
      <c r="L969" s="17"/>
      <c r="M969" s="17"/>
      <c r="N969" s="17"/>
      <c r="O969" s="29"/>
      <c r="P969" s="17"/>
      <c r="Q969" s="29"/>
      <c r="R969" s="17"/>
      <c r="S969" s="29"/>
      <c r="T969" s="17"/>
      <c r="U969" s="17"/>
      <c r="V969" s="17"/>
      <c r="W969" s="17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</row>
    <row r="970" hidden="1">
      <c r="A970" s="13"/>
      <c r="B970" s="13"/>
      <c r="C970" s="13"/>
      <c r="D970" s="17"/>
      <c r="E970" s="17"/>
      <c r="F970" s="29"/>
      <c r="G970" s="30"/>
      <c r="H970" s="29"/>
      <c r="I970" s="17"/>
      <c r="J970" s="29"/>
      <c r="K970" s="17"/>
      <c r="L970" s="17"/>
      <c r="M970" s="17"/>
      <c r="N970" s="17"/>
      <c r="O970" s="29"/>
      <c r="P970" s="17"/>
      <c r="Q970" s="29"/>
      <c r="R970" s="17"/>
      <c r="S970" s="29"/>
      <c r="T970" s="17"/>
      <c r="U970" s="17"/>
      <c r="V970" s="17"/>
      <c r="W970" s="17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</row>
    <row r="971" hidden="1">
      <c r="A971" s="13"/>
      <c r="B971" s="13"/>
      <c r="C971" s="13"/>
      <c r="D971" s="17"/>
      <c r="E971" s="17"/>
      <c r="F971" s="29"/>
      <c r="G971" s="30"/>
      <c r="H971" s="29"/>
      <c r="I971" s="17"/>
      <c r="J971" s="29"/>
      <c r="K971" s="17"/>
      <c r="L971" s="17"/>
      <c r="M971" s="17"/>
      <c r="N971" s="17"/>
      <c r="O971" s="29"/>
      <c r="P971" s="17"/>
      <c r="Q971" s="29"/>
      <c r="R971" s="17"/>
      <c r="S971" s="29"/>
      <c r="T971" s="17"/>
      <c r="U971" s="17"/>
      <c r="V971" s="17"/>
      <c r="W971" s="17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</row>
    <row r="972" hidden="1">
      <c r="A972" s="13"/>
      <c r="B972" s="13"/>
      <c r="C972" s="13"/>
      <c r="D972" s="17"/>
      <c r="E972" s="17"/>
      <c r="F972" s="29"/>
      <c r="G972" s="30"/>
      <c r="H972" s="29"/>
      <c r="I972" s="17"/>
      <c r="J972" s="29"/>
      <c r="K972" s="17"/>
      <c r="L972" s="17"/>
      <c r="M972" s="17"/>
      <c r="N972" s="17"/>
      <c r="O972" s="29"/>
      <c r="P972" s="17"/>
      <c r="Q972" s="29"/>
      <c r="R972" s="17"/>
      <c r="S972" s="29"/>
      <c r="T972" s="17"/>
      <c r="U972" s="17"/>
      <c r="V972" s="17"/>
      <c r="W972" s="17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</row>
    <row r="973" hidden="1">
      <c r="A973" s="13"/>
      <c r="B973" s="13"/>
      <c r="C973" s="13"/>
      <c r="D973" s="17"/>
      <c r="E973" s="17"/>
      <c r="F973" s="29"/>
      <c r="G973" s="30"/>
      <c r="H973" s="29"/>
      <c r="I973" s="17"/>
      <c r="J973" s="29"/>
      <c r="K973" s="17"/>
      <c r="L973" s="17"/>
      <c r="M973" s="17"/>
      <c r="N973" s="17"/>
      <c r="O973" s="29"/>
      <c r="P973" s="17"/>
      <c r="Q973" s="29"/>
      <c r="R973" s="17"/>
      <c r="S973" s="29"/>
      <c r="T973" s="17"/>
      <c r="U973" s="17"/>
      <c r="V973" s="17"/>
      <c r="W973" s="17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</row>
    <row r="974" hidden="1">
      <c r="A974" s="13"/>
      <c r="B974" s="13"/>
      <c r="C974" s="13"/>
      <c r="D974" s="17"/>
      <c r="E974" s="17"/>
      <c r="F974" s="29"/>
      <c r="G974" s="30"/>
      <c r="H974" s="29"/>
      <c r="I974" s="17"/>
      <c r="J974" s="29"/>
      <c r="K974" s="17"/>
      <c r="L974" s="17"/>
      <c r="M974" s="17"/>
      <c r="N974" s="17"/>
      <c r="O974" s="29"/>
      <c r="P974" s="17"/>
      <c r="Q974" s="29"/>
      <c r="R974" s="17"/>
      <c r="S974" s="29"/>
      <c r="T974" s="17"/>
      <c r="U974" s="17"/>
      <c r="V974" s="17"/>
      <c r="W974" s="17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</row>
    <row r="975" hidden="1">
      <c r="A975" s="13"/>
      <c r="B975" s="13"/>
      <c r="C975" s="13"/>
      <c r="D975" s="17"/>
      <c r="E975" s="17"/>
      <c r="F975" s="29"/>
      <c r="G975" s="30"/>
      <c r="H975" s="29"/>
      <c r="I975" s="17"/>
      <c r="J975" s="29"/>
      <c r="K975" s="17"/>
      <c r="L975" s="17"/>
      <c r="M975" s="17"/>
      <c r="N975" s="17"/>
      <c r="O975" s="29"/>
      <c r="P975" s="17"/>
      <c r="Q975" s="29"/>
      <c r="R975" s="17"/>
      <c r="S975" s="29"/>
      <c r="T975" s="17"/>
      <c r="U975" s="17"/>
      <c r="V975" s="17"/>
      <c r="W975" s="17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</row>
    <row r="976" hidden="1">
      <c r="A976" s="13"/>
      <c r="B976" s="13"/>
      <c r="C976" s="13"/>
      <c r="D976" s="17"/>
      <c r="E976" s="17"/>
      <c r="F976" s="29"/>
      <c r="G976" s="30"/>
      <c r="H976" s="29"/>
      <c r="I976" s="17"/>
      <c r="J976" s="29"/>
      <c r="K976" s="17"/>
      <c r="L976" s="17"/>
      <c r="M976" s="17"/>
      <c r="N976" s="17"/>
      <c r="O976" s="29"/>
      <c r="P976" s="17"/>
      <c r="Q976" s="29"/>
      <c r="R976" s="17"/>
      <c r="S976" s="29"/>
      <c r="T976" s="17"/>
      <c r="U976" s="17"/>
      <c r="V976" s="17"/>
      <c r="W976" s="17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</row>
    <row r="977" hidden="1">
      <c r="A977" s="13"/>
      <c r="B977" s="13"/>
      <c r="C977" s="13"/>
      <c r="D977" s="17"/>
      <c r="E977" s="17"/>
      <c r="F977" s="29"/>
      <c r="G977" s="30"/>
      <c r="H977" s="29"/>
      <c r="I977" s="17"/>
      <c r="J977" s="29"/>
      <c r="K977" s="17"/>
      <c r="L977" s="17"/>
      <c r="M977" s="17"/>
      <c r="N977" s="17"/>
      <c r="O977" s="29"/>
      <c r="P977" s="17"/>
      <c r="Q977" s="29"/>
      <c r="R977" s="17"/>
      <c r="S977" s="29"/>
      <c r="T977" s="17"/>
      <c r="U977" s="17"/>
      <c r="V977" s="17"/>
      <c r="W977" s="17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</row>
    <row r="978" hidden="1">
      <c r="A978" s="13"/>
      <c r="B978" s="13"/>
      <c r="C978" s="13"/>
      <c r="D978" s="17"/>
      <c r="E978" s="17"/>
      <c r="F978" s="29"/>
      <c r="G978" s="30"/>
      <c r="H978" s="29"/>
      <c r="I978" s="17"/>
      <c r="J978" s="29"/>
      <c r="K978" s="17"/>
      <c r="L978" s="17"/>
      <c r="M978" s="17"/>
      <c r="N978" s="17"/>
      <c r="O978" s="29"/>
      <c r="P978" s="17"/>
      <c r="Q978" s="29"/>
      <c r="R978" s="17"/>
      <c r="S978" s="29"/>
      <c r="T978" s="17"/>
      <c r="U978" s="17"/>
      <c r="V978" s="17"/>
      <c r="W978" s="17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</row>
    <row r="979" hidden="1">
      <c r="A979" s="13"/>
      <c r="B979" s="13"/>
      <c r="C979" s="13"/>
      <c r="D979" s="17"/>
      <c r="E979" s="17"/>
      <c r="F979" s="29"/>
      <c r="G979" s="30"/>
      <c r="H979" s="29"/>
      <c r="I979" s="17"/>
      <c r="J979" s="29"/>
      <c r="K979" s="17"/>
      <c r="L979" s="17"/>
      <c r="M979" s="17"/>
      <c r="N979" s="17"/>
      <c r="O979" s="29"/>
      <c r="P979" s="17"/>
      <c r="Q979" s="29"/>
      <c r="R979" s="17"/>
      <c r="S979" s="29"/>
      <c r="T979" s="17"/>
      <c r="U979" s="17"/>
      <c r="V979" s="17"/>
      <c r="W979" s="17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</row>
    <row r="980" hidden="1">
      <c r="A980" s="13"/>
      <c r="B980" s="13"/>
      <c r="C980" s="13"/>
      <c r="D980" s="17"/>
      <c r="E980" s="17"/>
      <c r="F980" s="29"/>
      <c r="G980" s="30"/>
      <c r="H980" s="29"/>
      <c r="I980" s="17"/>
      <c r="J980" s="29"/>
      <c r="K980" s="17"/>
      <c r="L980" s="17"/>
      <c r="M980" s="17"/>
      <c r="N980" s="17"/>
      <c r="O980" s="29"/>
      <c r="P980" s="17"/>
      <c r="Q980" s="29"/>
      <c r="R980" s="17"/>
      <c r="S980" s="29"/>
      <c r="T980" s="17"/>
      <c r="U980" s="17"/>
      <c r="V980" s="17"/>
      <c r="W980" s="17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</row>
    <row r="981" hidden="1">
      <c r="A981" s="13"/>
      <c r="B981" s="13"/>
      <c r="C981" s="13"/>
      <c r="D981" s="17"/>
      <c r="E981" s="17"/>
      <c r="F981" s="29"/>
      <c r="G981" s="30"/>
      <c r="H981" s="29"/>
      <c r="I981" s="17"/>
      <c r="J981" s="29"/>
      <c r="K981" s="17"/>
      <c r="L981" s="17"/>
      <c r="M981" s="17"/>
      <c r="N981" s="17"/>
      <c r="O981" s="29"/>
      <c r="P981" s="17"/>
      <c r="Q981" s="29"/>
      <c r="R981" s="17"/>
      <c r="S981" s="29"/>
      <c r="T981" s="17"/>
      <c r="U981" s="17"/>
      <c r="V981" s="17"/>
      <c r="W981" s="17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</row>
    <row r="982" hidden="1">
      <c r="A982" s="13"/>
      <c r="B982" s="13"/>
      <c r="C982" s="13"/>
      <c r="D982" s="17"/>
      <c r="E982" s="17"/>
      <c r="F982" s="29"/>
      <c r="G982" s="30"/>
      <c r="H982" s="29"/>
      <c r="I982" s="17"/>
      <c r="J982" s="29"/>
      <c r="K982" s="17"/>
      <c r="L982" s="17"/>
      <c r="M982" s="17"/>
      <c r="N982" s="17"/>
      <c r="O982" s="29"/>
      <c r="P982" s="17"/>
      <c r="Q982" s="29"/>
      <c r="R982" s="17"/>
      <c r="S982" s="29"/>
      <c r="T982" s="17"/>
      <c r="U982" s="17"/>
      <c r="V982" s="17"/>
      <c r="W982" s="17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</row>
    <row r="983" hidden="1">
      <c r="A983" s="13"/>
      <c r="B983" s="13"/>
      <c r="C983" s="13"/>
      <c r="D983" s="17"/>
      <c r="E983" s="17"/>
      <c r="F983" s="29"/>
      <c r="G983" s="30"/>
      <c r="H983" s="29"/>
      <c r="I983" s="17"/>
      <c r="J983" s="29"/>
      <c r="K983" s="17"/>
      <c r="L983" s="17"/>
      <c r="M983" s="17"/>
      <c r="N983" s="17"/>
      <c r="O983" s="29"/>
      <c r="P983" s="17"/>
      <c r="Q983" s="29"/>
      <c r="R983" s="17"/>
      <c r="S983" s="29"/>
      <c r="T983" s="17"/>
      <c r="U983" s="17"/>
      <c r="V983" s="17"/>
      <c r="W983" s="17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</row>
    <row r="984" hidden="1">
      <c r="A984" s="13"/>
      <c r="B984" s="13"/>
      <c r="C984" s="13"/>
      <c r="D984" s="17"/>
      <c r="E984" s="17"/>
      <c r="F984" s="29"/>
      <c r="G984" s="30"/>
      <c r="H984" s="29"/>
      <c r="I984" s="17"/>
      <c r="J984" s="29"/>
      <c r="K984" s="17"/>
      <c r="L984" s="17"/>
      <c r="M984" s="17"/>
      <c r="N984" s="17"/>
      <c r="O984" s="29"/>
      <c r="P984" s="17"/>
      <c r="Q984" s="29"/>
      <c r="R984" s="17"/>
      <c r="S984" s="29"/>
      <c r="T984" s="17"/>
      <c r="U984" s="17"/>
      <c r="V984" s="17"/>
      <c r="W984" s="17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</row>
    <row r="985" hidden="1">
      <c r="A985" s="13"/>
      <c r="B985" s="13"/>
      <c r="C985" s="13"/>
      <c r="D985" s="17"/>
      <c r="E985" s="17"/>
      <c r="F985" s="29"/>
      <c r="G985" s="30"/>
      <c r="H985" s="29"/>
      <c r="I985" s="17"/>
      <c r="J985" s="29"/>
      <c r="K985" s="17"/>
      <c r="L985" s="17"/>
      <c r="M985" s="17"/>
      <c r="N985" s="17"/>
      <c r="O985" s="29"/>
      <c r="P985" s="17"/>
      <c r="Q985" s="29"/>
      <c r="R985" s="17"/>
      <c r="S985" s="29"/>
      <c r="T985" s="17"/>
      <c r="U985" s="17"/>
      <c r="V985" s="17"/>
      <c r="W985" s="17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</row>
    <row r="986" hidden="1">
      <c r="A986" s="13"/>
      <c r="B986" s="13"/>
      <c r="C986" s="13"/>
      <c r="D986" s="17"/>
      <c r="E986" s="17"/>
      <c r="F986" s="29"/>
      <c r="G986" s="30"/>
      <c r="H986" s="29"/>
      <c r="I986" s="17"/>
      <c r="J986" s="29"/>
      <c r="K986" s="17"/>
      <c r="L986" s="17"/>
      <c r="M986" s="17"/>
      <c r="N986" s="17"/>
      <c r="O986" s="29"/>
      <c r="P986" s="17"/>
      <c r="Q986" s="29"/>
      <c r="R986" s="17"/>
      <c r="S986" s="29"/>
      <c r="T986" s="17"/>
      <c r="U986" s="17"/>
      <c r="V986" s="17"/>
      <c r="W986" s="17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</row>
    <row r="987" hidden="1">
      <c r="A987" s="13"/>
      <c r="B987" s="13"/>
      <c r="C987" s="13"/>
      <c r="D987" s="17"/>
      <c r="E987" s="17"/>
      <c r="F987" s="29"/>
      <c r="G987" s="30"/>
      <c r="H987" s="29"/>
      <c r="I987" s="17"/>
      <c r="J987" s="29"/>
      <c r="K987" s="17"/>
      <c r="L987" s="17"/>
      <c r="M987" s="17"/>
      <c r="N987" s="17"/>
      <c r="O987" s="29"/>
      <c r="P987" s="17"/>
      <c r="Q987" s="29"/>
      <c r="R987" s="17"/>
      <c r="S987" s="29"/>
      <c r="T987" s="17"/>
      <c r="U987" s="17"/>
      <c r="V987" s="17"/>
      <c r="W987" s="17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</row>
    <row r="988" hidden="1">
      <c r="A988" s="13"/>
      <c r="B988" s="13"/>
      <c r="C988" s="13"/>
      <c r="D988" s="17"/>
      <c r="E988" s="17"/>
      <c r="F988" s="29"/>
      <c r="G988" s="30"/>
      <c r="H988" s="29"/>
      <c r="I988" s="17"/>
      <c r="J988" s="29"/>
      <c r="K988" s="17"/>
      <c r="L988" s="17"/>
      <c r="M988" s="17"/>
      <c r="N988" s="17"/>
      <c r="O988" s="29"/>
      <c r="P988" s="17"/>
      <c r="Q988" s="29"/>
      <c r="R988" s="17"/>
      <c r="S988" s="29"/>
      <c r="T988" s="17"/>
      <c r="U988" s="17"/>
      <c r="V988" s="17"/>
      <c r="W988" s="17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</row>
    <row r="989" hidden="1">
      <c r="A989" s="13"/>
      <c r="B989" s="13"/>
      <c r="C989" s="13"/>
      <c r="D989" s="17"/>
      <c r="E989" s="17"/>
      <c r="F989" s="29"/>
      <c r="G989" s="30"/>
      <c r="H989" s="29"/>
      <c r="I989" s="17"/>
      <c r="J989" s="29"/>
      <c r="K989" s="17"/>
      <c r="L989" s="17"/>
      <c r="M989" s="17"/>
      <c r="N989" s="17"/>
      <c r="O989" s="29"/>
      <c r="P989" s="17"/>
      <c r="Q989" s="29"/>
      <c r="R989" s="17"/>
      <c r="S989" s="29"/>
      <c r="T989" s="17"/>
      <c r="U989" s="17"/>
      <c r="V989" s="17"/>
      <c r="W989" s="17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</row>
    <row r="990" hidden="1">
      <c r="A990" s="13"/>
      <c r="B990" s="13"/>
      <c r="C990" s="13"/>
      <c r="D990" s="17"/>
      <c r="E990" s="17"/>
      <c r="F990" s="29"/>
      <c r="G990" s="30"/>
      <c r="H990" s="29"/>
      <c r="I990" s="17"/>
      <c r="J990" s="29"/>
      <c r="K990" s="17"/>
      <c r="L990" s="17"/>
      <c r="M990" s="17"/>
      <c r="N990" s="17"/>
      <c r="O990" s="29"/>
      <c r="P990" s="17"/>
      <c r="Q990" s="29"/>
      <c r="R990" s="17"/>
      <c r="S990" s="29"/>
      <c r="T990" s="17"/>
      <c r="U990" s="17"/>
      <c r="V990" s="17"/>
      <c r="W990" s="17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</row>
    <row r="991" hidden="1">
      <c r="A991" s="13"/>
      <c r="B991" s="13"/>
      <c r="C991" s="13"/>
      <c r="D991" s="17"/>
      <c r="E991" s="17"/>
      <c r="F991" s="29"/>
      <c r="G991" s="30"/>
      <c r="H991" s="29"/>
      <c r="I991" s="17"/>
      <c r="J991" s="29"/>
      <c r="K991" s="17"/>
      <c r="L991" s="17"/>
      <c r="M991" s="17"/>
      <c r="N991" s="17"/>
      <c r="O991" s="29"/>
      <c r="P991" s="17"/>
      <c r="Q991" s="29"/>
      <c r="R991" s="17"/>
      <c r="S991" s="29"/>
      <c r="T991" s="17"/>
      <c r="U991" s="17"/>
      <c r="V991" s="17"/>
      <c r="W991" s="17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</row>
    <row r="992" hidden="1">
      <c r="A992" s="13"/>
      <c r="B992" s="13"/>
      <c r="C992" s="13"/>
      <c r="D992" s="17"/>
      <c r="E992" s="17"/>
      <c r="F992" s="29"/>
      <c r="G992" s="30"/>
      <c r="H992" s="29"/>
      <c r="I992" s="17"/>
      <c r="J992" s="29"/>
      <c r="K992" s="17"/>
      <c r="L992" s="17"/>
      <c r="M992" s="17"/>
      <c r="N992" s="17"/>
      <c r="O992" s="29"/>
      <c r="P992" s="17"/>
      <c r="Q992" s="29"/>
      <c r="R992" s="17"/>
      <c r="S992" s="29"/>
      <c r="T992" s="17"/>
      <c r="U992" s="17"/>
      <c r="V992" s="17"/>
      <c r="W992" s="17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</row>
    <row r="993" hidden="1">
      <c r="A993" s="13"/>
      <c r="B993" s="13"/>
      <c r="C993" s="13"/>
      <c r="D993" s="17"/>
      <c r="E993" s="17"/>
      <c r="F993" s="29"/>
      <c r="G993" s="30"/>
      <c r="H993" s="29"/>
      <c r="I993" s="17"/>
      <c r="J993" s="29"/>
      <c r="K993" s="17"/>
      <c r="L993" s="17"/>
      <c r="M993" s="17"/>
      <c r="N993" s="17"/>
      <c r="O993" s="29"/>
      <c r="P993" s="17"/>
      <c r="Q993" s="29"/>
      <c r="R993" s="17"/>
      <c r="S993" s="29"/>
      <c r="T993" s="17"/>
      <c r="U993" s="17"/>
      <c r="V993" s="17"/>
      <c r="W993" s="17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</row>
    <row r="994" hidden="1">
      <c r="A994" s="13"/>
      <c r="B994" s="13"/>
      <c r="C994" s="13"/>
      <c r="D994" s="17"/>
      <c r="E994" s="17"/>
      <c r="F994" s="29"/>
      <c r="G994" s="30"/>
      <c r="H994" s="29"/>
      <c r="I994" s="17"/>
      <c r="J994" s="29"/>
      <c r="K994" s="17"/>
      <c r="L994" s="17"/>
      <c r="M994" s="17"/>
      <c r="N994" s="17"/>
      <c r="O994" s="29"/>
      <c r="P994" s="17"/>
      <c r="Q994" s="29"/>
      <c r="R994" s="17"/>
      <c r="S994" s="29"/>
      <c r="T994" s="17"/>
      <c r="U994" s="17"/>
      <c r="V994" s="17"/>
      <c r="W994" s="17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</row>
    <row r="995" hidden="1">
      <c r="A995" s="13"/>
      <c r="B995" s="13"/>
      <c r="C995" s="13"/>
      <c r="D995" s="17"/>
      <c r="E995" s="17"/>
      <c r="F995" s="29"/>
      <c r="G995" s="30"/>
      <c r="H995" s="29"/>
      <c r="I995" s="17"/>
      <c r="J995" s="29"/>
      <c r="K995" s="17"/>
      <c r="L995" s="17"/>
      <c r="M995" s="17"/>
      <c r="N995" s="17"/>
      <c r="O995" s="29"/>
      <c r="P995" s="17"/>
      <c r="Q995" s="29"/>
      <c r="R995" s="17"/>
      <c r="S995" s="29"/>
      <c r="T995" s="17"/>
      <c r="U995" s="17"/>
      <c r="V995" s="17"/>
      <c r="W995" s="17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</row>
    <row r="996" hidden="1">
      <c r="A996" s="13"/>
      <c r="B996" s="13"/>
      <c r="C996" s="13"/>
      <c r="D996" s="17"/>
      <c r="E996" s="17"/>
      <c r="F996" s="29"/>
      <c r="G996" s="30"/>
      <c r="H996" s="29"/>
      <c r="I996" s="17"/>
      <c r="J996" s="29"/>
      <c r="K996" s="17"/>
      <c r="L996" s="17"/>
      <c r="M996" s="17"/>
      <c r="N996" s="17"/>
      <c r="O996" s="29"/>
      <c r="P996" s="17"/>
      <c r="Q996" s="29"/>
      <c r="R996" s="17"/>
      <c r="S996" s="29"/>
      <c r="T996" s="17"/>
      <c r="U996" s="17"/>
      <c r="V996" s="17"/>
      <c r="W996" s="17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</row>
    <row r="997" hidden="1">
      <c r="A997" s="13"/>
      <c r="B997" s="13"/>
      <c r="C997" s="13"/>
      <c r="D997" s="17"/>
      <c r="E997" s="17"/>
      <c r="F997" s="29"/>
      <c r="G997" s="30"/>
      <c r="H997" s="29"/>
      <c r="I997" s="17"/>
      <c r="J997" s="29"/>
      <c r="K997" s="17"/>
      <c r="L997" s="17"/>
      <c r="M997" s="17"/>
      <c r="N997" s="17"/>
      <c r="O997" s="29"/>
      <c r="P997" s="17"/>
      <c r="Q997" s="29"/>
      <c r="R997" s="17"/>
      <c r="S997" s="29"/>
      <c r="T997" s="17"/>
      <c r="U997" s="17"/>
      <c r="V997" s="17"/>
      <c r="W997" s="17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</row>
    <row r="998" hidden="1">
      <c r="A998" s="13"/>
      <c r="B998" s="13"/>
      <c r="C998" s="13"/>
      <c r="D998" s="17"/>
      <c r="E998" s="17"/>
      <c r="F998" s="29"/>
      <c r="G998" s="30"/>
      <c r="H998" s="29"/>
      <c r="I998" s="17"/>
      <c r="J998" s="29"/>
      <c r="K998" s="17"/>
      <c r="L998" s="17"/>
      <c r="M998" s="17"/>
      <c r="N998" s="17"/>
      <c r="O998" s="29"/>
      <c r="P998" s="17"/>
      <c r="Q998" s="29"/>
      <c r="R998" s="17"/>
      <c r="S998" s="29"/>
      <c r="T998" s="17"/>
      <c r="U998" s="17"/>
      <c r="V998" s="17"/>
      <c r="W998" s="17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</row>
    <row r="999" hidden="1">
      <c r="A999" s="13"/>
      <c r="B999" s="13"/>
      <c r="C999" s="13"/>
      <c r="D999" s="17"/>
      <c r="E999" s="17"/>
      <c r="F999" s="29"/>
      <c r="G999" s="30"/>
      <c r="H999" s="29"/>
      <c r="I999" s="17"/>
      <c r="J999" s="29"/>
      <c r="K999" s="17"/>
      <c r="L999" s="17"/>
      <c r="M999" s="17"/>
      <c r="N999" s="17"/>
      <c r="O999" s="29"/>
      <c r="P999" s="17"/>
      <c r="Q999" s="29"/>
      <c r="R999" s="17"/>
      <c r="S999" s="29"/>
      <c r="T999" s="17"/>
      <c r="U999" s="17"/>
      <c r="V999" s="17"/>
      <c r="W999" s="17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</row>
    <row r="1000" hidden="1">
      <c r="A1000" s="13"/>
      <c r="B1000" s="13"/>
      <c r="C1000" s="13"/>
      <c r="D1000" s="17"/>
      <c r="E1000" s="17"/>
      <c r="F1000" s="29"/>
      <c r="G1000" s="30"/>
      <c r="H1000" s="29"/>
      <c r="I1000" s="17"/>
      <c r="J1000" s="29"/>
      <c r="K1000" s="17"/>
      <c r="L1000" s="17"/>
      <c r="M1000" s="17"/>
      <c r="N1000" s="17"/>
      <c r="O1000" s="29"/>
      <c r="P1000" s="17"/>
      <c r="Q1000" s="29"/>
      <c r="R1000" s="17"/>
      <c r="S1000" s="29"/>
      <c r="T1000" s="17"/>
      <c r="U1000" s="17"/>
      <c r="V1000" s="17"/>
      <c r="W1000" s="17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</row>
    <row r="1001" hidden="1">
      <c r="A1001" s="13"/>
      <c r="B1001" s="13"/>
      <c r="C1001" s="13"/>
      <c r="D1001" s="17"/>
      <c r="E1001" s="17"/>
      <c r="F1001" s="29"/>
      <c r="G1001" s="17"/>
      <c r="H1001" s="29"/>
      <c r="I1001" s="17"/>
      <c r="J1001" s="29"/>
      <c r="K1001" s="17"/>
      <c r="L1001" s="17"/>
      <c r="M1001" s="17"/>
      <c r="N1001" s="17"/>
      <c r="O1001" s="29"/>
      <c r="P1001" s="17"/>
      <c r="Q1001" s="29"/>
      <c r="R1001" s="17"/>
      <c r="S1001" s="29"/>
      <c r="T1001" s="17"/>
      <c r="U1001" s="17"/>
      <c r="V1001" s="17"/>
      <c r="W1001" s="17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</row>
    <row r="1002" hidden="1">
      <c r="A1002" s="13"/>
      <c r="B1002" s="13"/>
      <c r="C1002" s="13"/>
      <c r="D1002" s="17"/>
      <c r="E1002" s="17"/>
      <c r="F1002" s="29"/>
      <c r="G1002" s="17"/>
      <c r="H1002" s="29"/>
      <c r="I1002" s="17"/>
      <c r="J1002" s="29"/>
      <c r="K1002" s="17"/>
      <c r="L1002" s="17"/>
      <c r="M1002" s="17"/>
      <c r="N1002" s="17"/>
      <c r="O1002" s="29"/>
      <c r="P1002" s="17"/>
      <c r="Q1002" s="29"/>
      <c r="R1002" s="17"/>
      <c r="S1002" s="29"/>
      <c r="T1002" s="17"/>
      <c r="U1002" s="17"/>
      <c r="V1002" s="17"/>
      <c r="W1002" s="17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</row>
    <row r="1003" hidden="1">
      <c r="A1003" s="13"/>
      <c r="B1003" s="13"/>
      <c r="C1003" s="13"/>
      <c r="D1003" s="17"/>
      <c r="E1003" s="17"/>
      <c r="F1003" s="29"/>
      <c r="G1003" s="17"/>
      <c r="H1003" s="29"/>
      <c r="I1003" s="17"/>
      <c r="J1003" s="29"/>
      <c r="K1003" s="17"/>
      <c r="L1003" s="17"/>
      <c r="M1003" s="17"/>
      <c r="N1003" s="17"/>
      <c r="O1003" s="29"/>
      <c r="P1003" s="17"/>
      <c r="Q1003" s="29"/>
      <c r="R1003" s="17"/>
      <c r="S1003" s="29"/>
      <c r="T1003" s="17"/>
      <c r="U1003" s="17"/>
      <c r="V1003" s="17"/>
      <c r="W1003" s="17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</row>
    <row r="1004" hidden="1">
      <c r="A1004" s="13"/>
      <c r="B1004" s="13"/>
      <c r="C1004" s="13"/>
      <c r="D1004" s="17"/>
      <c r="E1004" s="17"/>
      <c r="F1004" s="29"/>
      <c r="G1004" s="17"/>
      <c r="H1004" s="29"/>
      <c r="I1004" s="17"/>
      <c r="J1004" s="29"/>
      <c r="K1004" s="17"/>
      <c r="L1004" s="17"/>
      <c r="M1004" s="17"/>
      <c r="N1004" s="17"/>
      <c r="O1004" s="29"/>
      <c r="P1004" s="17"/>
      <c r="Q1004" s="29"/>
      <c r="R1004" s="17"/>
      <c r="S1004" s="29"/>
      <c r="T1004" s="17"/>
      <c r="U1004" s="17"/>
      <c r="V1004" s="17"/>
      <c r="W1004" s="17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</row>
    <row r="1005" hidden="1">
      <c r="A1005" s="13"/>
      <c r="B1005" s="13"/>
      <c r="C1005" s="13"/>
      <c r="D1005" s="17"/>
      <c r="E1005" s="17"/>
      <c r="F1005" s="29"/>
      <c r="G1005" s="17"/>
      <c r="H1005" s="29"/>
      <c r="I1005" s="17"/>
      <c r="J1005" s="29"/>
      <c r="K1005" s="17"/>
      <c r="L1005" s="17"/>
      <c r="M1005" s="17"/>
      <c r="N1005" s="17"/>
      <c r="O1005" s="29"/>
      <c r="P1005" s="17"/>
      <c r="Q1005" s="29"/>
      <c r="R1005" s="17"/>
      <c r="S1005" s="29"/>
      <c r="T1005" s="17"/>
      <c r="U1005" s="17"/>
      <c r="V1005" s="17"/>
      <c r="W1005" s="17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</row>
    <row r="1006" hidden="1">
      <c r="A1006" s="13"/>
      <c r="B1006" s="13"/>
      <c r="C1006" s="13"/>
      <c r="D1006" s="17"/>
      <c r="E1006" s="17"/>
      <c r="F1006" s="29"/>
      <c r="G1006" s="17"/>
      <c r="H1006" s="29"/>
      <c r="I1006" s="17"/>
      <c r="J1006" s="29"/>
      <c r="K1006" s="17"/>
      <c r="L1006" s="17"/>
      <c r="M1006" s="17"/>
      <c r="N1006" s="17"/>
      <c r="O1006" s="29"/>
      <c r="P1006" s="17"/>
      <c r="Q1006" s="29"/>
      <c r="R1006" s="17"/>
      <c r="S1006" s="29"/>
      <c r="T1006" s="17"/>
      <c r="U1006" s="17"/>
      <c r="V1006" s="17"/>
      <c r="W1006" s="17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</row>
    <row r="1007" hidden="1">
      <c r="A1007" s="13"/>
      <c r="B1007" s="13"/>
      <c r="C1007" s="13"/>
      <c r="D1007" s="17"/>
      <c r="E1007" s="17"/>
      <c r="F1007" s="29"/>
      <c r="G1007" s="17"/>
      <c r="H1007" s="29"/>
      <c r="I1007" s="17"/>
      <c r="J1007" s="29"/>
      <c r="K1007" s="17"/>
      <c r="L1007" s="17"/>
      <c r="M1007" s="17"/>
      <c r="N1007" s="17"/>
      <c r="O1007" s="29"/>
      <c r="P1007" s="17"/>
      <c r="Q1007" s="29"/>
      <c r="R1007" s="17"/>
      <c r="S1007" s="29"/>
      <c r="T1007" s="17"/>
      <c r="U1007" s="17"/>
      <c r="V1007" s="17"/>
      <c r="W1007" s="17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</row>
    <row r="1008" hidden="1">
      <c r="A1008" s="13"/>
      <c r="B1008" s="13"/>
      <c r="C1008" s="13"/>
      <c r="D1008" s="17"/>
      <c r="E1008" s="17"/>
      <c r="F1008" s="29"/>
      <c r="G1008" s="17"/>
      <c r="H1008" s="29"/>
      <c r="I1008" s="17"/>
      <c r="J1008" s="29"/>
      <c r="K1008" s="17"/>
      <c r="L1008" s="17"/>
      <c r="M1008" s="17"/>
      <c r="N1008" s="17"/>
      <c r="O1008" s="29"/>
      <c r="P1008" s="17"/>
      <c r="Q1008" s="29"/>
      <c r="R1008" s="17"/>
      <c r="S1008" s="29"/>
      <c r="T1008" s="17"/>
      <c r="U1008" s="17"/>
      <c r="V1008" s="17"/>
      <c r="W1008" s="17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</row>
    <row r="1009" hidden="1">
      <c r="A1009" s="13"/>
      <c r="B1009" s="13"/>
      <c r="C1009" s="13"/>
      <c r="D1009" s="17"/>
      <c r="E1009" s="17"/>
      <c r="F1009" s="29"/>
      <c r="G1009" s="17"/>
      <c r="H1009" s="29"/>
      <c r="I1009" s="17"/>
      <c r="J1009" s="29"/>
      <c r="K1009" s="17"/>
      <c r="L1009" s="17"/>
      <c r="M1009" s="17"/>
      <c r="N1009" s="17"/>
      <c r="O1009" s="29"/>
      <c r="P1009" s="17"/>
      <c r="Q1009" s="29"/>
      <c r="R1009" s="17"/>
      <c r="S1009" s="29"/>
      <c r="T1009" s="17"/>
      <c r="U1009" s="17"/>
      <c r="V1009" s="17"/>
      <c r="W1009" s="17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</row>
    <row r="1010" hidden="1">
      <c r="A1010" s="13"/>
      <c r="B1010" s="13"/>
      <c r="C1010" s="13"/>
      <c r="D1010" s="17"/>
      <c r="E1010" s="17"/>
      <c r="F1010" s="29"/>
      <c r="G1010" s="17"/>
      <c r="H1010" s="29"/>
      <c r="I1010" s="17"/>
      <c r="J1010" s="29"/>
      <c r="K1010" s="17"/>
      <c r="L1010" s="17"/>
      <c r="M1010" s="17"/>
      <c r="N1010" s="17"/>
      <c r="O1010" s="29"/>
      <c r="P1010" s="17"/>
      <c r="Q1010" s="29"/>
      <c r="R1010" s="17"/>
      <c r="S1010" s="29"/>
      <c r="T1010" s="17"/>
      <c r="U1010" s="17"/>
      <c r="V1010" s="17"/>
      <c r="W1010" s="17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</row>
    <row r="1011" hidden="1">
      <c r="A1011" s="13"/>
      <c r="B1011" s="13"/>
      <c r="C1011" s="13"/>
      <c r="D1011" s="17"/>
      <c r="E1011" s="17"/>
      <c r="F1011" s="29"/>
      <c r="G1011" s="17"/>
      <c r="H1011" s="29"/>
      <c r="I1011" s="17"/>
      <c r="J1011" s="29"/>
      <c r="K1011" s="17"/>
      <c r="L1011" s="17"/>
      <c r="M1011" s="17"/>
      <c r="N1011" s="17"/>
      <c r="O1011" s="29"/>
      <c r="P1011" s="17"/>
      <c r="Q1011" s="29"/>
      <c r="R1011" s="17"/>
      <c r="S1011" s="29"/>
      <c r="T1011" s="17"/>
      <c r="U1011" s="17"/>
      <c r="V1011" s="17"/>
      <c r="W1011" s="17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</row>
    <row r="1012" hidden="1">
      <c r="A1012" s="13"/>
      <c r="B1012" s="13"/>
      <c r="C1012" s="13"/>
      <c r="D1012" s="17"/>
      <c r="E1012" s="17"/>
      <c r="F1012" s="29"/>
      <c r="G1012" s="17"/>
      <c r="H1012" s="29"/>
      <c r="I1012" s="17"/>
      <c r="J1012" s="29"/>
      <c r="K1012" s="17"/>
      <c r="L1012" s="17"/>
      <c r="M1012" s="17"/>
      <c r="N1012" s="17"/>
      <c r="O1012" s="29"/>
      <c r="P1012" s="17"/>
      <c r="Q1012" s="29"/>
      <c r="R1012" s="17"/>
      <c r="S1012" s="29"/>
      <c r="T1012" s="17"/>
      <c r="U1012" s="17"/>
      <c r="V1012" s="17"/>
      <c r="W1012" s="17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</row>
    <row r="1013" hidden="1">
      <c r="A1013" s="13"/>
      <c r="B1013" s="13"/>
      <c r="C1013" s="13"/>
      <c r="D1013" s="17"/>
      <c r="E1013" s="17"/>
      <c r="F1013" s="29"/>
      <c r="G1013" s="17"/>
      <c r="H1013" s="29"/>
      <c r="I1013" s="17"/>
      <c r="J1013" s="29"/>
      <c r="K1013" s="17"/>
      <c r="L1013" s="17"/>
      <c r="M1013" s="17"/>
      <c r="N1013" s="17"/>
      <c r="O1013" s="29"/>
      <c r="P1013" s="17"/>
      <c r="Q1013" s="29"/>
      <c r="R1013" s="17"/>
      <c r="S1013" s="29"/>
      <c r="T1013" s="17"/>
      <c r="U1013" s="17"/>
      <c r="V1013" s="17"/>
      <c r="W1013" s="17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</row>
    <row r="1014" hidden="1">
      <c r="A1014" s="13"/>
      <c r="B1014" s="13"/>
      <c r="C1014" s="13"/>
      <c r="D1014" s="17"/>
      <c r="E1014" s="17"/>
      <c r="F1014" s="29"/>
      <c r="G1014" s="17"/>
      <c r="H1014" s="29"/>
      <c r="I1014" s="17"/>
      <c r="J1014" s="29"/>
      <c r="K1014" s="17"/>
      <c r="L1014" s="17"/>
      <c r="M1014" s="17"/>
      <c r="N1014" s="17"/>
      <c r="O1014" s="29"/>
      <c r="P1014" s="17"/>
      <c r="Q1014" s="29"/>
      <c r="R1014" s="17"/>
      <c r="S1014" s="29"/>
      <c r="T1014" s="17"/>
      <c r="U1014" s="17"/>
      <c r="V1014" s="17"/>
      <c r="W1014" s="17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</row>
    <row r="1015" hidden="1">
      <c r="A1015" s="13"/>
      <c r="B1015" s="13"/>
      <c r="C1015" s="13"/>
      <c r="D1015" s="17"/>
      <c r="E1015" s="17"/>
      <c r="F1015" s="29"/>
      <c r="G1015" s="17"/>
      <c r="H1015" s="29"/>
      <c r="I1015" s="17"/>
      <c r="J1015" s="29"/>
      <c r="K1015" s="17"/>
      <c r="L1015" s="17"/>
      <c r="M1015" s="17"/>
      <c r="N1015" s="17"/>
      <c r="O1015" s="29"/>
      <c r="P1015" s="17"/>
      <c r="Q1015" s="29"/>
      <c r="R1015" s="17"/>
      <c r="S1015" s="29"/>
      <c r="T1015" s="17"/>
      <c r="U1015" s="17"/>
      <c r="V1015" s="17"/>
      <c r="W1015" s="17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</row>
    <row r="1016" hidden="1">
      <c r="A1016" s="13"/>
      <c r="B1016" s="13"/>
      <c r="C1016" s="13"/>
      <c r="D1016" s="17"/>
      <c r="E1016" s="17"/>
      <c r="F1016" s="29"/>
      <c r="G1016" s="17"/>
      <c r="H1016" s="29"/>
      <c r="I1016" s="17"/>
      <c r="J1016" s="29"/>
      <c r="K1016" s="17"/>
      <c r="L1016" s="17"/>
      <c r="M1016" s="17"/>
      <c r="N1016" s="17"/>
      <c r="O1016" s="29"/>
      <c r="P1016" s="17"/>
      <c r="Q1016" s="29"/>
      <c r="R1016" s="17"/>
      <c r="S1016" s="29"/>
      <c r="T1016" s="17"/>
      <c r="U1016" s="17"/>
      <c r="V1016" s="17"/>
      <c r="W1016" s="17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</row>
    <row r="1017" hidden="1">
      <c r="A1017" s="13"/>
      <c r="B1017" s="13"/>
      <c r="C1017" s="13"/>
      <c r="D1017" s="17"/>
      <c r="E1017" s="17"/>
      <c r="F1017" s="29"/>
      <c r="G1017" s="17"/>
      <c r="H1017" s="29"/>
      <c r="I1017" s="17"/>
      <c r="J1017" s="29"/>
      <c r="K1017" s="17"/>
      <c r="L1017" s="17"/>
      <c r="M1017" s="17"/>
      <c r="N1017" s="17"/>
      <c r="O1017" s="29"/>
      <c r="P1017" s="17"/>
      <c r="Q1017" s="29"/>
      <c r="R1017" s="17"/>
      <c r="S1017" s="29"/>
      <c r="T1017" s="17"/>
      <c r="U1017" s="17"/>
      <c r="V1017" s="17"/>
      <c r="W1017" s="17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</row>
    <row r="1018" hidden="1">
      <c r="A1018" s="13"/>
      <c r="B1018" s="13"/>
      <c r="C1018" s="13"/>
      <c r="D1018" s="17"/>
      <c r="E1018" s="17"/>
      <c r="F1018" s="29"/>
      <c r="G1018" s="17"/>
      <c r="H1018" s="29"/>
      <c r="I1018" s="17"/>
      <c r="J1018" s="29"/>
      <c r="K1018" s="17"/>
      <c r="L1018" s="17"/>
      <c r="M1018" s="17"/>
      <c r="N1018" s="17"/>
      <c r="O1018" s="29"/>
      <c r="P1018" s="17"/>
      <c r="Q1018" s="29"/>
      <c r="R1018" s="17"/>
      <c r="S1018" s="29"/>
      <c r="T1018" s="17"/>
      <c r="U1018" s="17"/>
      <c r="V1018" s="17"/>
      <c r="W1018" s="17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</row>
    <row r="1019" hidden="1">
      <c r="A1019" s="13"/>
      <c r="B1019" s="13"/>
      <c r="C1019" s="13"/>
      <c r="D1019" s="17"/>
      <c r="E1019" s="17"/>
      <c r="F1019" s="29"/>
      <c r="G1019" s="17"/>
      <c r="H1019" s="29"/>
      <c r="I1019" s="17"/>
      <c r="J1019" s="29"/>
      <c r="K1019" s="17"/>
      <c r="L1019" s="17"/>
      <c r="M1019" s="17"/>
      <c r="N1019" s="17"/>
      <c r="O1019" s="29"/>
      <c r="P1019" s="17"/>
      <c r="Q1019" s="29"/>
      <c r="R1019" s="17"/>
      <c r="S1019" s="29"/>
      <c r="T1019" s="17"/>
      <c r="U1019" s="17"/>
      <c r="V1019" s="17"/>
      <c r="W1019" s="17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</row>
    <row r="1020" hidden="1">
      <c r="A1020" s="13"/>
      <c r="B1020" s="13"/>
      <c r="C1020" s="13"/>
      <c r="D1020" s="17"/>
      <c r="E1020" s="17"/>
      <c r="F1020" s="29"/>
      <c r="G1020" s="17"/>
      <c r="H1020" s="29"/>
      <c r="I1020" s="17"/>
      <c r="J1020" s="29"/>
      <c r="K1020" s="17"/>
      <c r="L1020" s="17"/>
      <c r="M1020" s="17"/>
      <c r="N1020" s="17"/>
      <c r="O1020" s="29"/>
      <c r="P1020" s="17"/>
      <c r="Q1020" s="29"/>
      <c r="R1020" s="17"/>
      <c r="S1020" s="29"/>
      <c r="T1020" s="17"/>
      <c r="U1020" s="17"/>
      <c r="V1020" s="17"/>
      <c r="W1020" s="17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</row>
    <row r="1021" hidden="1">
      <c r="A1021" s="13"/>
      <c r="B1021" s="13"/>
      <c r="C1021" s="13"/>
      <c r="D1021" s="17"/>
      <c r="E1021" s="17"/>
      <c r="F1021" s="29"/>
      <c r="G1021" s="17"/>
      <c r="H1021" s="29"/>
      <c r="I1021" s="17"/>
      <c r="J1021" s="29"/>
      <c r="K1021" s="17"/>
      <c r="L1021" s="17"/>
      <c r="M1021" s="17"/>
      <c r="N1021" s="17"/>
      <c r="O1021" s="29"/>
      <c r="P1021" s="17"/>
      <c r="Q1021" s="29"/>
      <c r="R1021" s="17"/>
      <c r="S1021" s="29"/>
      <c r="T1021" s="17"/>
      <c r="U1021" s="17"/>
      <c r="V1021" s="17"/>
      <c r="W1021" s="17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</row>
    <row r="1022" hidden="1">
      <c r="A1022" s="13"/>
      <c r="B1022" s="13"/>
      <c r="C1022" s="13"/>
      <c r="D1022" s="17"/>
      <c r="E1022" s="17"/>
      <c r="F1022" s="29"/>
      <c r="G1022" s="17"/>
      <c r="H1022" s="29"/>
      <c r="I1022" s="17"/>
      <c r="J1022" s="29"/>
      <c r="K1022" s="17"/>
      <c r="L1022" s="17"/>
      <c r="M1022" s="17"/>
      <c r="N1022" s="17"/>
      <c r="O1022" s="29"/>
      <c r="P1022" s="17"/>
      <c r="Q1022" s="29"/>
      <c r="R1022" s="17"/>
      <c r="S1022" s="29"/>
      <c r="T1022" s="17"/>
      <c r="U1022" s="17"/>
      <c r="V1022" s="17"/>
      <c r="W1022" s="17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</row>
    <row r="1023" hidden="1">
      <c r="A1023" s="13"/>
      <c r="B1023" s="13"/>
      <c r="C1023" s="13"/>
      <c r="D1023" s="17"/>
      <c r="E1023" s="17"/>
      <c r="F1023" s="29"/>
      <c r="G1023" s="17"/>
      <c r="H1023" s="29"/>
      <c r="I1023" s="17"/>
      <c r="J1023" s="29"/>
      <c r="K1023" s="17"/>
      <c r="L1023" s="17"/>
      <c r="M1023" s="17"/>
      <c r="N1023" s="17"/>
      <c r="O1023" s="29"/>
      <c r="P1023" s="17"/>
      <c r="Q1023" s="29"/>
      <c r="R1023" s="17"/>
      <c r="S1023" s="29"/>
      <c r="T1023" s="17"/>
      <c r="U1023" s="17"/>
      <c r="V1023" s="17"/>
      <c r="W1023" s="17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</row>
    <row r="1024" hidden="1">
      <c r="A1024" s="13"/>
      <c r="B1024" s="13"/>
      <c r="C1024" s="13"/>
      <c r="D1024" s="17"/>
      <c r="E1024" s="17"/>
      <c r="F1024" s="29"/>
      <c r="G1024" s="17"/>
      <c r="H1024" s="29"/>
      <c r="I1024" s="17"/>
      <c r="J1024" s="29"/>
      <c r="K1024" s="17"/>
      <c r="L1024" s="17"/>
      <c r="M1024" s="17"/>
      <c r="N1024" s="17"/>
      <c r="O1024" s="29"/>
      <c r="P1024" s="17"/>
      <c r="Q1024" s="29"/>
      <c r="R1024" s="17"/>
      <c r="S1024" s="29"/>
      <c r="T1024" s="17"/>
      <c r="U1024" s="17"/>
      <c r="V1024" s="17"/>
      <c r="W1024" s="17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</row>
    <row r="1025" hidden="1">
      <c r="A1025" s="13"/>
      <c r="B1025" s="13"/>
      <c r="C1025" s="13"/>
      <c r="D1025" s="17"/>
      <c r="E1025" s="17"/>
      <c r="F1025" s="29"/>
      <c r="G1025" s="17"/>
      <c r="H1025" s="29"/>
      <c r="I1025" s="17"/>
      <c r="J1025" s="29"/>
      <c r="K1025" s="17"/>
      <c r="L1025" s="17"/>
      <c r="M1025" s="17"/>
      <c r="N1025" s="17"/>
      <c r="O1025" s="29"/>
      <c r="P1025" s="17"/>
      <c r="Q1025" s="29"/>
      <c r="R1025" s="17"/>
      <c r="S1025" s="29"/>
      <c r="T1025" s="17"/>
      <c r="U1025" s="17"/>
      <c r="V1025" s="17"/>
      <c r="W1025" s="17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</row>
    <row r="1026" hidden="1">
      <c r="A1026" s="13"/>
      <c r="B1026" s="13"/>
      <c r="C1026" s="13"/>
      <c r="D1026" s="17"/>
      <c r="E1026" s="17"/>
      <c r="F1026" s="29"/>
      <c r="G1026" s="17"/>
      <c r="H1026" s="29"/>
      <c r="I1026" s="17"/>
      <c r="J1026" s="29"/>
      <c r="K1026" s="17"/>
      <c r="L1026" s="17"/>
      <c r="M1026" s="17"/>
      <c r="N1026" s="17"/>
      <c r="O1026" s="29"/>
      <c r="P1026" s="17"/>
      <c r="Q1026" s="29"/>
      <c r="R1026" s="17"/>
      <c r="S1026" s="29"/>
      <c r="T1026" s="17"/>
      <c r="U1026" s="17"/>
      <c r="V1026" s="17"/>
      <c r="W1026" s="17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</row>
    <row r="1027" hidden="1">
      <c r="A1027" s="13"/>
      <c r="B1027" s="13"/>
      <c r="C1027" s="13"/>
      <c r="D1027" s="17"/>
      <c r="E1027" s="17"/>
      <c r="F1027" s="29"/>
      <c r="G1027" s="17"/>
      <c r="H1027" s="29"/>
      <c r="I1027" s="17"/>
      <c r="J1027" s="29"/>
      <c r="K1027" s="17"/>
      <c r="L1027" s="17"/>
      <c r="M1027" s="17"/>
      <c r="N1027" s="17"/>
      <c r="O1027" s="29"/>
      <c r="P1027" s="17"/>
      <c r="Q1027" s="29"/>
      <c r="R1027" s="17"/>
      <c r="S1027" s="29"/>
      <c r="T1027" s="17"/>
      <c r="U1027" s="17"/>
      <c r="V1027" s="17"/>
      <c r="W1027" s="17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</row>
    <row r="1028" hidden="1">
      <c r="A1028" s="13"/>
      <c r="B1028" s="13"/>
      <c r="C1028" s="13"/>
      <c r="D1028" s="17"/>
      <c r="E1028" s="17"/>
      <c r="F1028" s="29"/>
      <c r="G1028" s="17"/>
      <c r="H1028" s="29"/>
      <c r="I1028" s="17"/>
      <c r="J1028" s="29"/>
      <c r="K1028" s="17"/>
      <c r="L1028" s="17"/>
      <c r="M1028" s="17"/>
      <c r="N1028" s="17"/>
      <c r="O1028" s="29"/>
      <c r="P1028" s="17"/>
      <c r="Q1028" s="29"/>
      <c r="R1028" s="17"/>
      <c r="S1028" s="29"/>
      <c r="T1028" s="17"/>
      <c r="U1028" s="17"/>
      <c r="V1028" s="17"/>
      <c r="W1028" s="17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</row>
    <row r="1029" hidden="1">
      <c r="A1029" s="13"/>
      <c r="B1029" s="13"/>
      <c r="C1029" s="13"/>
      <c r="D1029" s="17"/>
      <c r="E1029" s="17"/>
      <c r="F1029" s="29"/>
      <c r="G1029" s="17"/>
      <c r="H1029" s="29"/>
      <c r="I1029" s="17"/>
      <c r="J1029" s="29"/>
      <c r="K1029" s="17"/>
      <c r="L1029" s="17"/>
      <c r="M1029" s="17"/>
      <c r="N1029" s="17"/>
      <c r="O1029" s="29"/>
      <c r="P1029" s="17"/>
      <c r="Q1029" s="29"/>
      <c r="R1029" s="17"/>
      <c r="S1029" s="29"/>
      <c r="T1029" s="17"/>
      <c r="U1029" s="17"/>
      <c r="V1029" s="17"/>
      <c r="W1029" s="17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</row>
    <row r="1030" hidden="1">
      <c r="A1030" s="13"/>
      <c r="B1030" s="13"/>
      <c r="C1030" s="13"/>
      <c r="D1030" s="17"/>
      <c r="E1030" s="17"/>
      <c r="F1030" s="29"/>
      <c r="G1030" s="17"/>
      <c r="H1030" s="29"/>
      <c r="I1030" s="17"/>
      <c r="J1030" s="29"/>
      <c r="K1030" s="17"/>
      <c r="L1030" s="17"/>
      <c r="M1030" s="17"/>
      <c r="N1030" s="17"/>
      <c r="O1030" s="29"/>
      <c r="P1030" s="17"/>
      <c r="Q1030" s="29"/>
      <c r="R1030" s="17"/>
      <c r="S1030" s="29"/>
      <c r="T1030" s="17"/>
      <c r="U1030" s="17"/>
      <c r="V1030" s="17"/>
      <c r="W1030" s="17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</row>
    <row r="1031" hidden="1">
      <c r="A1031" s="13"/>
      <c r="B1031" s="13"/>
      <c r="C1031" s="13"/>
      <c r="D1031" s="17"/>
      <c r="E1031" s="17"/>
      <c r="F1031" s="29"/>
      <c r="G1031" s="17"/>
      <c r="H1031" s="29"/>
      <c r="I1031" s="17"/>
      <c r="J1031" s="29"/>
      <c r="K1031" s="17"/>
      <c r="L1031" s="17"/>
      <c r="M1031" s="17"/>
      <c r="N1031" s="17"/>
      <c r="O1031" s="29"/>
      <c r="P1031" s="17"/>
      <c r="Q1031" s="29"/>
      <c r="R1031" s="17"/>
      <c r="S1031" s="29"/>
      <c r="T1031" s="17"/>
      <c r="U1031" s="17"/>
      <c r="V1031" s="17"/>
      <c r="W1031" s="17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</row>
    <row r="1032" hidden="1">
      <c r="A1032" s="13"/>
      <c r="B1032" s="13"/>
      <c r="C1032" s="13"/>
      <c r="D1032" s="17"/>
      <c r="E1032" s="17"/>
      <c r="F1032" s="29"/>
      <c r="G1032" s="17"/>
      <c r="H1032" s="29"/>
      <c r="I1032" s="17"/>
      <c r="J1032" s="29"/>
      <c r="K1032" s="17"/>
      <c r="L1032" s="17"/>
      <c r="M1032" s="17"/>
      <c r="N1032" s="17"/>
      <c r="O1032" s="29"/>
      <c r="P1032" s="17"/>
      <c r="Q1032" s="29"/>
      <c r="R1032" s="17"/>
      <c r="S1032" s="29"/>
      <c r="T1032" s="17"/>
      <c r="U1032" s="17"/>
      <c r="V1032" s="17"/>
      <c r="W1032" s="17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</row>
    <row r="1033" hidden="1">
      <c r="A1033" s="13"/>
      <c r="B1033" s="13"/>
      <c r="C1033" s="13"/>
      <c r="D1033" s="17"/>
      <c r="E1033" s="17"/>
      <c r="F1033" s="29"/>
      <c r="G1033" s="17"/>
      <c r="H1033" s="29"/>
      <c r="I1033" s="17"/>
      <c r="J1033" s="29"/>
      <c r="K1033" s="17"/>
      <c r="L1033" s="17"/>
      <c r="M1033" s="17"/>
      <c r="N1033" s="17"/>
      <c r="O1033" s="29"/>
      <c r="P1033" s="17"/>
      <c r="Q1033" s="29"/>
      <c r="R1033" s="17"/>
      <c r="S1033" s="29"/>
      <c r="T1033" s="17"/>
      <c r="U1033" s="17"/>
      <c r="V1033" s="17"/>
      <c r="W1033" s="17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</row>
    <row r="1034" hidden="1">
      <c r="A1034" s="13"/>
      <c r="B1034" s="13"/>
      <c r="C1034" s="13"/>
      <c r="D1034" s="17"/>
      <c r="E1034" s="17"/>
      <c r="F1034" s="29"/>
      <c r="G1034" s="17"/>
      <c r="H1034" s="29"/>
      <c r="I1034" s="17"/>
      <c r="J1034" s="29"/>
      <c r="K1034" s="17"/>
      <c r="L1034" s="17"/>
      <c r="M1034" s="17"/>
      <c r="N1034" s="17"/>
      <c r="O1034" s="29"/>
      <c r="P1034" s="17"/>
      <c r="Q1034" s="29"/>
      <c r="R1034" s="17"/>
      <c r="S1034" s="29"/>
      <c r="T1034" s="17"/>
      <c r="U1034" s="17"/>
      <c r="V1034" s="17"/>
      <c r="W1034" s="17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</row>
    <row r="1035" hidden="1">
      <c r="A1035" s="13"/>
      <c r="B1035" s="13"/>
      <c r="C1035" s="13"/>
      <c r="D1035" s="17"/>
      <c r="E1035" s="17"/>
      <c r="F1035" s="29"/>
      <c r="G1035" s="17"/>
      <c r="H1035" s="29"/>
      <c r="I1035" s="17"/>
      <c r="J1035" s="29"/>
      <c r="K1035" s="17"/>
      <c r="L1035" s="17"/>
      <c r="M1035" s="17"/>
      <c r="N1035" s="17"/>
      <c r="O1035" s="29"/>
      <c r="P1035" s="17"/>
      <c r="Q1035" s="29"/>
      <c r="R1035" s="17"/>
      <c r="S1035" s="29"/>
      <c r="T1035" s="17"/>
      <c r="U1035" s="17"/>
      <c r="V1035" s="17"/>
      <c r="W1035" s="17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</row>
    <row r="1036" hidden="1">
      <c r="A1036" s="13"/>
      <c r="B1036" s="13"/>
      <c r="C1036" s="13"/>
      <c r="D1036" s="17"/>
      <c r="E1036" s="17"/>
      <c r="F1036" s="29"/>
      <c r="G1036" s="17"/>
      <c r="H1036" s="29"/>
      <c r="I1036" s="17"/>
      <c r="J1036" s="29"/>
      <c r="K1036" s="17"/>
      <c r="L1036" s="17"/>
      <c r="M1036" s="17"/>
      <c r="N1036" s="17"/>
      <c r="O1036" s="29"/>
      <c r="P1036" s="17"/>
      <c r="Q1036" s="29"/>
      <c r="R1036" s="17"/>
      <c r="S1036" s="29"/>
      <c r="T1036" s="17"/>
      <c r="U1036" s="17"/>
      <c r="V1036" s="17"/>
      <c r="W1036" s="17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</row>
    <row r="1037" hidden="1">
      <c r="A1037" s="13"/>
      <c r="B1037" s="13"/>
      <c r="C1037" s="13"/>
      <c r="D1037" s="17"/>
      <c r="E1037" s="17"/>
      <c r="F1037" s="29"/>
      <c r="G1037" s="17"/>
      <c r="H1037" s="29"/>
      <c r="I1037" s="17"/>
      <c r="J1037" s="29"/>
      <c r="K1037" s="17"/>
      <c r="L1037" s="17"/>
      <c r="M1037" s="17"/>
      <c r="N1037" s="17"/>
      <c r="O1037" s="29"/>
      <c r="P1037" s="17"/>
      <c r="Q1037" s="29"/>
      <c r="R1037" s="17"/>
      <c r="S1037" s="29"/>
      <c r="T1037" s="17"/>
      <c r="U1037" s="17"/>
      <c r="V1037" s="17"/>
      <c r="W1037" s="17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</row>
    <row r="1038" hidden="1">
      <c r="A1038" s="13"/>
      <c r="B1038" s="13"/>
      <c r="C1038" s="13"/>
      <c r="D1038" s="17"/>
      <c r="E1038" s="17"/>
      <c r="F1038" s="29"/>
      <c r="G1038" s="17"/>
      <c r="H1038" s="29"/>
      <c r="I1038" s="17"/>
      <c r="J1038" s="29"/>
      <c r="K1038" s="17"/>
      <c r="L1038" s="17"/>
      <c r="M1038" s="17"/>
      <c r="N1038" s="17"/>
      <c r="O1038" s="29"/>
      <c r="P1038" s="17"/>
      <c r="Q1038" s="29"/>
      <c r="R1038" s="17"/>
      <c r="S1038" s="29"/>
      <c r="T1038" s="17"/>
      <c r="U1038" s="17"/>
      <c r="V1038" s="17"/>
      <c r="W1038" s="17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</row>
    <row r="1039" hidden="1">
      <c r="A1039" s="13"/>
      <c r="B1039" s="13"/>
      <c r="C1039" s="13"/>
      <c r="D1039" s="17"/>
      <c r="E1039" s="17"/>
      <c r="F1039" s="29"/>
      <c r="G1039" s="17"/>
      <c r="H1039" s="29"/>
      <c r="I1039" s="17"/>
      <c r="J1039" s="29"/>
      <c r="K1039" s="17"/>
      <c r="L1039" s="17"/>
      <c r="M1039" s="17"/>
      <c r="N1039" s="17"/>
      <c r="O1039" s="29"/>
      <c r="P1039" s="17"/>
      <c r="Q1039" s="29"/>
      <c r="R1039" s="17"/>
      <c r="S1039" s="29"/>
      <c r="T1039" s="17"/>
      <c r="U1039" s="17"/>
      <c r="V1039" s="17"/>
      <c r="W1039" s="17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</row>
    <row r="1040" hidden="1">
      <c r="A1040" s="13"/>
      <c r="B1040" s="13"/>
      <c r="C1040" s="13"/>
      <c r="D1040" s="17"/>
      <c r="E1040" s="17"/>
      <c r="F1040" s="29"/>
      <c r="G1040" s="17"/>
      <c r="H1040" s="29"/>
      <c r="I1040" s="17"/>
      <c r="J1040" s="29"/>
      <c r="K1040" s="17"/>
      <c r="L1040" s="17"/>
      <c r="M1040" s="17"/>
      <c r="N1040" s="17"/>
      <c r="O1040" s="29"/>
      <c r="P1040" s="17"/>
      <c r="Q1040" s="29"/>
      <c r="R1040" s="17"/>
      <c r="S1040" s="29"/>
      <c r="T1040" s="17"/>
      <c r="U1040" s="17"/>
      <c r="V1040" s="17"/>
      <c r="W1040" s="17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</row>
    <row r="1041" hidden="1">
      <c r="A1041" s="13"/>
      <c r="B1041" s="13"/>
      <c r="C1041" s="13"/>
      <c r="D1041" s="17"/>
      <c r="E1041" s="17"/>
      <c r="F1041" s="29"/>
      <c r="G1041" s="17"/>
      <c r="H1041" s="29"/>
      <c r="I1041" s="17"/>
      <c r="J1041" s="29"/>
      <c r="K1041" s="17"/>
      <c r="L1041" s="17"/>
      <c r="M1041" s="17"/>
      <c r="N1041" s="17"/>
      <c r="O1041" s="29"/>
      <c r="P1041" s="17"/>
      <c r="Q1041" s="29"/>
      <c r="R1041" s="17"/>
      <c r="S1041" s="29"/>
      <c r="T1041" s="17"/>
      <c r="U1041" s="17"/>
      <c r="V1041" s="17"/>
      <c r="W1041" s="17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</row>
    <row r="1042" hidden="1">
      <c r="A1042" s="13"/>
      <c r="B1042" s="13"/>
      <c r="C1042" s="13"/>
      <c r="D1042" s="17"/>
      <c r="E1042" s="17"/>
      <c r="F1042" s="29"/>
      <c r="G1042" s="17"/>
      <c r="H1042" s="29"/>
      <c r="I1042" s="17"/>
      <c r="J1042" s="29"/>
      <c r="K1042" s="17"/>
      <c r="L1042" s="17"/>
      <c r="M1042" s="17"/>
      <c r="N1042" s="17"/>
      <c r="O1042" s="29"/>
      <c r="P1042" s="17"/>
      <c r="Q1042" s="29"/>
      <c r="R1042" s="17"/>
      <c r="S1042" s="29"/>
      <c r="T1042" s="17"/>
      <c r="U1042" s="17"/>
      <c r="V1042" s="17"/>
      <c r="W1042" s="17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</row>
    <row r="1043" hidden="1">
      <c r="A1043" s="13"/>
      <c r="B1043" s="13"/>
      <c r="C1043" s="13"/>
      <c r="D1043" s="17"/>
      <c r="E1043" s="17"/>
      <c r="F1043" s="29"/>
      <c r="G1043" s="17"/>
      <c r="H1043" s="29"/>
      <c r="I1043" s="17"/>
      <c r="J1043" s="29"/>
      <c r="K1043" s="17"/>
      <c r="L1043" s="17"/>
      <c r="M1043" s="17"/>
      <c r="N1043" s="17"/>
      <c r="O1043" s="29"/>
      <c r="P1043" s="17"/>
      <c r="Q1043" s="29"/>
      <c r="R1043" s="17"/>
      <c r="S1043" s="29"/>
      <c r="T1043" s="17"/>
      <c r="U1043" s="17"/>
      <c r="V1043" s="17"/>
      <c r="W1043" s="17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</row>
    <row r="1044" hidden="1">
      <c r="A1044" s="13"/>
      <c r="B1044" s="13"/>
      <c r="C1044" s="13"/>
      <c r="D1044" s="17"/>
      <c r="E1044" s="17"/>
      <c r="F1044" s="29"/>
      <c r="G1044" s="17"/>
      <c r="H1044" s="29"/>
      <c r="I1044" s="17"/>
      <c r="J1044" s="29"/>
      <c r="K1044" s="17"/>
      <c r="L1044" s="17"/>
      <c r="M1044" s="17"/>
      <c r="N1044" s="17"/>
      <c r="O1044" s="29"/>
      <c r="P1044" s="17"/>
      <c r="Q1044" s="29"/>
      <c r="R1044" s="17"/>
      <c r="S1044" s="29"/>
      <c r="T1044" s="17"/>
      <c r="U1044" s="17"/>
      <c r="V1044" s="17"/>
      <c r="W1044" s="17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</row>
    <row r="1045" hidden="1">
      <c r="A1045" s="13"/>
      <c r="B1045" s="13"/>
      <c r="C1045" s="13"/>
      <c r="D1045" s="17"/>
      <c r="E1045" s="17"/>
      <c r="F1045" s="29"/>
      <c r="G1045" s="17"/>
      <c r="H1045" s="29"/>
      <c r="I1045" s="17"/>
      <c r="J1045" s="29"/>
      <c r="K1045" s="17"/>
      <c r="L1045" s="17"/>
      <c r="M1045" s="17"/>
      <c r="N1045" s="17"/>
      <c r="O1045" s="29"/>
      <c r="P1045" s="17"/>
      <c r="Q1045" s="29"/>
      <c r="R1045" s="17"/>
      <c r="S1045" s="29"/>
      <c r="T1045" s="17"/>
      <c r="U1045" s="17"/>
      <c r="V1045" s="17"/>
      <c r="W1045" s="17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</row>
    <row r="1046" hidden="1">
      <c r="A1046" s="13"/>
      <c r="B1046" s="13"/>
      <c r="C1046" s="13"/>
      <c r="D1046" s="17"/>
      <c r="E1046" s="17"/>
      <c r="F1046" s="29"/>
      <c r="G1046" s="17"/>
      <c r="H1046" s="29"/>
      <c r="I1046" s="17"/>
      <c r="J1046" s="29"/>
      <c r="K1046" s="17"/>
      <c r="L1046" s="17"/>
      <c r="M1046" s="17"/>
      <c r="N1046" s="17"/>
      <c r="O1046" s="29"/>
      <c r="P1046" s="17"/>
      <c r="Q1046" s="29"/>
      <c r="R1046" s="17"/>
      <c r="S1046" s="29"/>
      <c r="T1046" s="17"/>
      <c r="U1046" s="17"/>
      <c r="V1046" s="17"/>
      <c r="W1046" s="17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</row>
    <row r="1047" hidden="1">
      <c r="A1047" s="13"/>
      <c r="B1047" s="13"/>
      <c r="C1047" s="13"/>
      <c r="D1047" s="17"/>
      <c r="E1047" s="17"/>
      <c r="F1047" s="29"/>
      <c r="G1047" s="17"/>
      <c r="H1047" s="29"/>
      <c r="I1047" s="17"/>
      <c r="J1047" s="29"/>
      <c r="K1047" s="17"/>
      <c r="L1047" s="17"/>
      <c r="M1047" s="17"/>
      <c r="N1047" s="17"/>
      <c r="O1047" s="29"/>
      <c r="P1047" s="17"/>
      <c r="Q1047" s="29"/>
      <c r="R1047" s="17"/>
      <c r="S1047" s="29"/>
      <c r="T1047" s="17"/>
      <c r="U1047" s="17"/>
      <c r="V1047" s="17"/>
      <c r="W1047" s="17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</row>
    <row r="1048" hidden="1">
      <c r="A1048" s="13"/>
      <c r="B1048" s="13"/>
      <c r="C1048" s="13"/>
      <c r="D1048" s="17"/>
      <c r="E1048" s="17"/>
      <c r="F1048" s="29"/>
      <c r="G1048" s="17"/>
      <c r="H1048" s="29"/>
      <c r="I1048" s="17"/>
      <c r="J1048" s="29"/>
      <c r="K1048" s="17"/>
      <c r="L1048" s="17"/>
      <c r="M1048" s="17"/>
      <c r="N1048" s="17"/>
      <c r="O1048" s="29"/>
      <c r="P1048" s="17"/>
      <c r="Q1048" s="29"/>
      <c r="R1048" s="17"/>
      <c r="S1048" s="29"/>
      <c r="T1048" s="17"/>
      <c r="U1048" s="17"/>
      <c r="V1048" s="17"/>
      <c r="W1048" s="17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</row>
    <row r="1049" hidden="1">
      <c r="A1049" s="13"/>
      <c r="B1049" s="13"/>
      <c r="C1049" s="13"/>
      <c r="D1049" s="17"/>
      <c r="E1049" s="17"/>
      <c r="F1049" s="29"/>
      <c r="G1049" s="17"/>
      <c r="H1049" s="29"/>
      <c r="I1049" s="17"/>
      <c r="J1049" s="29"/>
      <c r="K1049" s="17"/>
      <c r="L1049" s="17"/>
      <c r="M1049" s="17"/>
      <c r="N1049" s="17"/>
      <c r="O1049" s="29"/>
      <c r="P1049" s="17"/>
      <c r="Q1049" s="29"/>
      <c r="R1049" s="17"/>
      <c r="S1049" s="29"/>
      <c r="T1049" s="17"/>
      <c r="U1049" s="17"/>
      <c r="V1049" s="17"/>
      <c r="W1049" s="17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</row>
    <row r="1050" hidden="1">
      <c r="A1050" s="13"/>
      <c r="B1050" s="13"/>
      <c r="C1050" s="13"/>
      <c r="D1050" s="17"/>
      <c r="E1050" s="17"/>
      <c r="F1050" s="29"/>
      <c r="G1050" s="17"/>
      <c r="H1050" s="29"/>
      <c r="I1050" s="17"/>
      <c r="J1050" s="29"/>
      <c r="K1050" s="17"/>
      <c r="L1050" s="17"/>
      <c r="M1050" s="17"/>
      <c r="N1050" s="17"/>
      <c r="O1050" s="29"/>
      <c r="P1050" s="17"/>
      <c r="Q1050" s="29"/>
      <c r="R1050" s="17"/>
      <c r="S1050" s="29"/>
      <c r="T1050" s="17"/>
      <c r="U1050" s="17"/>
      <c r="V1050" s="17"/>
      <c r="W1050" s="17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</row>
    <row r="1051" hidden="1">
      <c r="A1051" s="13"/>
      <c r="B1051" s="13"/>
      <c r="C1051" s="13"/>
      <c r="D1051" s="17"/>
      <c r="E1051" s="17"/>
      <c r="F1051" s="29"/>
      <c r="G1051" s="17"/>
      <c r="H1051" s="29"/>
      <c r="I1051" s="17"/>
      <c r="J1051" s="29"/>
      <c r="K1051" s="17"/>
      <c r="L1051" s="17"/>
      <c r="M1051" s="17"/>
      <c r="N1051" s="17"/>
      <c r="O1051" s="29"/>
      <c r="P1051" s="17"/>
      <c r="Q1051" s="29"/>
      <c r="R1051" s="17"/>
      <c r="S1051" s="29"/>
      <c r="T1051" s="17"/>
      <c r="U1051" s="17"/>
      <c r="V1051" s="17"/>
      <c r="W1051" s="17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</row>
    <row r="1052" hidden="1">
      <c r="A1052" s="13"/>
      <c r="B1052" s="13"/>
      <c r="C1052" s="13"/>
      <c r="D1052" s="17"/>
      <c r="E1052" s="17"/>
      <c r="F1052" s="29"/>
      <c r="G1052" s="17"/>
      <c r="H1052" s="29"/>
      <c r="I1052" s="17"/>
      <c r="J1052" s="29"/>
      <c r="K1052" s="17"/>
      <c r="L1052" s="17"/>
      <c r="M1052" s="17"/>
      <c r="N1052" s="17"/>
      <c r="O1052" s="29"/>
      <c r="P1052" s="17"/>
      <c r="Q1052" s="29"/>
      <c r="R1052" s="17"/>
      <c r="S1052" s="29"/>
      <c r="T1052" s="17"/>
      <c r="U1052" s="17"/>
      <c r="V1052" s="17"/>
      <c r="W1052" s="17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</row>
    <row r="1053" hidden="1">
      <c r="A1053" s="13"/>
      <c r="B1053" s="13"/>
      <c r="C1053" s="13"/>
      <c r="D1053" s="17"/>
      <c r="E1053" s="17"/>
      <c r="F1053" s="29"/>
      <c r="G1053" s="17"/>
      <c r="H1053" s="29"/>
      <c r="I1053" s="17"/>
      <c r="J1053" s="29"/>
      <c r="K1053" s="17"/>
      <c r="L1053" s="17"/>
      <c r="M1053" s="17"/>
      <c r="N1053" s="17"/>
      <c r="O1053" s="29"/>
      <c r="P1053" s="17"/>
      <c r="Q1053" s="29"/>
      <c r="R1053" s="17"/>
      <c r="S1053" s="29"/>
      <c r="T1053" s="17"/>
      <c r="U1053" s="17"/>
      <c r="V1053" s="17"/>
      <c r="W1053" s="17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</row>
    <row r="1054" hidden="1">
      <c r="A1054" s="13"/>
      <c r="B1054" s="13"/>
      <c r="C1054" s="13"/>
      <c r="D1054" s="17"/>
      <c r="E1054" s="17"/>
      <c r="F1054" s="29"/>
      <c r="G1054" s="17"/>
      <c r="H1054" s="29"/>
      <c r="I1054" s="17"/>
      <c r="J1054" s="29"/>
      <c r="K1054" s="17"/>
      <c r="L1054" s="17"/>
      <c r="M1054" s="17"/>
      <c r="N1054" s="17"/>
      <c r="O1054" s="29"/>
      <c r="P1054" s="17"/>
      <c r="Q1054" s="29"/>
      <c r="R1054" s="17"/>
      <c r="S1054" s="29"/>
      <c r="T1054" s="17"/>
      <c r="U1054" s="17"/>
      <c r="V1054" s="17"/>
      <c r="W1054" s="17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</row>
    <row r="1055" hidden="1">
      <c r="A1055" s="13"/>
      <c r="B1055" s="13"/>
      <c r="C1055" s="13"/>
      <c r="D1055" s="17"/>
      <c r="E1055" s="17"/>
      <c r="F1055" s="29"/>
      <c r="G1055" s="17"/>
      <c r="H1055" s="29"/>
      <c r="I1055" s="17"/>
      <c r="J1055" s="29"/>
      <c r="K1055" s="17"/>
      <c r="L1055" s="17"/>
      <c r="M1055" s="17"/>
      <c r="N1055" s="17"/>
      <c r="O1055" s="29"/>
      <c r="P1055" s="17"/>
      <c r="Q1055" s="29"/>
      <c r="R1055" s="17"/>
      <c r="S1055" s="29"/>
      <c r="T1055" s="17"/>
      <c r="U1055" s="17"/>
      <c r="V1055" s="17"/>
      <c r="W1055" s="17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</row>
    <row r="1056" hidden="1">
      <c r="A1056" s="13"/>
      <c r="B1056" s="13"/>
      <c r="C1056" s="13"/>
      <c r="D1056" s="17"/>
      <c r="E1056" s="17"/>
      <c r="F1056" s="29"/>
      <c r="G1056" s="17"/>
      <c r="H1056" s="29"/>
      <c r="I1056" s="17"/>
      <c r="J1056" s="29"/>
      <c r="K1056" s="17"/>
      <c r="L1056" s="17"/>
      <c r="M1056" s="17"/>
      <c r="N1056" s="17"/>
      <c r="O1056" s="29"/>
      <c r="P1056" s="17"/>
      <c r="Q1056" s="29"/>
      <c r="R1056" s="17"/>
      <c r="S1056" s="29"/>
      <c r="T1056" s="17"/>
      <c r="U1056" s="17"/>
      <c r="V1056" s="17"/>
      <c r="W1056" s="17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</row>
    <row r="1057" hidden="1">
      <c r="A1057" s="13"/>
      <c r="B1057" s="13"/>
      <c r="C1057" s="13"/>
      <c r="D1057" s="17"/>
      <c r="E1057" s="17"/>
      <c r="F1057" s="29"/>
      <c r="G1057" s="17"/>
      <c r="H1057" s="29"/>
      <c r="I1057" s="17"/>
      <c r="J1057" s="29"/>
      <c r="K1057" s="17"/>
      <c r="L1057" s="17"/>
      <c r="M1057" s="17"/>
      <c r="N1057" s="17"/>
      <c r="O1057" s="29"/>
      <c r="P1057" s="17"/>
      <c r="Q1057" s="29"/>
      <c r="R1057" s="17"/>
      <c r="S1057" s="29"/>
      <c r="T1057" s="17"/>
      <c r="U1057" s="17"/>
      <c r="V1057" s="17"/>
      <c r="W1057" s="17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</row>
    <row r="1058" hidden="1">
      <c r="A1058" s="13"/>
      <c r="B1058" s="13"/>
      <c r="C1058" s="13"/>
      <c r="D1058" s="17"/>
      <c r="E1058" s="17"/>
      <c r="F1058" s="29"/>
      <c r="G1058" s="17"/>
      <c r="H1058" s="29"/>
      <c r="I1058" s="17"/>
      <c r="J1058" s="29"/>
      <c r="K1058" s="17"/>
      <c r="L1058" s="17"/>
      <c r="M1058" s="17"/>
      <c r="N1058" s="17"/>
      <c r="O1058" s="29"/>
      <c r="P1058" s="17"/>
      <c r="Q1058" s="29"/>
      <c r="R1058" s="17"/>
      <c r="S1058" s="29"/>
      <c r="T1058" s="17"/>
      <c r="U1058" s="17"/>
      <c r="V1058" s="17"/>
      <c r="W1058" s="17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</row>
    <row r="1059" hidden="1">
      <c r="A1059" s="13"/>
      <c r="B1059" s="13"/>
      <c r="C1059" s="13"/>
      <c r="D1059" s="17"/>
      <c r="E1059" s="17"/>
      <c r="F1059" s="29"/>
      <c r="G1059" s="17"/>
      <c r="H1059" s="29"/>
      <c r="I1059" s="17"/>
      <c r="J1059" s="29"/>
      <c r="K1059" s="17"/>
      <c r="L1059" s="17"/>
      <c r="M1059" s="17"/>
      <c r="N1059" s="17"/>
      <c r="O1059" s="29"/>
      <c r="P1059" s="17"/>
      <c r="Q1059" s="29"/>
      <c r="R1059" s="17"/>
      <c r="S1059" s="29"/>
      <c r="T1059" s="17"/>
      <c r="U1059" s="17"/>
      <c r="V1059" s="17"/>
      <c r="W1059" s="17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</row>
    <row r="1060" hidden="1">
      <c r="A1060" s="13"/>
      <c r="B1060" s="13"/>
      <c r="C1060" s="13"/>
      <c r="D1060" s="17"/>
      <c r="E1060" s="17"/>
      <c r="F1060" s="29"/>
      <c r="G1060" s="17"/>
      <c r="H1060" s="29"/>
      <c r="I1060" s="17"/>
      <c r="J1060" s="29"/>
      <c r="K1060" s="17"/>
      <c r="L1060" s="17"/>
      <c r="M1060" s="17"/>
      <c r="N1060" s="17"/>
      <c r="O1060" s="29"/>
      <c r="P1060" s="17"/>
      <c r="Q1060" s="29"/>
      <c r="R1060" s="17"/>
      <c r="S1060" s="29"/>
      <c r="T1060" s="17"/>
      <c r="U1060" s="17"/>
      <c r="V1060" s="17"/>
      <c r="W1060" s="17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</row>
    <row r="1061" hidden="1">
      <c r="A1061" s="13"/>
      <c r="B1061" s="13"/>
      <c r="C1061" s="13"/>
      <c r="D1061" s="17"/>
      <c r="E1061" s="17"/>
      <c r="F1061" s="29"/>
      <c r="G1061" s="17"/>
      <c r="H1061" s="29"/>
      <c r="I1061" s="17"/>
      <c r="J1061" s="29"/>
      <c r="K1061" s="17"/>
      <c r="L1061" s="17"/>
      <c r="M1061" s="17"/>
      <c r="N1061" s="17"/>
      <c r="O1061" s="29"/>
      <c r="P1061" s="17"/>
      <c r="Q1061" s="29"/>
      <c r="R1061" s="17"/>
      <c r="S1061" s="29"/>
      <c r="T1061" s="17"/>
      <c r="U1061" s="17"/>
      <c r="V1061" s="17"/>
      <c r="W1061" s="17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</row>
    <row r="1062" hidden="1">
      <c r="A1062" s="13"/>
      <c r="B1062" s="13"/>
      <c r="C1062" s="13"/>
      <c r="D1062" s="17"/>
      <c r="E1062" s="17"/>
      <c r="F1062" s="29"/>
      <c r="G1062" s="17"/>
      <c r="H1062" s="29"/>
      <c r="I1062" s="17"/>
      <c r="J1062" s="29"/>
      <c r="K1062" s="17"/>
      <c r="L1062" s="17"/>
      <c r="M1062" s="17"/>
      <c r="N1062" s="17"/>
      <c r="O1062" s="29"/>
      <c r="P1062" s="17"/>
      <c r="Q1062" s="29"/>
      <c r="R1062" s="17"/>
      <c r="S1062" s="29"/>
      <c r="T1062" s="17"/>
      <c r="U1062" s="17"/>
      <c r="V1062" s="17"/>
      <c r="W1062" s="17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</row>
    <row r="1063" hidden="1">
      <c r="A1063" s="13"/>
      <c r="B1063" s="13"/>
      <c r="C1063" s="13"/>
      <c r="D1063" s="17"/>
      <c r="E1063" s="17"/>
      <c r="F1063" s="29"/>
      <c r="G1063" s="17"/>
      <c r="H1063" s="29"/>
      <c r="I1063" s="17"/>
      <c r="J1063" s="29"/>
      <c r="K1063" s="17"/>
      <c r="L1063" s="17"/>
      <c r="M1063" s="17"/>
      <c r="N1063" s="17"/>
      <c r="O1063" s="29"/>
      <c r="P1063" s="17"/>
      <c r="Q1063" s="29"/>
      <c r="R1063" s="17"/>
      <c r="S1063" s="29"/>
      <c r="T1063" s="17"/>
      <c r="U1063" s="17"/>
      <c r="V1063" s="17"/>
      <c r="W1063" s="17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</row>
    <row r="1064" hidden="1">
      <c r="A1064" s="13"/>
      <c r="B1064" s="13"/>
      <c r="C1064" s="13"/>
      <c r="D1064" s="17"/>
      <c r="E1064" s="17"/>
      <c r="F1064" s="29"/>
      <c r="G1064" s="17"/>
      <c r="H1064" s="29"/>
      <c r="I1064" s="17"/>
      <c r="J1064" s="29"/>
      <c r="K1064" s="17"/>
      <c r="L1064" s="17"/>
      <c r="M1064" s="17"/>
      <c r="N1064" s="17"/>
      <c r="O1064" s="29"/>
      <c r="P1064" s="17"/>
      <c r="Q1064" s="29"/>
      <c r="R1064" s="17"/>
      <c r="S1064" s="29"/>
      <c r="T1064" s="17"/>
      <c r="U1064" s="17"/>
      <c r="V1064" s="17"/>
      <c r="W1064" s="17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</row>
    <row r="1065" hidden="1">
      <c r="A1065" s="13"/>
      <c r="B1065" s="13"/>
      <c r="C1065" s="13"/>
      <c r="D1065" s="17"/>
      <c r="E1065" s="17"/>
      <c r="F1065" s="29"/>
      <c r="G1065" s="17"/>
      <c r="H1065" s="29"/>
      <c r="I1065" s="17"/>
      <c r="J1065" s="29"/>
      <c r="K1065" s="17"/>
      <c r="L1065" s="17"/>
      <c r="M1065" s="17"/>
      <c r="N1065" s="17"/>
      <c r="O1065" s="29"/>
      <c r="P1065" s="17"/>
      <c r="Q1065" s="29"/>
      <c r="R1065" s="17"/>
      <c r="S1065" s="29"/>
      <c r="T1065" s="17"/>
      <c r="U1065" s="17"/>
      <c r="V1065" s="17"/>
      <c r="W1065" s="17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</row>
    <row r="1066" hidden="1">
      <c r="A1066" s="13"/>
      <c r="B1066" s="13"/>
      <c r="C1066" s="13"/>
      <c r="D1066" s="17"/>
      <c r="E1066" s="17"/>
      <c r="F1066" s="29"/>
      <c r="G1066" s="17"/>
      <c r="H1066" s="29"/>
      <c r="I1066" s="17"/>
      <c r="J1066" s="29"/>
      <c r="K1066" s="17"/>
      <c r="L1066" s="17"/>
      <c r="M1066" s="17"/>
      <c r="N1066" s="17"/>
      <c r="O1066" s="29"/>
      <c r="P1066" s="17"/>
      <c r="Q1066" s="29"/>
      <c r="R1066" s="17"/>
      <c r="S1066" s="29"/>
      <c r="T1066" s="17"/>
      <c r="U1066" s="17"/>
      <c r="V1066" s="17"/>
      <c r="W1066" s="17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</row>
    <row r="1067" hidden="1">
      <c r="A1067" s="13"/>
      <c r="B1067" s="13"/>
      <c r="C1067" s="13"/>
      <c r="D1067" s="17"/>
      <c r="E1067" s="17"/>
      <c r="F1067" s="29"/>
      <c r="G1067" s="17"/>
      <c r="H1067" s="29"/>
      <c r="I1067" s="17"/>
      <c r="J1067" s="29"/>
      <c r="K1067" s="17"/>
      <c r="L1067" s="17"/>
      <c r="M1067" s="17"/>
      <c r="N1067" s="17"/>
      <c r="O1067" s="29"/>
      <c r="P1067" s="17"/>
      <c r="Q1067" s="29"/>
      <c r="R1067" s="17"/>
      <c r="S1067" s="29"/>
      <c r="T1067" s="17"/>
      <c r="U1067" s="17"/>
      <c r="V1067" s="17"/>
      <c r="W1067" s="17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</row>
    <row r="1068" hidden="1">
      <c r="A1068" s="13"/>
      <c r="B1068" s="13"/>
      <c r="C1068" s="13"/>
      <c r="D1068" s="17"/>
      <c r="E1068" s="17"/>
      <c r="F1068" s="29"/>
      <c r="G1068" s="17"/>
      <c r="H1068" s="29"/>
      <c r="I1068" s="17"/>
      <c r="J1068" s="29"/>
      <c r="K1068" s="17"/>
      <c r="L1068" s="17"/>
      <c r="M1068" s="17"/>
      <c r="N1068" s="17"/>
      <c r="O1068" s="29"/>
      <c r="P1068" s="17"/>
      <c r="Q1068" s="29"/>
      <c r="R1068" s="17"/>
      <c r="S1068" s="29"/>
      <c r="T1068" s="17"/>
      <c r="U1068" s="17"/>
      <c r="V1068" s="17"/>
      <c r="W1068" s="17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</row>
    <row r="1069" hidden="1">
      <c r="A1069" s="13"/>
      <c r="B1069" s="13"/>
      <c r="C1069" s="13"/>
      <c r="D1069" s="17"/>
      <c r="E1069" s="17"/>
      <c r="F1069" s="29"/>
      <c r="G1069" s="17"/>
      <c r="H1069" s="29"/>
      <c r="I1069" s="17"/>
      <c r="J1069" s="29"/>
      <c r="K1069" s="17"/>
      <c r="L1069" s="17"/>
      <c r="M1069" s="17"/>
      <c r="N1069" s="17"/>
      <c r="O1069" s="29"/>
      <c r="P1069" s="17"/>
      <c r="Q1069" s="29"/>
      <c r="R1069" s="17"/>
      <c r="S1069" s="29"/>
      <c r="T1069" s="17"/>
      <c r="U1069" s="17"/>
      <c r="V1069" s="17"/>
      <c r="W1069" s="17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</row>
    <row r="1070" hidden="1">
      <c r="A1070" s="13"/>
      <c r="B1070" s="13"/>
      <c r="C1070" s="13"/>
      <c r="D1070" s="17"/>
      <c r="E1070" s="17"/>
      <c r="F1070" s="29"/>
      <c r="G1070" s="17"/>
      <c r="H1070" s="29"/>
      <c r="I1070" s="17"/>
      <c r="J1070" s="29"/>
      <c r="K1070" s="17"/>
      <c r="L1070" s="17"/>
      <c r="M1070" s="17"/>
      <c r="N1070" s="17"/>
      <c r="O1070" s="29"/>
      <c r="P1070" s="17"/>
      <c r="Q1070" s="29"/>
      <c r="R1070" s="17"/>
      <c r="S1070" s="29"/>
      <c r="T1070" s="17"/>
      <c r="U1070" s="17"/>
      <c r="V1070" s="17"/>
      <c r="W1070" s="17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</row>
    <row r="1071" hidden="1">
      <c r="A1071" s="13"/>
      <c r="B1071" s="13"/>
      <c r="C1071" s="13"/>
      <c r="D1071" s="17"/>
      <c r="E1071" s="17"/>
      <c r="F1071" s="29"/>
      <c r="G1071" s="17"/>
      <c r="H1071" s="29"/>
      <c r="I1071" s="17"/>
      <c r="J1071" s="29"/>
      <c r="K1071" s="17"/>
      <c r="L1071" s="17"/>
      <c r="M1071" s="17"/>
      <c r="N1071" s="17"/>
      <c r="O1071" s="29"/>
      <c r="P1071" s="17"/>
      <c r="Q1071" s="29"/>
      <c r="R1071" s="17"/>
      <c r="S1071" s="29"/>
      <c r="T1071" s="17"/>
      <c r="U1071" s="17"/>
      <c r="V1071" s="17"/>
      <c r="W1071" s="17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</row>
    <row r="1072" hidden="1">
      <c r="A1072" s="13"/>
      <c r="B1072" s="13"/>
      <c r="C1072" s="13"/>
      <c r="D1072" s="17"/>
      <c r="E1072" s="17"/>
      <c r="F1072" s="29"/>
      <c r="G1072" s="17"/>
      <c r="H1072" s="29"/>
      <c r="I1072" s="17"/>
      <c r="J1072" s="29"/>
      <c r="K1072" s="17"/>
      <c r="L1072" s="17"/>
      <c r="M1072" s="17"/>
      <c r="N1072" s="17"/>
      <c r="O1072" s="29"/>
      <c r="P1072" s="17"/>
      <c r="Q1072" s="29"/>
      <c r="R1072" s="17"/>
      <c r="S1072" s="29"/>
      <c r="T1072" s="17"/>
      <c r="U1072" s="17"/>
      <c r="V1072" s="17"/>
      <c r="W1072" s="17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</row>
    <row r="1073" hidden="1">
      <c r="A1073" s="13"/>
      <c r="B1073" s="13"/>
      <c r="C1073" s="13"/>
      <c r="D1073" s="17"/>
      <c r="E1073" s="17"/>
      <c r="F1073" s="29"/>
      <c r="G1073" s="17"/>
      <c r="H1073" s="29"/>
      <c r="I1073" s="17"/>
      <c r="J1073" s="29"/>
      <c r="K1073" s="17"/>
      <c r="L1073" s="17"/>
      <c r="M1073" s="17"/>
      <c r="N1073" s="17"/>
      <c r="O1073" s="29"/>
      <c r="P1073" s="17"/>
      <c r="Q1073" s="29"/>
      <c r="R1073" s="17"/>
      <c r="S1073" s="29"/>
      <c r="T1073" s="17"/>
      <c r="U1073" s="17"/>
      <c r="V1073" s="17"/>
      <c r="W1073" s="17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</row>
    <row r="1074" hidden="1">
      <c r="A1074" s="13"/>
      <c r="B1074" s="13"/>
      <c r="C1074" s="13"/>
      <c r="D1074" s="17"/>
      <c r="E1074" s="17"/>
      <c r="F1074" s="29"/>
      <c r="G1074" s="17"/>
      <c r="H1074" s="29"/>
      <c r="I1074" s="17"/>
      <c r="J1074" s="29"/>
      <c r="K1074" s="17"/>
      <c r="L1074" s="17"/>
      <c r="M1074" s="17"/>
      <c r="N1074" s="17"/>
      <c r="O1074" s="29"/>
      <c r="P1074" s="17"/>
      <c r="Q1074" s="29"/>
      <c r="R1074" s="17"/>
      <c r="S1074" s="29"/>
      <c r="T1074" s="17"/>
      <c r="U1074" s="17"/>
      <c r="V1074" s="17"/>
      <c r="W1074" s="17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</row>
    <row r="1075" hidden="1">
      <c r="A1075" s="13"/>
      <c r="B1075" s="13"/>
      <c r="C1075" s="13"/>
      <c r="D1075" s="17"/>
      <c r="E1075" s="17"/>
      <c r="F1075" s="29"/>
      <c r="G1075" s="17"/>
      <c r="H1075" s="29"/>
      <c r="I1075" s="17"/>
      <c r="J1075" s="29"/>
      <c r="K1075" s="17"/>
      <c r="L1075" s="17"/>
      <c r="M1075" s="17"/>
      <c r="N1075" s="17"/>
      <c r="O1075" s="29"/>
      <c r="P1075" s="17"/>
      <c r="Q1075" s="29"/>
      <c r="R1075" s="17"/>
      <c r="S1075" s="29"/>
      <c r="T1075" s="17"/>
      <c r="U1075" s="17"/>
      <c r="V1075" s="17"/>
      <c r="W1075" s="17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</row>
    <row r="1076" hidden="1">
      <c r="A1076" s="13"/>
      <c r="B1076" s="13"/>
      <c r="C1076" s="13"/>
      <c r="D1076" s="17"/>
      <c r="E1076" s="17"/>
      <c r="F1076" s="29"/>
      <c r="G1076" s="17"/>
      <c r="H1076" s="29"/>
      <c r="I1076" s="17"/>
      <c r="J1076" s="29"/>
      <c r="K1076" s="17"/>
      <c r="L1076" s="17"/>
      <c r="M1076" s="17"/>
      <c r="N1076" s="17"/>
      <c r="O1076" s="29"/>
      <c r="P1076" s="17"/>
      <c r="Q1076" s="29"/>
      <c r="R1076" s="17"/>
      <c r="S1076" s="29"/>
      <c r="T1076" s="17"/>
      <c r="U1076" s="17"/>
      <c r="V1076" s="17"/>
      <c r="W1076" s="17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</row>
    <row r="1077" hidden="1">
      <c r="A1077" s="13"/>
      <c r="B1077" s="13"/>
      <c r="C1077" s="13"/>
      <c r="D1077" s="17"/>
      <c r="E1077" s="17"/>
      <c r="F1077" s="29"/>
      <c r="G1077" s="17"/>
      <c r="H1077" s="29"/>
      <c r="I1077" s="17"/>
      <c r="J1077" s="29"/>
      <c r="K1077" s="17"/>
      <c r="L1077" s="17"/>
      <c r="M1077" s="17"/>
      <c r="N1077" s="17"/>
      <c r="O1077" s="29"/>
      <c r="P1077" s="17"/>
      <c r="Q1077" s="29"/>
      <c r="R1077" s="17"/>
      <c r="S1077" s="29"/>
      <c r="T1077" s="17"/>
      <c r="U1077" s="17"/>
      <c r="V1077" s="17"/>
      <c r="W1077" s="17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</row>
    <row r="1078" hidden="1">
      <c r="A1078" s="13"/>
      <c r="B1078" s="13"/>
      <c r="C1078" s="13"/>
      <c r="D1078" s="17"/>
      <c r="E1078" s="17"/>
      <c r="F1078" s="29"/>
      <c r="G1078" s="17"/>
      <c r="H1078" s="29"/>
      <c r="I1078" s="17"/>
      <c r="J1078" s="29"/>
      <c r="K1078" s="17"/>
      <c r="L1078" s="17"/>
      <c r="M1078" s="17"/>
      <c r="N1078" s="17"/>
      <c r="O1078" s="29"/>
      <c r="P1078" s="17"/>
      <c r="Q1078" s="29"/>
      <c r="R1078" s="17"/>
      <c r="S1078" s="29"/>
      <c r="T1078" s="17"/>
      <c r="U1078" s="17"/>
      <c r="V1078" s="17"/>
      <c r="W1078" s="17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</row>
    <row r="1079" hidden="1">
      <c r="A1079" s="13"/>
      <c r="B1079" s="13"/>
      <c r="C1079" s="13"/>
      <c r="D1079" s="17"/>
      <c r="E1079" s="17"/>
      <c r="F1079" s="29"/>
      <c r="G1079" s="17"/>
      <c r="H1079" s="29"/>
      <c r="I1079" s="17"/>
      <c r="J1079" s="29"/>
      <c r="K1079" s="17"/>
      <c r="L1079" s="17"/>
      <c r="M1079" s="17"/>
      <c r="N1079" s="17"/>
      <c r="O1079" s="29"/>
      <c r="P1079" s="17"/>
      <c r="Q1079" s="29"/>
      <c r="R1079" s="17"/>
      <c r="S1079" s="29"/>
      <c r="T1079" s="17"/>
      <c r="U1079" s="17"/>
      <c r="V1079" s="17"/>
      <c r="W1079" s="17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</row>
    <row r="1080" hidden="1">
      <c r="A1080" s="13"/>
      <c r="B1080" s="13"/>
      <c r="C1080" s="13"/>
      <c r="D1080" s="17"/>
      <c r="E1080" s="17"/>
      <c r="F1080" s="29"/>
      <c r="G1080" s="17"/>
      <c r="H1080" s="29"/>
      <c r="I1080" s="17"/>
      <c r="J1080" s="29"/>
      <c r="K1080" s="17"/>
      <c r="L1080" s="17"/>
      <c r="M1080" s="17"/>
      <c r="N1080" s="17"/>
      <c r="O1080" s="29"/>
      <c r="P1080" s="17"/>
      <c r="Q1080" s="29"/>
      <c r="R1080" s="17"/>
      <c r="S1080" s="29"/>
      <c r="T1080" s="17"/>
      <c r="U1080" s="17"/>
      <c r="V1080" s="17"/>
      <c r="W1080" s="17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</row>
    <row r="1081" hidden="1">
      <c r="A1081" s="13"/>
      <c r="B1081" s="13"/>
      <c r="C1081" s="13"/>
      <c r="D1081" s="17"/>
      <c r="E1081" s="17"/>
      <c r="F1081" s="29"/>
      <c r="G1081" s="17"/>
      <c r="H1081" s="29"/>
      <c r="I1081" s="17"/>
      <c r="J1081" s="29"/>
      <c r="K1081" s="17"/>
      <c r="L1081" s="17"/>
      <c r="M1081" s="17"/>
      <c r="N1081" s="17"/>
      <c r="O1081" s="29"/>
      <c r="P1081" s="17"/>
      <c r="Q1081" s="29"/>
      <c r="R1081" s="17"/>
      <c r="S1081" s="29"/>
      <c r="T1081" s="17"/>
      <c r="U1081" s="17"/>
      <c r="V1081" s="17"/>
      <c r="W1081" s="17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</row>
    <row r="1082" hidden="1">
      <c r="A1082" s="13"/>
      <c r="B1082" s="13"/>
      <c r="C1082" s="13"/>
      <c r="D1082" s="17"/>
      <c r="E1082" s="17"/>
      <c r="F1082" s="29"/>
      <c r="G1082" s="17"/>
      <c r="H1082" s="29"/>
      <c r="I1082" s="17"/>
      <c r="J1082" s="29"/>
      <c r="K1082" s="17"/>
      <c r="L1082" s="17"/>
      <c r="M1082" s="17"/>
      <c r="N1082" s="17"/>
      <c r="O1082" s="29"/>
      <c r="P1082" s="17"/>
      <c r="Q1082" s="29"/>
      <c r="R1082" s="17"/>
      <c r="S1082" s="29"/>
      <c r="T1082" s="17"/>
      <c r="U1082" s="17"/>
      <c r="V1082" s="17"/>
      <c r="W1082" s="17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</row>
    <row r="1083" hidden="1">
      <c r="A1083" s="13"/>
      <c r="B1083" s="13"/>
      <c r="C1083" s="13"/>
      <c r="D1083" s="17"/>
      <c r="E1083" s="17"/>
      <c r="F1083" s="29"/>
      <c r="G1083" s="17"/>
      <c r="H1083" s="29"/>
      <c r="I1083" s="17"/>
      <c r="J1083" s="29"/>
      <c r="K1083" s="17"/>
      <c r="L1083" s="17"/>
      <c r="M1083" s="17"/>
      <c r="N1083" s="17"/>
      <c r="O1083" s="29"/>
      <c r="P1083" s="17"/>
      <c r="Q1083" s="29"/>
      <c r="R1083" s="17"/>
      <c r="S1083" s="29"/>
      <c r="T1083" s="17"/>
      <c r="U1083" s="17"/>
      <c r="V1083" s="17"/>
      <c r="W1083" s="17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</row>
    <row r="1084" hidden="1">
      <c r="A1084" s="13"/>
      <c r="B1084" s="13"/>
      <c r="C1084" s="13"/>
      <c r="D1084" s="17"/>
      <c r="E1084" s="17"/>
      <c r="F1084" s="29"/>
      <c r="G1084" s="17"/>
      <c r="H1084" s="29"/>
      <c r="I1084" s="17"/>
      <c r="J1084" s="29"/>
      <c r="K1084" s="17"/>
      <c r="L1084" s="17"/>
      <c r="M1084" s="17"/>
      <c r="N1084" s="17"/>
      <c r="O1084" s="29"/>
      <c r="P1084" s="17"/>
      <c r="Q1084" s="29"/>
      <c r="R1084" s="17"/>
      <c r="S1084" s="29"/>
      <c r="T1084" s="17"/>
      <c r="U1084" s="17"/>
      <c r="V1084" s="17"/>
      <c r="W1084" s="17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</row>
    <row r="1085" hidden="1">
      <c r="A1085" s="13"/>
      <c r="B1085" s="13"/>
      <c r="C1085" s="13"/>
      <c r="D1085" s="17"/>
      <c r="E1085" s="17"/>
      <c r="F1085" s="29"/>
      <c r="G1085" s="17"/>
      <c r="H1085" s="29"/>
      <c r="I1085" s="17"/>
      <c r="J1085" s="29"/>
      <c r="K1085" s="17"/>
      <c r="L1085" s="17"/>
      <c r="M1085" s="17"/>
      <c r="N1085" s="17"/>
      <c r="O1085" s="29"/>
      <c r="P1085" s="17"/>
      <c r="Q1085" s="29"/>
      <c r="R1085" s="17"/>
      <c r="S1085" s="29"/>
      <c r="T1085" s="17"/>
      <c r="U1085" s="17"/>
      <c r="V1085" s="17"/>
      <c r="W1085" s="17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</row>
    <row r="1086" hidden="1">
      <c r="A1086" s="13"/>
      <c r="B1086" s="13"/>
      <c r="C1086" s="13"/>
      <c r="D1086" s="17"/>
      <c r="E1086" s="17"/>
      <c r="F1086" s="29"/>
      <c r="G1086" s="17"/>
      <c r="H1086" s="29"/>
      <c r="I1086" s="17"/>
      <c r="J1086" s="29"/>
      <c r="K1086" s="17"/>
      <c r="L1086" s="17"/>
      <c r="M1086" s="17"/>
      <c r="N1086" s="17"/>
      <c r="O1086" s="29"/>
      <c r="P1086" s="17"/>
      <c r="Q1086" s="29"/>
      <c r="R1086" s="17"/>
      <c r="S1086" s="29"/>
      <c r="T1086" s="17"/>
      <c r="U1086" s="17"/>
      <c r="V1086" s="17"/>
      <c r="W1086" s="17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</row>
    <row r="1087" hidden="1">
      <c r="A1087" s="13"/>
      <c r="B1087" s="13"/>
      <c r="C1087" s="13"/>
      <c r="D1087" s="17"/>
      <c r="E1087" s="17"/>
      <c r="F1087" s="29"/>
      <c r="G1087" s="17"/>
      <c r="H1087" s="29"/>
      <c r="I1087" s="17"/>
      <c r="J1087" s="29"/>
      <c r="K1087" s="17"/>
      <c r="L1087" s="17"/>
      <c r="M1087" s="17"/>
      <c r="N1087" s="17"/>
      <c r="O1087" s="29"/>
      <c r="P1087" s="17"/>
      <c r="Q1087" s="29"/>
      <c r="R1087" s="17"/>
      <c r="S1087" s="29"/>
      <c r="T1087" s="17"/>
      <c r="U1087" s="17"/>
      <c r="V1087" s="17"/>
      <c r="W1087" s="17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</row>
    <row r="1088" hidden="1">
      <c r="A1088" s="13"/>
      <c r="B1088" s="13"/>
      <c r="C1088" s="13"/>
      <c r="D1088" s="17"/>
      <c r="E1088" s="17"/>
      <c r="F1088" s="29"/>
      <c r="G1088" s="17"/>
      <c r="H1088" s="29"/>
      <c r="I1088" s="17"/>
      <c r="J1088" s="29"/>
      <c r="K1088" s="17"/>
      <c r="L1088" s="17"/>
      <c r="M1088" s="17"/>
      <c r="N1088" s="17"/>
      <c r="O1088" s="29"/>
      <c r="P1088" s="17"/>
      <c r="Q1088" s="29"/>
      <c r="R1088" s="17"/>
      <c r="S1088" s="29"/>
      <c r="T1088" s="17"/>
      <c r="U1088" s="17"/>
      <c r="V1088" s="17"/>
      <c r="W1088" s="17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</row>
    <row r="1089" hidden="1">
      <c r="A1089" s="13"/>
      <c r="B1089" s="13"/>
      <c r="C1089" s="13"/>
      <c r="D1089" s="17"/>
      <c r="E1089" s="17"/>
      <c r="F1089" s="29"/>
      <c r="G1089" s="17"/>
      <c r="H1089" s="29"/>
      <c r="I1089" s="17"/>
      <c r="J1089" s="29"/>
      <c r="K1089" s="17"/>
      <c r="L1089" s="17"/>
      <c r="M1089" s="17"/>
      <c r="N1089" s="17"/>
      <c r="O1089" s="29"/>
      <c r="P1089" s="17"/>
      <c r="Q1089" s="29"/>
      <c r="R1089" s="17"/>
      <c r="S1089" s="29"/>
      <c r="T1089" s="17"/>
      <c r="U1089" s="17"/>
      <c r="V1089" s="17"/>
      <c r="W1089" s="17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</row>
    <row r="1090" hidden="1">
      <c r="A1090" s="13"/>
      <c r="B1090" s="13"/>
      <c r="C1090" s="13"/>
      <c r="D1090" s="17"/>
      <c r="E1090" s="17"/>
      <c r="F1090" s="29"/>
      <c r="G1090" s="17"/>
      <c r="H1090" s="29"/>
      <c r="I1090" s="17"/>
      <c r="J1090" s="29"/>
      <c r="K1090" s="17"/>
      <c r="L1090" s="17"/>
      <c r="M1090" s="17"/>
      <c r="N1090" s="17"/>
      <c r="O1090" s="29"/>
      <c r="P1090" s="17"/>
      <c r="Q1090" s="29"/>
      <c r="R1090" s="17"/>
      <c r="S1090" s="29"/>
      <c r="T1090" s="17"/>
      <c r="U1090" s="17"/>
      <c r="V1090" s="17"/>
      <c r="W1090" s="17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</row>
    <row r="1091" hidden="1">
      <c r="A1091" s="13"/>
      <c r="B1091" s="13"/>
      <c r="C1091" s="13"/>
      <c r="D1091" s="17"/>
      <c r="E1091" s="17"/>
      <c r="F1091" s="29"/>
      <c r="G1091" s="17"/>
      <c r="H1091" s="29"/>
      <c r="I1091" s="17"/>
      <c r="J1091" s="29"/>
      <c r="K1091" s="17"/>
      <c r="L1091" s="17"/>
      <c r="M1091" s="17"/>
      <c r="N1091" s="17"/>
      <c r="O1091" s="29"/>
      <c r="P1091" s="17"/>
      <c r="Q1091" s="29"/>
      <c r="R1091" s="17"/>
      <c r="S1091" s="29"/>
      <c r="T1091" s="17"/>
      <c r="U1091" s="17"/>
      <c r="V1091" s="17"/>
      <c r="W1091" s="17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</row>
    <row r="1092" hidden="1">
      <c r="A1092" s="13"/>
      <c r="B1092" s="13"/>
      <c r="C1092" s="13"/>
      <c r="D1092" s="17"/>
      <c r="E1092" s="17"/>
      <c r="F1092" s="29"/>
      <c r="G1092" s="17"/>
      <c r="H1092" s="29"/>
      <c r="I1092" s="17"/>
      <c r="J1092" s="29"/>
      <c r="K1092" s="17"/>
      <c r="L1092" s="17"/>
      <c r="M1092" s="17"/>
      <c r="N1092" s="17"/>
      <c r="O1092" s="29"/>
      <c r="P1092" s="17"/>
      <c r="Q1092" s="29"/>
      <c r="R1092" s="17"/>
      <c r="S1092" s="29"/>
      <c r="T1092" s="17"/>
      <c r="U1092" s="17"/>
      <c r="V1092" s="17"/>
      <c r="W1092" s="17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</row>
    <row r="1093" hidden="1">
      <c r="A1093" s="13"/>
      <c r="B1093" s="13"/>
      <c r="C1093" s="13"/>
      <c r="D1093" s="17"/>
      <c r="E1093" s="17"/>
      <c r="F1093" s="29"/>
      <c r="G1093" s="17"/>
      <c r="H1093" s="29"/>
      <c r="I1093" s="17"/>
      <c r="J1093" s="29"/>
      <c r="K1093" s="17"/>
      <c r="L1093" s="17"/>
      <c r="M1093" s="17"/>
      <c r="N1093" s="17"/>
      <c r="O1093" s="29"/>
      <c r="P1093" s="17"/>
      <c r="Q1093" s="29"/>
      <c r="R1093" s="17"/>
      <c r="S1093" s="29"/>
      <c r="T1093" s="17"/>
      <c r="U1093" s="17"/>
      <c r="V1093" s="17"/>
      <c r="W1093" s="17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</row>
    <row r="1094" hidden="1">
      <c r="A1094" s="13"/>
      <c r="B1094" s="13"/>
      <c r="C1094" s="13"/>
      <c r="D1094" s="17"/>
      <c r="E1094" s="17"/>
      <c r="F1094" s="29"/>
      <c r="G1094" s="17"/>
      <c r="H1094" s="29"/>
      <c r="I1094" s="17"/>
      <c r="J1094" s="29"/>
      <c r="K1094" s="17"/>
      <c r="L1094" s="17"/>
      <c r="M1094" s="17"/>
      <c r="N1094" s="17"/>
      <c r="O1094" s="29"/>
      <c r="P1094" s="17"/>
      <c r="Q1094" s="29"/>
      <c r="R1094" s="17"/>
      <c r="S1094" s="29"/>
      <c r="T1094" s="17"/>
      <c r="U1094" s="17"/>
      <c r="V1094" s="17"/>
      <c r="W1094" s="17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</row>
    <row r="1095" hidden="1">
      <c r="A1095" s="13"/>
      <c r="B1095" s="13"/>
      <c r="C1095" s="13"/>
      <c r="D1095" s="17"/>
      <c r="E1095" s="17"/>
      <c r="F1095" s="29"/>
      <c r="G1095" s="17"/>
      <c r="H1095" s="29"/>
      <c r="I1095" s="17"/>
      <c r="J1095" s="29"/>
      <c r="K1095" s="17"/>
      <c r="L1095" s="17"/>
      <c r="M1095" s="17"/>
      <c r="N1095" s="17"/>
      <c r="O1095" s="29"/>
      <c r="P1095" s="17"/>
      <c r="Q1095" s="29"/>
      <c r="R1095" s="17"/>
      <c r="S1095" s="29"/>
      <c r="T1095" s="17"/>
      <c r="U1095" s="17"/>
      <c r="V1095" s="17"/>
      <c r="W1095" s="17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</row>
    <row r="1096" hidden="1">
      <c r="A1096" s="13"/>
      <c r="B1096" s="13"/>
      <c r="C1096" s="13"/>
      <c r="D1096" s="17"/>
      <c r="E1096" s="17"/>
      <c r="F1096" s="29"/>
      <c r="G1096" s="17"/>
      <c r="H1096" s="29"/>
      <c r="I1096" s="17"/>
      <c r="J1096" s="29"/>
      <c r="K1096" s="17"/>
      <c r="L1096" s="17"/>
      <c r="M1096" s="17"/>
      <c r="N1096" s="17"/>
      <c r="O1096" s="29"/>
      <c r="P1096" s="17"/>
      <c r="Q1096" s="29"/>
      <c r="R1096" s="17"/>
      <c r="S1096" s="29"/>
      <c r="T1096" s="17"/>
      <c r="U1096" s="17"/>
      <c r="V1096" s="17"/>
      <c r="W1096" s="17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</row>
    <row r="1097" hidden="1">
      <c r="A1097" s="13"/>
      <c r="B1097" s="13"/>
      <c r="C1097" s="13"/>
      <c r="D1097" s="17"/>
      <c r="E1097" s="17"/>
      <c r="F1097" s="29"/>
      <c r="G1097" s="17"/>
      <c r="H1097" s="29"/>
      <c r="I1097" s="17"/>
      <c r="J1097" s="29"/>
      <c r="K1097" s="17"/>
      <c r="L1097" s="17"/>
      <c r="M1097" s="17"/>
      <c r="N1097" s="17"/>
      <c r="O1097" s="29"/>
      <c r="P1097" s="17"/>
      <c r="Q1097" s="29"/>
      <c r="R1097" s="17"/>
      <c r="S1097" s="29"/>
      <c r="T1097" s="17"/>
      <c r="U1097" s="17"/>
      <c r="V1097" s="17"/>
      <c r="W1097" s="17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</row>
    <row r="1098" hidden="1">
      <c r="A1098" s="13"/>
      <c r="B1098" s="13"/>
      <c r="C1098" s="13"/>
      <c r="D1098" s="17"/>
      <c r="E1098" s="17"/>
      <c r="F1098" s="29"/>
      <c r="G1098" s="17"/>
      <c r="H1098" s="29"/>
      <c r="I1098" s="17"/>
      <c r="J1098" s="29"/>
      <c r="K1098" s="17"/>
      <c r="L1098" s="17"/>
      <c r="M1098" s="17"/>
      <c r="N1098" s="17"/>
      <c r="O1098" s="29"/>
      <c r="P1098" s="17"/>
      <c r="Q1098" s="29"/>
      <c r="R1098" s="17"/>
      <c r="S1098" s="29"/>
      <c r="T1098" s="17"/>
      <c r="U1098" s="17"/>
      <c r="V1098" s="17"/>
      <c r="W1098" s="17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</row>
    <row r="1099" hidden="1">
      <c r="A1099" s="13"/>
      <c r="B1099" s="13"/>
      <c r="C1099" s="13"/>
      <c r="D1099" s="17"/>
      <c r="E1099" s="17"/>
      <c r="F1099" s="29"/>
      <c r="G1099" s="17"/>
      <c r="H1099" s="29"/>
      <c r="I1099" s="17"/>
      <c r="J1099" s="29"/>
      <c r="K1099" s="17"/>
      <c r="L1099" s="17"/>
      <c r="M1099" s="17"/>
      <c r="N1099" s="17"/>
      <c r="O1099" s="29"/>
      <c r="P1099" s="17"/>
      <c r="Q1099" s="29"/>
      <c r="R1099" s="17"/>
      <c r="S1099" s="29"/>
      <c r="T1099" s="17"/>
      <c r="U1099" s="17"/>
      <c r="V1099" s="17"/>
      <c r="W1099" s="17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</row>
    <row r="1100" hidden="1">
      <c r="A1100" s="13"/>
      <c r="B1100" s="13"/>
      <c r="C1100" s="13"/>
      <c r="D1100" s="17"/>
      <c r="E1100" s="17"/>
      <c r="F1100" s="29"/>
      <c r="G1100" s="17"/>
      <c r="H1100" s="29"/>
      <c r="I1100" s="17"/>
      <c r="J1100" s="29"/>
      <c r="K1100" s="17"/>
      <c r="L1100" s="17"/>
      <c r="M1100" s="17"/>
      <c r="N1100" s="17"/>
      <c r="O1100" s="29"/>
      <c r="P1100" s="17"/>
      <c r="Q1100" s="29"/>
      <c r="R1100" s="17"/>
      <c r="S1100" s="29"/>
      <c r="T1100" s="17"/>
      <c r="U1100" s="17"/>
      <c r="V1100" s="17"/>
      <c r="W1100" s="17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</row>
    <row r="1101" hidden="1">
      <c r="A1101" s="13"/>
      <c r="B1101" s="13"/>
      <c r="C1101" s="13"/>
      <c r="D1101" s="17"/>
      <c r="E1101" s="17"/>
      <c r="F1101" s="29"/>
      <c r="G1101" s="17"/>
      <c r="H1101" s="29"/>
      <c r="I1101" s="17"/>
      <c r="J1101" s="29"/>
      <c r="K1101" s="17"/>
      <c r="L1101" s="17"/>
      <c r="M1101" s="17"/>
      <c r="N1101" s="17"/>
      <c r="O1101" s="29"/>
      <c r="P1101" s="17"/>
      <c r="Q1101" s="29"/>
      <c r="R1101" s="17"/>
      <c r="S1101" s="29"/>
      <c r="T1101" s="17"/>
      <c r="U1101" s="17"/>
      <c r="V1101" s="17"/>
      <c r="W1101" s="17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</row>
    <row r="1102" hidden="1">
      <c r="A1102" s="13"/>
      <c r="B1102" s="13"/>
      <c r="C1102" s="13"/>
      <c r="D1102" s="17"/>
      <c r="E1102" s="17"/>
      <c r="F1102" s="29"/>
      <c r="G1102" s="17"/>
      <c r="H1102" s="29"/>
      <c r="I1102" s="17"/>
      <c r="J1102" s="29"/>
      <c r="K1102" s="17"/>
      <c r="L1102" s="17"/>
      <c r="M1102" s="17"/>
      <c r="N1102" s="17"/>
      <c r="O1102" s="29"/>
      <c r="P1102" s="17"/>
      <c r="Q1102" s="29"/>
      <c r="R1102" s="17"/>
      <c r="S1102" s="29"/>
      <c r="T1102" s="17"/>
      <c r="U1102" s="17"/>
      <c r="V1102" s="17"/>
      <c r="W1102" s="17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</row>
    <row r="1103" hidden="1">
      <c r="A1103" s="13"/>
      <c r="B1103" s="13"/>
      <c r="C1103" s="13"/>
      <c r="D1103" s="17"/>
      <c r="E1103" s="17"/>
      <c r="F1103" s="29"/>
      <c r="G1103" s="17"/>
      <c r="H1103" s="29"/>
      <c r="I1103" s="17"/>
      <c r="J1103" s="29"/>
      <c r="K1103" s="17"/>
      <c r="L1103" s="17"/>
      <c r="M1103" s="17"/>
      <c r="N1103" s="17"/>
      <c r="O1103" s="29"/>
      <c r="P1103" s="17"/>
      <c r="Q1103" s="29"/>
      <c r="R1103" s="17"/>
      <c r="S1103" s="29"/>
      <c r="T1103" s="17"/>
      <c r="U1103" s="17"/>
      <c r="V1103" s="17"/>
      <c r="W1103" s="17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</row>
    <row r="1104" hidden="1">
      <c r="A1104" s="13"/>
      <c r="B1104" s="13"/>
      <c r="C1104" s="13"/>
      <c r="D1104" s="17"/>
      <c r="E1104" s="17"/>
      <c r="F1104" s="29"/>
      <c r="G1104" s="17"/>
      <c r="H1104" s="29"/>
      <c r="I1104" s="17"/>
      <c r="J1104" s="29"/>
      <c r="K1104" s="17"/>
      <c r="L1104" s="17"/>
      <c r="M1104" s="17"/>
      <c r="N1104" s="17"/>
      <c r="O1104" s="29"/>
      <c r="P1104" s="17"/>
      <c r="Q1104" s="29"/>
      <c r="R1104" s="17"/>
      <c r="S1104" s="29"/>
      <c r="T1104" s="17"/>
      <c r="U1104" s="17"/>
      <c r="V1104" s="17"/>
      <c r="W1104" s="17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</row>
    <row r="1105" hidden="1">
      <c r="A1105" s="13"/>
      <c r="B1105" s="13"/>
      <c r="C1105" s="13"/>
      <c r="D1105" s="17"/>
      <c r="E1105" s="17"/>
      <c r="F1105" s="29"/>
      <c r="G1105" s="17"/>
      <c r="H1105" s="29"/>
      <c r="I1105" s="17"/>
      <c r="J1105" s="29"/>
      <c r="K1105" s="17"/>
      <c r="L1105" s="17"/>
      <c r="M1105" s="17"/>
      <c r="N1105" s="17"/>
      <c r="O1105" s="29"/>
      <c r="P1105" s="17"/>
      <c r="Q1105" s="29"/>
      <c r="R1105" s="17"/>
      <c r="S1105" s="29"/>
      <c r="T1105" s="17"/>
      <c r="U1105" s="17"/>
      <c r="V1105" s="17"/>
      <c r="W1105" s="17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</row>
    <row r="1106" hidden="1">
      <c r="A1106" s="13"/>
      <c r="B1106" s="13"/>
      <c r="C1106" s="13"/>
      <c r="D1106" s="17"/>
      <c r="E1106" s="17"/>
      <c r="F1106" s="29"/>
      <c r="G1106" s="17"/>
      <c r="H1106" s="29"/>
      <c r="I1106" s="17"/>
      <c r="J1106" s="29"/>
      <c r="K1106" s="17"/>
      <c r="L1106" s="17"/>
      <c r="M1106" s="17"/>
      <c r="N1106" s="17"/>
      <c r="O1106" s="29"/>
      <c r="P1106" s="17"/>
      <c r="Q1106" s="29"/>
      <c r="R1106" s="17"/>
      <c r="S1106" s="29"/>
      <c r="T1106" s="17"/>
      <c r="U1106" s="17"/>
      <c r="V1106" s="17"/>
      <c r="W1106" s="17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</row>
    <row r="1107" hidden="1">
      <c r="A1107" s="13"/>
      <c r="B1107" s="13"/>
      <c r="C1107" s="13"/>
      <c r="D1107" s="17"/>
      <c r="E1107" s="17"/>
      <c r="F1107" s="29"/>
      <c r="G1107" s="17"/>
      <c r="H1107" s="29"/>
      <c r="I1107" s="17"/>
      <c r="J1107" s="29"/>
      <c r="K1107" s="17"/>
      <c r="L1107" s="17"/>
      <c r="M1107" s="17"/>
      <c r="N1107" s="17"/>
      <c r="O1107" s="29"/>
      <c r="P1107" s="17"/>
      <c r="Q1107" s="29"/>
      <c r="R1107" s="17"/>
      <c r="S1107" s="29"/>
      <c r="T1107" s="17"/>
      <c r="U1107" s="17"/>
      <c r="V1107" s="17"/>
      <c r="W1107" s="17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</row>
    <row r="1108" hidden="1">
      <c r="A1108" s="13"/>
      <c r="B1108" s="13"/>
      <c r="C1108" s="13"/>
      <c r="D1108" s="17"/>
      <c r="E1108" s="17"/>
      <c r="F1108" s="29"/>
      <c r="G1108" s="17"/>
      <c r="H1108" s="29"/>
      <c r="I1108" s="17"/>
      <c r="J1108" s="29"/>
      <c r="K1108" s="17"/>
      <c r="L1108" s="17"/>
      <c r="M1108" s="17"/>
      <c r="N1108" s="17"/>
      <c r="O1108" s="29"/>
      <c r="P1108" s="17"/>
      <c r="Q1108" s="29"/>
      <c r="R1108" s="17"/>
      <c r="S1108" s="29"/>
      <c r="T1108" s="17"/>
      <c r="U1108" s="17"/>
      <c r="V1108" s="17"/>
      <c r="W1108" s="17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</row>
    <row r="1109" hidden="1">
      <c r="A1109" s="13"/>
      <c r="B1109" s="13"/>
      <c r="C1109" s="13"/>
      <c r="D1109" s="17"/>
      <c r="E1109" s="17"/>
      <c r="F1109" s="29"/>
      <c r="G1109" s="17"/>
      <c r="H1109" s="29"/>
      <c r="I1109" s="17"/>
      <c r="J1109" s="29"/>
      <c r="K1109" s="17"/>
      <c r="L1109" s="17"/>
      <c r="M1109" s="17"/>
      <c r="N1109" s="17"/>
      <c r="O1109" s="29"/>
      <c r="P1109" s="17"/>
      <c r="Q1109" s="29"/>
      <c r="R1109" s="17"/>
      <c r="S1109" s="29"/>
      <c r="T1109" s="17"/>
      <c r="U1109" s="17"/>
      <c r="V1109" s="17"/>
      <c r="W1109" s="17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</row>
    <row r="1110" hidden="1">
      <c r="A1110" s="13"/>
      <c r="B1110" s="13"/>
      <c r="C1110" s="13"/>
      <c r="D1110" s="17"/>
      <c r="E1110" s="17"/>
      <c r="F1110" s="29"/>
      <c r="G1110" s="17"/>
      <c r="H1110" s="29"/>
      <c r="I1110" s="17"/>
      <c r="J1110" s="29"/>
      <c r="K1110" s="17"/>
      <c r="L1110" s="17"/>
      <c r="M1110" s="17"/>
      <c r="N1110" s="17"/>
      <c r="O1110" s="29"/>
      <c r="P1110" s="17"/>
      <c r="Q1110" s="29"/>
      <c r="R1110" s="17"/>
      <c r="S1110" s="29"/>
      <c r="T1110" s="17"/>
      <c r="U1110" s="17"/>
      <c r="V1110" s="17"/>
      <c r="W1110" s="17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</row>
    <row r="1111" hidden="1">
      <c r="A1111" s="13"/>
      <c r="B1111" s="13"/>
      <c r="C1111" s="13"/>
      <c r="D1111" s="17"/>
      <c r="E1111" s="17"/>
      <c r="F1111" s="29"/>
      <c r="G1111" s="17"/>
      <c r="H1111" s="29"/>
      <c r="I1111" s="17"/>
      <c r="J1111" s="29"/>
      <c r="K1111" s="17"/>
      <c r="L1111" s="17"/>
      <c r="M1111" s="17"/>
      <c r="N1111" s="17"/>
      <c r="O1111" s="29"/>
      <c r="P1111" s="17"/>
      <c r="Q1111" s="29"/>
      <c r="R1111" s="17"/>
      <c r="S1111" s="29"/>
      <c r="T1111" s="17"/>
      <c r="U1111" s="17"/>
      <c r="V1111" s="17"/>
      <c r="W1111" s="17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</row>
    <row r="1112" hidden="1">
      <c r="A1112" s="13"/>
      <c r="B1112" s="13"/>
      <c r="C1112" s="13"/>
      <c r="D1112" s="17"/>
      <c r="E1112" s="17"/>
      <c r="F1112" s="29"/>
      <c r="G1112" s="17"/>
      <c r="H1112" s="29"/>
      <c r="I1112" s="17"/>
      <c r="J1112" s="29"/>
      <c r="K1112" s="17"/>
      <c r="L1112" s="17"/>
      <c r="M1112" s="17"/>
      <c r="N1112" s="17"/>
      <c r="O1112" s="29"/>
      <c r="P1112" s="17"/>
      <c r="Q1112" s="29"/>
      <c r="R1112" s="17"/>
      <c r="S1112" s="29"/>
      <c r="T1112" s="17"/>
      <c r="U1112" s="17"/>
      <c r="V1112" s="17"/>
      <c r="W1112" s="17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</row>
    <row r="1113" hidden="1">
      <c r="A1113" s="13"/>
      <c r="B1113" s="13"/>
      <c r="C1113" s="13"/>
      <c r="D1113" s="17"/>
      <c r="E1113" s="17"/>
      <c r="F1113" s="29"/>
      <c r="G1113" s="17"/>
      <c r="H1113" s="29"/>
      <c r="I1113" s="17"/>
      <c r="J1113" s="29"/>
      <c r="K1113" s="17"/>
      <c r="L1113" s="17"/>
      <c r="M1113" s="17"/>
      <c r="N1113" s="17"/>
      <c r="O1113" s="29"/>
      <c r="P1113" s="17"/>
      <c r="Q1113" s="29"/>
      <c r="R1113" s="17"/>
      <c r="S1113" s="29"/>
      <c r="T1113" s="17"/>
      <c r="U1113" s="17"/>
      <c r="V1113" s="17"/>
      <c r="W1113" s="17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</row>
    <row r="1114" hidden="1">
      <c r="A1114" s="13"/>
      <c r="B1114" s="13"/>
      <c r="C1114" s="13"/>
      <c r="D1114" s="17"/>
      <c r="E1114" s="17"/>
      <c r="F1114" s="29"/>
      <c r="G1114" s="17"/>
      <c r="H1114" s="29"/>
      <c r="I1114" s="17"/>
      <c r="J1114" s="29"/>
      <c r="K1114" s="17"/>
      <c r="L1114" s="17"/>
      <c r="M1114" s="17"/>
      <c r="N1114" s="17"/>
      <c r="O1114" s="29"/>
      <c r="P1114" s="17"/>
      <c r="Q1114" s="29"/>
      <c r="R1114" s="17"/>
      <c r="S1114" s="29"/>
      <c r="T1114" s="17"/>
      <c r="U1114" s="17"/>
      <c r="V1114" s="17"/>
      <c r="W1114" s="17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</row>
    <row r="1115" hidden="1">
      <c r="A1115" s="13"/>
      <c r="B1115" s="13"/>
      <c r="C1115" s="13"/>
      <c r="D1115" s="17"/>
      <c r="E1115" s="17"/>
      <c r="F1115" s="29"/>
      <c r="G1115" s="17"/>
      <c r="H1115" s="29"/>
      <c r="I1115" s="17"/>
      <c r="J1115" s="29"/>
      <c r="K1115" s="17"/>
      <c r="L1115" s="17"/>
      <c r="M1115" s="17"/>
      <c r="N1115" s="17"/>
      <c r="O1115" s="29"/>
      <c r="P1115" s="17"/>
      <c r="Q1115" s="29"/>
      <c r="R1115" s="17"/>
      <c r="S1115" s="29"/>
      <c r="T1115" s="17"/>
      <c r="U1115" s="17"/>
      <c r="V1115" s="17"/>
      <c r="W1115" s="17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</row>
    <row r="1116" hidden="1">
      <c r="A1116" s="13"/>
      <c r="B1116" s="13"/>
      <c r="C1116" s="13"/>
      <c r="D1116" s="17"/>
      <c r="E1116" s="17"/>
      <c r="F1116" s="29"/>
      <c r="G1116" s="17"/>
      <c r="H1116" s="29"/>
      <c r="I1116" s="17"/>
      <c r="J1116" s="29"/>
      <c r="K1116" s="17"/>
      <c r="L1116" s="17"/>
      <c r="M1116" s="17"/>
      <c r="N1116" s="17"/>
      <c r="O1116" s="29"/>
      <c r="P1116" s="17"/>
      <c r="Q1116" s="29"/>
      <c r="R1116" s="17"/>
      <c r="S1116" s="29"/>
      <c r="T1116" s="17"/>
      <c r="U1116" s="17"/>
      <c r="V1116" s="17"/>
      <c r="W1116" s="17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</row>
    <row r="1117" hidden="1">
      <c r="A1117" s="13"/>
      <c r="B1117" s="13"/>
      <c r="C1117" s="13"/>
      <c r="D1117" s="17"/>
      <c r="E1117" s="17"/>
      <c r="F1117" s="29"/>
      <c r="G1117" s="17"/>
      <c r="H1117" s="29"/>
      <c r="I1117" s="17"/>
      <c r="J1117" s="29"/>
      <c r="K1117" s="17"/>
      <c r="L1117" s="17"/>
      <c r="M1117" s="17"/>
      <c r="N1117" s="17"/>
      <c r="O1117" s="29"/>
      <c r="P1117" s="17"/>
      <c r="Q1117" s="29"/>
      <c r="R1117" s="17"/>
      <c r="S1117" s="29"/>
      <c r="T1117" s="17"/>
      <c r="U1117" s="17"/>
      <c r="V1117" s="17"/>
      <c r="W1117" s="17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</row>
    <row r="1118" hidden="1">
      <c r="A1118" s="13"/>
      <c r="B1118" s="13"/>
      <c r="C1118" s="13"/>
      <c r="D1118" s="17"/>
      <c r="E1118" s="17"/>
      <c r="F1118" s="29"/>
      <c r="G1118" s="17"/>
      <c r="H1118" s="29"/>
      <c r="I1118" s="17"/>
      <c r="J1118" s="29"/>
      <c r="K1118" s="17"/>
      <c r="L1118" s="17"/>
      <c r="M1118" s="17"/>
      <c r="N1118" s="17"/>
      <c r="O1118" s="29"/>
      <c r="P1118" s="17"/>
      <c r="Q1118" s="29"/>
      <c r="R1118" s="17"/>
      <c r="S1118" s="29"/>
      <c r="T1118" s="17"/>
      <c r="U1118" s="17"/>
      <c r="V1118" s="17"/>
      <c r="W1118" s="17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</row>
    <row r="1119" hidden="1">
      <c r="A1119" s="13"/>
      <c r="B1119" s="13"/>
      <c r="C1119" s="13"/>
      <c r="D1119" s="17"/>
      <c r="E1119" s="17"/>
      <c r="F1119" s="29"/>
      <c r="G1119" s="17"/>
      <c r="H1119" s="29"/>
      <c r="I1119" s="17"/>
      <c r="J1119" s="29"/>
      <c r="K1119" s="17"/>
      <c r="L1119" s="17"/>
      <c r="M1119" s="17"/>
      <c r="N1119" s="17"/>
      <c r="O1119" s="29"/>
      <c r="P1119" s="17"/>
      <c r="Q1119" s="29"/>
      <c r="R1119" s="17"/>
      <c r="S1119" s="29"/>
      <c r="T1119" s="17"/>
      <c r="U1119" s="17"/>
      <c r="V1119" s="17"/>
      <c r="W1119" s="17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</row>
    <row r="1120" hidden="1">
      <c r="A1120" s="13"/>
      <c r="B1120" s="13"/>
      <c r="C1120" s="13"/>
      <c r="D1120" s="17"/>
      <c r="E1120" s="17"/>
      <c r="F1120" s="29"/>
      <c r="G1120" s="17"/>
      <c r="H1120" s="29"/>
      <c r="I1120" s="17"/>
      <c r="J1120" s="29"/>
      <c r="K1120" s="17"/>
      <c r="L1120" s="17"/>
      <c r="M1120" s="17"/>
      <c r="N1120" s="17"/>
      <c r="O1120" s="29"/>
      <c r="P1120" s="17"/>
      <c r="Q1120" s="29"/>
      <c r="R1120" s="17"/>
      <c r="S1120" s="29"/>
      <c r="T1120" s="17"/>
      <c r="U1120" s="17"/>
      <c r="V1120" s="17"/>
      <c r="W1120" s="17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</row>
    <row r="1121" hidden="1">
      <c r="A1121" s="13"/>
      <c r="B1121" s="13"/>
      <c r="C1121" s="13"/>
      <c r="D1121" s="17"/>
      <c r="E1121" s="17"/>
      <c r="F1121" s="29"/>
      <c r="G1121" s="17"/>
      <c r="H1121" s="29"/>
      <c r="I1121" s="17"/>
      <c r="J1121" s="29"/>
      <c r="K1121" s="17"/>
      <c r="L1121" s="17"/>
      <c r="M1121" s="17"/>
      <c r="N1121" s="17"/>
      <c r="O1121" s="29"/>
      <c r="P1121" s="17"/>
      <c r="Q1121" s="29"/>
      <c r="R1121" s="17"/>
      <c r="S1121" s="29"/>
      <c r="T1121" s="17"/>
      <c r="U1121" s="17"/>
      <c r="V1121" s="17"/>
      <c r="W1121" s="17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</row>
    <row r="1122" hidden="1">
      <c r="A1122" s="13"/>
      <c r="B1122" s="13"/>
      <c r="C1122" s="13"/>
      <c r="D1122" s="17"/>
      <c r="E1122" s="17"/>
      <c r="F1122" s="29"/>
      <c r="G1122" s="17"/>
      <c r="H1122" s="29"/>
      <c r="I1122" s="17"/>
      <c r="J1122" s="29"/>
      <c r="K1122" s="17"/>
      <c r="L1122" s="17"/>
      <c r="M1122" s="17"/>
      <c r="N1122" s="17"/>
      <c r="O1122" s="29"/>
      <c r="P1122" s="17"/>
      <c r="Q1122" s="29"/>
      <c r="R1122" s="17"/>
      <c r="S1122" s="29"/>
      <c r="T1122" s="17"/>
      <c r="U1122" s="17"/>
      <c r="V1122" s="17"/>
      <c r="W1122" s="17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</row>
    <row r="1123" hidden="1">
      <c r="A1123" s="13"/>
      <c r="B1123" s="13"/>
      <c r="C1123" s="13"/>
      <c r="D1123" s="17"/>
      <c r="E1123" s="17"/>
      <c r="F1123" s="29"/>
      <c r="G1123" s="17"/>
      <c r="H1123" s="29"/>
      <c r="I1123" s="17"/>
      <c r="J1123" s="29"/>
      <c r="K1123" s="17"/>
      <c r="L1123" s="17"/>
      <c r="M1123" s="17"/>
      <c r="N1123" s="17"/>
      <c r="O1123" s="29"/>
      <c r="P1123" s="17"/>
      <c r="Q1123" s="29"/>
      <c r="R1123" s="17"/>
      <c r="S1123" s="29"/>
      <c r="T1123" s="17"/>
      <c r="U1123" s="17"/>
      <c r="V1123" s="17"/>
      <c r="W1123" s="17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</row>
    <row r="1124" hidden="1">
      <c r="A1124" s="13"/>
      <c r="B1124" s="13"/>
      <c r="C1124" s="13"/>
      <c r="D1124" s="17"/>
      <c r="E1124" s="17"/>
      <c r="F1124" s="29"/>
      <c r="G1124" s="17"/>
      <c r="H1124" s="29"/>
      <c r="I1124" s="17"/>
      <c r="J1124" s="29"/>
      <c r="K1124" s="17"/>
      <c r="L1124" s="17"/>
      <c r="M1124" s="17"/>
      <c r="N1124" s="17"/>
      <c r="O1124" s="29"/>
      <c r="P1124" s="17"/>
      <c r="Q1124" s="29"/>
      <c r="R1124" s="17"/>
      <c r="S1124" s="29"/>
      <c r="T1124" s="17"/>
      <c r="U1124" s="17"/>
      <c r="V1124" s="17"/>
      <c r="W1124" s="17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</row>
    <row r="1125" hidden="1">
      <c r="A1125" s="13"/>
      <c r="B1125" s="13"/>
      <c r="C1125" s="13"/>
      <c r="D1125" s="17"/>
      <c r="E1125" s="17"/>
      <c r="F1125" s="29"/>
      <c r="G1125" s="17"/>
      <c r="H1125" s="29"/>
      <c r="I1125" s="17"/>
      <c r="J1125" s="29"/>
      <c r="K1125" s="17"/>
      <c r="L1125" s="17"/>
      <c r="M1125" s="17"/>
      <c r="N1125" s="17"/>
      <c r="O1125" s="29"/>
      <c r="P1125" s="17"/>
      <c r="Q1125" s="29"/>
      <c r="R1125" s="17"/>
      <c r="S1125" s="29"/>
      <c r="T1125" s="17"/>
      <c r="U1125" s="17"/>
      <c r="V1125" s="17"/>
      <c r="W1125" s="17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</row>
    <row r="1126" hidden="1">
      <c r="A1126" s="13"/>
      <c r="B1126" s="13"/>
      <c r="C1126" s="13"/>
      <c r="D1126" s="17"/>
      <c r="E1126" s="17"/>
      <c r="F1126" s="29"/>
      <c r="G1126" s="17"/>
      <c r="H1126" s="29"/>
      <c r="I1126" s="17"/>
      <c r="J1126" s="29"/>
      <c r="K1126" s="17"/>
      <c r="L1126" s="17"/>
      <c r="M1126" s="17"/>
      <c r="N1126" s="17"/>
      <c r="O1126" s="29"/>
      <c r="P1126" s="17"/>
      <c r="Q1126" s="29"/>
      <c r="R1126" s="17"/>
      <c r="S1126" s="29"/>
      <c r="T1126" s="17"/>
      <c r="U1126" s="17"/>
      <c r="V1126" s="17"/>
      <c r="W1126" s="17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</row>
    <row r="1127" hidden="1">
      <c r="A1127" s="13"/>
      <c r="B1127" s="13"/>
      <c r="C1127" s="13"/>
      <c r="D1127" s="17"/>
      <c r="E1127" s="17"/>
      <c r="F1127" s="29"/>
      <c r="G1127" s="17"/>
      <c r="H1127" s="29"/>
      <c r="I1127" s="17"/>
      <c r="J1127" s="29"/>
      <c r="K1127" s="17"/>
      <c r="L1127" s="17"/>
      <c r="M1127" s="17"/>
      <c r="N1127" s="17"/>
      <c r="O1127" s="29"/>
      <c r="P1127" s="17"/>
      <c r="Q1127" s="29"/>
      <c r="R1127" s="17"/>
      <c r="S1127" s="29"/>
      <c r="T1127" s="17"/>
      <c r="U1127" s="17"/>
      <c r="V1127" s="17"/>
      <c r="W1127" s="17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</row>
    <row r="1128" hidden="1">
      <c r="A1128" s="13"/>
      <c r="B1128" s="13"/>
      <c r="C1128" s="13"/>
      <c r="D1128" s="17"/>
      <c r="E1128" s="17"/>
      <c r="F1128" s="29"/>
      <c r="G1128" s="17"/>
      <c r="H1128" s="29"/>
      <c r="I1128" s="17"/>
      <c r="J1128" s="29"/>
      <c r="K1128" s="17"/>
      <c r="L1128" s="17"/>
      <c r="M1128" s="17"/>
      <c r="N1128" s="17"/>
      <c r="O1128" s="29"/>
      <c r="P1128" s="17"/>
      <c r="Q1128" s="29"/>
      <c r="R1128" s="17"/>
      <c r="S1128" s="29"/>
      <c r="T1128" s="17"/>
      <c r="U1128" s="17"/>
      <c r="V1128" s="17"/>
      <c r="W1128" s="17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</row>
    <row r="1129" hidden="1">
      <c r="A1129" s="13"/>
      <c r="B1129" s="13"/>
      <c r="C1129" s="13"/>
      <c r="D1129" s="17"/>
      <c r="E1129" s="17"/>
      <c r="F1129" s="29"/>
      <c r="G1129" s="17"/>
      <c r="H1129" s="29"/>
      <c r="I1129" s="17"/>
      <c r="J1129" s="29"/>
      <c r="K1129" s="17"/>
      <c r="L1129" s="17"/>
      <c r="M1129" s="17"/>
      <c r="N1129" s="17"/>
      <c r="O1129" s="29"/>
      <c r="P1129" s="17"/>
      <c r="Q1129" s="29"/>
      <c r="R1129" s="17"/>
      <c r="S1129" s="29"/>
      <c r="T1129" s="17"/>
      <c r="U1129" s="17"/>
      <c r="V1129" s="17"/>
      <c r="W1129" s="17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</row>
    <row r="1130" hidden="1">
      <c r="A1130" s="13"/>
      <c r="B1130" s="13"/>
      <c r="C1130" s="13"/>
      <c r="D1130" s="17"/>
      <c r="E1130" s="17"/>
      <c r="F1130" s="29"/>
      <c r="G1130" s="17"/>
      <c r="H1130" s="29"/>
      <c r="I1130" s="17"/>
      <c r="J1130" s="29"/>
      <c r="K1130" s="17"/>
      <c r="L1130" s="17"/>
      <c r="M1130" s="17"/>
      <c r="N1130" s="17"/>
      <c r="O1130" s="29"/>
      <c r="P1130" s="17"/>
      <c r="Q1130" s="29"/>
      <c r="R1130" s="17"/>
      <c r="S1130" s="29"/>
      <c r="T1130" s="17"/>
      <c r="U1130" s="17"/>
      <c r="V1130" s="17"/>
      <c r="W1130" s="17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</row>
    <row r="1131" hidden="1">
      <c r="A1131" s="13"/>
      <c r="B1131" s="13"/>
      <c r="C1131" s="13"/>
      <c r="D1131" s="17"/>
      <c r="E1131" s="17"/>
      <c r="F1131" s="29"/>
      <c r="G1131" s="17"/>
      <c r="H1131" s="29"/>
      <c r="I1131" s="17"/>
      <c r="J1131" s="29"/>
      <c r="K1131" s="17"/>
      <c r="L1131" s="17"/>
      <c r="M1131" s="17"/>
      <c r="N1131" s="17"/>
      <c r="O1131" s="29"/>
      <c r="P1131" s="17"/>
      <c r="Q1131" s="29"/>
      <c r="R1131" s="17"/>
      <c r="S1131" s="29"/>
      <c r="T1131" s="17"/>
      <c r="U1131" s="17"/>
      <c r="V1131" s="17"/>
      <c r="W1131" s="17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</row>
    <row r="1132" hidden="1">
      <c r="A1132" s="13"/>
      <c r="B1132" s="13"/>
      <c r="C1132" s="13"/>
      <c r="D1132" s="17"/>
      <c r="E1132" s="17"/>
      <c r="F1132" s="29"/>
      <c r="G1132" s="17"/>
      <c r="H1132" s="29"/>
      <c r="I1132" s="17"/>
      <c r="J1132" s="29"/>
      <c r="K1132" s="17"/>
      <c r="L1132" s="17"/>
      <c r="M1132" s="17"/>
      <c r="N1132" s="17"/>
      <c r="O1132" s="29"/>
      <c r="P1132" s="17"/>
      <c r="Q1132" s="29"/>
      <c r="R1132" s="17"/>
      <c r="S1132" s="29"/>
      <c r="T1132" s="17"/>
      <c r="U1132" s="17"/>
      <c r="V1132" s="17"/>
      <c r="W1132" s="17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</row>
    <row r="1133" hidden="1">
      <c r="A1133" s="13"/>
      <c r="B1133" s="13"/>
      <c r="C1133" s="13"/>
      <c r="D1133" s="17"/>
      <c r="E1133" s="17"/>
      <c r="F1133" s="29"/>
      <c r="G1133" s="17"/>
      <c r="H1133" s="29"/>
      <c r="I1133" s="17"/>
      <c r="J1133" s="29"/>
      <c r="K1133" s="17"/>
      <c r="L1133" s="17"/>
      <c r="M1133" s="17"/>
      <c r="N1133" s="17"/>
      <c r="O1133" s="29"/>
      <c r="P1133" s="17"/>
      <c r="Q1133" s="29"/>
      <c r="R1133" s="17"/>
      <c r="S1133" s="29"/>
      <c r="T1133" s="17"/>
      <c r="U1133" s="17"/>
      <c r="V1133" s="17"/>
      <c r="W1133" s="17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</row>
    <row r="1134" hidden="1">
      <c r="A1134" s="13"/>
      <c r="B1134" s="13"/>
      <c r="C1134" s="13"/>
      <c r="D1134" s="17"/>
      <c r="E1134" s="17"/>
      <c r="F1134" s="29"/>
      <c r="G1134" s="17"/>
      <c r="H1134" s="29"/>
      <c r="I1134" s="17"/>
      <c r="J1134" s="29"/>
      <c r="K1134" s="17"/>
      <c r="L1134" s="17"/>
      <c r="M1134" s="17"/>
      <c r="N1134" s="17"/>
      <c r="O1134" s="29"/>
      <c r="P1134" s="17"/>
      <c r="Q1134" s="29"/>
      <c r="R1134" s="17"/>
      <c r="S1134" s="29"/>
      <c r="T1134" s="17"/>
      <c r="U1134" s="17"/>
      <c r="V1134" s="17"/>
      <c r="W1134" s="17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</row>
    <row r="1135" hidden="1">
      <c r="A1135" s="13"/>
      <c r="B1135" s="13"/>
      <c r="C1135" s="13"/>
      <c r="D1135" s="17"/>
      <c r="E1135" s="17"/>
      <c r="F1135" s="29"/>
      <c r="G1135" s="17"/>
      <c r="H1135" s="29"/>
      <c r="I1135" s="17"/>
      <c r="J1135" s="29"/>
      <c r="K1135" s="17"/>
      <c r="L1135" s="17"/>
      <c r="M1135" s="17"/>
      <c r="N1135" s="17"/>
      <c r="O1135" s="29"/>
      <c r="P1135" s="17"/>
      <c r="Q1135" s="29"/>
      <c r="R1135" s="17"/>
      <c r="S1135" s="29"/>
      <c r="T1135" s="17"/>
      <c r="U1135" s="17"/>
      <c r="V1135" s="17"/>
      <c r="W1135" s="17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</row>
    <row r="1136" hidden="1">
      <c r="A1136" s="13"/>
      <c r="B1136" s="13"/>
      <c r="C1136" s="13"/>
      <c r="D1136" s="17"/>
      <c r="E1136" s="17"/>
      <c r="F1136" s="29"/>
      <c r="G1136" s="17"/>
      <c r="H1136" s="29"/>
      <c r="I1136" s="17"/>
      <c r="J1136" s="29"/>
      <c r="K1136" s="17"/>
      <c r="L1136" s="17"/>
      <c r="M1136" s="17"/>
      <c r="N1136" s="17"/>
      <c r="O1136" s="29"/>
      <c r="P1136" s="17"/>
      <c r="Q1136" s="29"/>
      <c r="R1136" s="17"/>
      <c r="S1136" s="29"/>
      <c r="T1136" s="17"/>
      <c r="U1136" s="17"/>
      <c r="V1136" s="17"/>
      <c r="W1136" s="17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</row>
    <row r="1137" hidden="1">
      <c r="A1137" s="13"/>
      <c r="B1137" s="13"/>
      <c r="C1137" s="13"/>
      <c r="D1137" s="17"/>
      <c r="E1137" s="17"/>
      <c r="F1137" s="29"/>
      <c r="G1137" s="17"/>
      <c r="H1137" s="29"/>
      <c r="I1137" s="17"/>
      <c r="J1137" s="29"/>
      <c r="K1137" s="17"/>
      <c r="L1137" s="17"/>
      <c r="M1137" s="17"/>
      <c r="N1137" s="17"/>
      <c r="O1137" s="29"/>
      <c r="P1137" s="17"/>
      <c r="Q1137" s="29"/>
      <c r="R1137" s="17"/>
      <c r="S1137" s="29"/>
      <c r="T1137" s="17"/>
      <c r="U1137" s="17"/>
      <c r="V1137" s="17"/>
      <c r="W1137" s="17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</row>
    <row r="1138" hidden="1">
      <c r="A1138" s="13"/>
      <c r="B1138" s="13"/>
      <c r="C1138" s="13"/>
      <c r="D1138" s="17"/>
      <c r="E1138" s="17"/>
      <c r="F1138" s="29"/>
      <c r="G1138" s="17"/>
      <c r="H1138" s="29"/>
      <c r="I1138" s="17"/>
      <c r="J1138" s="29"/>
      <c r="K1138" s="17"/>
      <c r="L1138" s="17"/>
      <c r="M1138" s="17"/>
      <c r="N1138" s="17"/>
      <c r="O1138" s="29"/>
      <c r="P1138" s="17"/>
      <c r="Q1138" s="29"/>
      <c r="R1138" s="17"/>
      <c r="S1138" s="29"/>
      <c r="T1138" s="17"/>
      <c r="U1138" s="17"/>
      <c r="V1138" s="17"/>
      <c r="W1138" s="17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</row>
    <row r="1139" hidden="1">
      <c r="A1139" s="13"/>
      <c r="B1139" s="13"/>
      <c r="C1139" s="13"/>
      <c r="D1139" s="17"/>
      <c r="E1139" s="17"/>
      <c r="F1139" s="29"/>
      <c r="G1139" s="17"/>
      <c r="H1139" s="29"/>
      <c r="I1139" s="17"/>
      <c r="J1139" s="29"/>
      <c r="K1139" s="17"/>
      <c r="L1139" s="17"/>
      <c r="M1139" s="17"/>
      <c r="N1139" s="17"/>
      <c r="O1139" s="29"/>
      <c r="P1139" s="17"/>
      <c r="Q1139" s="29"/>
      <c r="R1139" s="17"/>
      <c r="S1139" s="29"/>
      <c r="T1139" s="17"/>
      <c r="U1139" s="17"/>
      <c r="V1139" s="17"/>
      <c r="W1139" s="17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</row>
    <row r="1140" hidden="1">
      <c r="A1140" s="13"/>
      <c r="B1140" s="13"/>
      <c r="C1140" s="13"/>
      <c r="D1140" s="17"/>
      <c r="E1140" s="17"/>
      <c r="F1140" s="29"/>
      <c r="G1140" s="17"/>
      <c r="H1140" s="29"/>
      <c r="I1140" s="17"/>
      <c r="J1140" s="29"/>
      <c r="K1140" s="17"/>
      <c r="L1140" s="17"/>
      <c r="M1140" s="17"/>
      <c r="N1140" s="17"/>
      <c r="O1140" s="29"/>
      <c r="P1140" s="17"/>
      <c r="Q1140" s="29"/>
      <c r="R1140" s="17"/>
      <c r="S1140" s="29"/>
      <c r="T1140" s="17"/>
      <c r="U1140" s="17"/>
      <c r="V1140" s="17"/>
      <c r="W1140" s="17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</row>
    <row r="1141" hidden="1">
      <c r="A1141" s="13"/>
      <c r="B1141" s="13"/>
      <c r="C1141" s="13"/>
      <c r="D1141" s="17"/>
      <c r="E1141" s="17"/>
      <c r="F1141" s="29"/>
      <c r="G1141" s="17"/>
      <c r="H1141" s="29"/>
      <c r="I1141" s="17"/>
      <c r="J1141" s="29"/>
      <c r="K1141" s="17"/>
      <c r="L1141" s="17"/>
      <c r="M1141" s="17"/>
      <c r="N1141" s="17"/>
      <c r="O1141" s="29"/>
      <c r="P1141" s="17"/>
      <c r="Q1141" s="29"/>
      <c r="R1141" s="17"/>
      <c r="S1141" s="29"/>
      <c r="T1141" s="17"/>
      <c r="U1141" s="17"/>
      <c r="V1141" s="17"/>
      <c r="W1141" s="17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</row>
    <row r="1142" hidden="1">
      <c r="A1142" s="13"/>
      <c r="B1142" s="13"/>
      <c r="C1142" s="13"/>
      <c r="D1142" s="17"/>
      <c r="E1142" s="17"/>
      <c r="F1142" s="29"/>
      <c r="G1142" s="17"/>
      <c r="H1142" s="29"/>
      <c r="I1142" s="17"/>
      <c r="J1142" s="29"/>
      <c r="K1142" s="17"/>
      <c r="L1142" s="17"/>
      <c r="M1142" s="17"/>
      <c r="N1142" s="17"/>
      <c r="O1142" s="29"/>
      <c r="P1142" s="17"/>
      <c r="Q1142" s="29"/>
      <c r="R1142" s="17"/>
      <c r="S1142" s="29"/>
      <c r="T1142" s="17"/>
      <c r="U1142" s="17"/>
      <c r="V1142" s="17"/>
      <c r="W1142" s="17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</row>
    <row r="1143" hidden="1">
      <c r="A1143" s="13"/>
      <c r="B1143" s="13"/>
      <c r="C1143" s="13"/>
      <c r="D1143" s="17"/>
      <c r="E1143" s="17"/>
      <c r="F1143" s="29"/>
      <c r="G1143" s="17"/>
      <c r="H1143" s="29"/>
      <c r="I1143" s="17"/>
      <c r="J1143" s="29"/>
      <c r="K1143" s="17"/>
      <c r="L1143" s="17"/>
      <c r="M1143" s="17"/>
      <c r="N1143" s="17"/>
      <c r="O1143" s="29"/>
      <c r="P1143" s="17"/>
      <c r="Q1143" s="29"/>
      <c r="R1143" s="17"/>
      <c r="S1143" s="29"/>
      <c r="T1143" s="17"/>
      <c r="U1143" s="17"/>
      <c r="V1143" s="17"/>
      <c r="W1143" s="17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</row>
    <row r="1144" hidden="1">
      <c r="A1144" s="13"/>
      <c r="B1144" s="13"/>
      <c r="C1144" s="13"/>
      <c r="D1144" s="17"/>
      <c r="E1144" s="17"/>
      <c r="F1144" s="29"/>
      <c r="G1144" s="17"/>
      <c r="H1144" s="29"/>
      <c r="I1144" s="17"/>
      <c r="J1144" s="29"/>
      <c r="K1144" s="17"/>
      <c r="L1144" s="17"/>
      <c r="M1144" s="17"/>
      <c r="N1144" s="17"/>
      <c r="O1144" s="29"/>
      <c r="P1144" s="17"/>
      <c r="Q1144" s="29"/>
      <c r="R1144" s="17"/>
      <c r="S1144" s="29"/>
      <c r="T1144" s="17"/>
      <c r="U1144" s="17"/>
      <c r="V1144" s="17"/>
      <c r="W1144" s="17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</row>
    <row r="1145" hidden="1">
      <c r="A1145" s="13"/>
      <c r="B1145" s="13"/>
      <c r="C1145" s="13"/>
      <c r="D1145" s="17"/>
      <c r="E1145" s="17"/>
      <c r="F1145" s="29"/>
      <c r="G1145" s="17"/>
      <c r="H1145" s="29"/>
      <c r="I1145" s="17"/>
      <c r="J1145" s="29"/>
      <c r="K1145" s="17"/>
      <c r="L1145" s="17"/>
      <c r="M1145" s="17"/>
      <c r="N1145" s="17"/>
      <c r="O1145" s="29"/>
      <c r="P1145" s="17"/>
      <c r="Q1145" s="29"/>
      <c r="R1145" s="17"/>
      <c r="S1145" s="29"/>
      <c r="T1145" s="17"/>
      <c r="U1145" s="17"/>
      <c r="V1145" s="17"/>
      <c r="W1145" s="17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</row>
    <row r="1146" hidden="1">
      <c r="A1146" s="13"/>
      <c r="B1146" s="13"/>
      <c r="C1146" s="13"/>
      <c r="D1146" s="17"/>
      <c r="E1146" s="17"/>
      <c r="F1146" s="29"/>
      <c r="G1146" s="17"/>
      <c r="H1146" s="29"/>
      <c r="I1146" s="17"/>
      <c r="J1146" s="29"/>
      <c r="K1146" s="17"/>
      <c r="L1146" s="17"/>
      <c r="M1146" s="17"/>
      <c r="N1146" s="17"/>
      <c r="O1146" s="29"/>
      <c r="P1146" s="17"/>
      <c r="Q1146" s="29"/>
      <c r="R1146" s="17"/>
      <c r="S1146" s="29"/>
      <c r="T1146" s="17"/>
      <c r="U1146" s="17"/>
      <c r="V1146" s="17"/>
      <c r="W1146" s="17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</row>
    <row r="1147" hidden="1">
      <c r="A1147" s="13"/>
      <c r="B1147" s="13"/>
      <c r="C1147" s="13"/>
      <c r="D1147" s="17"/>
      <c r="E1147" s="17"/>
      <c r="F1147" s="29"/>
      <c r="G1147" s="17"/>
      <c r="H1147" s="29"/>
      <c r="I1147" s="17"/>
      <c r="J1147" s="29"/>
      <c r="K1147" s="17"/>
      <c r="L1147" s="17"/>
      <c r="M1147" s="17"/>
      <c r="N1147" s="17"/>
      <c r="O1147" s="29"/>
      <c r="P1147" s="17"/>
      <c r="Q1147" s="29"/>
      <c r="R1147" s="17"/>
      <c r="S1147" s="29"/>
      <c r="T1147" s="17"/>
      <c r="U1147" s="17"/>
      <c r="V1147" s="17"/>
      <c r="W1147" s="17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</row>
    <row r="1148" hidden="1">
      <c r="A1148" s="13"/>
      <c r="B1148" s="13"/>
      <c r="C1148" s="13"/>
      <c r="D1148" s="17"/>
      <c r="E1148" s="17"/>
      <c r="F1148" s="29"/>
      <c r="G1148" s="17"/>
      <c r="H1148" s="29"/>
      <c r="I1148" s="17"/>
      <c r="J1148" s="29"/>
      <c r="K1148" s="17"/>
      <c r="L1148" s="17"/>
      <c r="M1148" s="17"/>
      <c r="N1148" s="17"/>
      <c r="O1148" s="29"/>
      <c r="P1148" s="17"/>
      <c r="Q1148" s="29"/>
      <c r="R1148" s="17"/>
      <c r="S1148" s="29"/>
      <c r="T1148" s="17"/>
      <c r="U1148" s="17"/>
      <c r="V1148" s="17"/>
      <c r="W1148" s="17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</row>
    <row r="1149" hidden="1">
      <c r="A1149" s="13"/>
      <c r="B1149" s="13"/>
      <c r="C1149" s="13"/>
      <c r="D1149" s="17"/>
      <c r="E1149" s="17"/>
      <c r="F1149" s="29"/>
      <c r="G1149" s="17"/>
      <c r="H1149" s="29"/>
      <c r="I1149" s="17"/>
      <c r="J1149" s="29"/>
      <c r="K1149" s="17"/>
      <c r="L1149" s="17"/>
      <c r="M1149" s="17"/>
      <c r="N1149" s="17"/>
      <c r="O1149" s="29"/>
      <c r="P1149" s="17"/>
      <c r="Q1149" s="29"/>
      <c r="R1149" s="17"/>
      <c r="S1149" s="29"/>
      <c r="T1149" s="17"/>
      <c r="U1149" s="17"/>
      <c r="V1149" s="17"/>
      <c r="W1149" s="17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</row>
    <row r="1150" hidden="1">
      <c r="A1150" s="13"/>
      <c r="B1150" s="13"/>
      <c r="C1150" s="13"/>
      <c r="D1150" s="17"/>
      <c r="E1150" s="17"/>
      <c r="F1150" s="29"/>
      <c r="G1150" s="17"/>
      <c r="H1150" s="29"/>
      <c r="I1150" s="17"/>
      <c r="J1150" s="29"/>
      <c r="K1150" s="17"/>
      <c r="L1150" s="17"/>
      <c r="M1150" s="17"/>
      <c r="N1150" s="17"/>
      <c r="O1150" s="29"/>
      <c r="P1150" s="17"/>
      <c r="Q1150" s="29"/>
      <c r="R1150" s="17"/>
      <c r="S1150" s="29"/>
      <c r="T1150" s="17"/>
      <c r="U1150" s="17"/>
      <c r="V1150" s="17"/>
      <c r="W1150" s="17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</row>
    <row r="1151" hidden="1">
      <c r="A1151" s="13"/>
      <c r="B1151" s="13"/>
      <c r="C1151" s="13"/>
      <c r="D1151" s="17"/>
      <c r="E1151" s="17"/>
      <c r="F1151" s="29"/>
      <c r="G1151" s="17"/>
      <c r="H1151" s="29"/>
      <c r="I1151" s="17"/>
      <c r="J1151" s="29"/>
      <c r="K1151" s="17"/>
      <c r="L1151" s="17"/>
      <c r="M1151" s="17"/>
      <c r="N1151" s="17"/>
      <c r="O1151" s="29"/>
      <c r="P1151" s="17"/>
      <c r="Q1151" s="29"/>
      <c r="R1151" s="17"/>
      <c r="S1151" s="29"/>
      <c r="T1151" s="17"/>
      <c r="U1151" s="17"/>
      <c r="V1151" s="17"/>
      <c r="W1151" s="17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</row>
    <row r="1152" hidden="1">
      <c r="A1152" s="13"/>
      <c r="B1152" s="13"/>
      <c r="C1152" s="13"/>
      <c r="D1152" s="17"/>
      <c r="E1152" s="17"/>
      <c r="F1152" s="29"/>
      <c r="G1152" s="17"/>
      <c r="H1152" s="29"/>
      <c r="I1152" s="17"/>
      <c r="J1152" s="29"/>
      <c r="K1152" s="17"/>
      <c r="L1152" s="17"/>
      <c r="M1152" s="17"/>
      <c r="N1152" s="17"/>
      <c r="O1152" s="29"/>
      <c r="P1152" s="17"/>
      <c r="Q1152" s="29"/>
      <c r="R1152" s="17"/>
      <c r="S1152" s="29"/>
      <c r="T1152" s="17"/>
      <c r="U1152" s="17"/>
      <c r="V1152" s="17"/>
      <c r="W1152" s="17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</row>
    <row r="1153" hidden="1">
      <c r="A1153" s="13"/>
      <c r="B1153" s="13"/>
      <c r="C1153" s="13"/>
      <c r="D1153" s="17"/>
      <c r="E1153" s="17"/>
      <c r="F1153" s="29"/>
      <c r="G1153" s="17"/>
      <c r="H1153" s="29"/>
      <c r="I1153" s="17"/>
      <c r="J1153" s="29"/>
      <c r="K1153" s="17"/>
      <c r="L1153" s="17"/>
      <c r="M1153" s="17"/>
      <c r="N1153" s="17"/>
      <c r="O1153" s="29"/>
      <c r="P1153" s="17"/>
      <c r="Q1153" s="29"/>
      <c r="R1153" s="17"/>
      <c r="S1153" s="29"/>
      <c r="T1153" s="17"/>
      <c r="U1153" s="17"/>
      <c r="V1153" s="17"/>
      <c r="W1153" s="17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</row>
    <row r="1154" hidden="1">
      <c r="A1154" s="13"/>
      <c r="B1154" s="13"/>
      <c r="C1154" s="13"/>
      <c r="D1154" s="17"/>
      <c r="E1154" s="17"/>
      <c r="F1154" s="29"/>
      <c r="G1154" s="17"/>
      <c r="H1154" s="29"/>
      <c r="I1154" s="17"/>
      <c r="J1154" s="29"/>
      <c r="K1154" s="17"/>
      <c r="L1154" s="17"/>
      <c r="M1154" s="17"/>
      <c r="N1154" s="17"/>
      <c r="O1154" s="29"/>
      <c r="P1154" s="17"/>
      <c r="Q1154" s="29"/>
      <c r="R1154" s="17"/>
      <c r="S1154" s="29"/>
      <c r="T1154" s="17"/>
      <c r="U1154" s="17"/>
      <c r="V1154" s="17"/>
      <c r="W1154" s="17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</row>
    <row r="1155" hidden="1">
      <c r="A1155" s="13"/>
      <c r="B1155" s="13"/>
      <c r="C1155" s="13"/>
      <c r="D1155" s="17"/>
      <c r="E1155" s="17"/>
      <c r="F1155" s="29"/>
      <c r="G1155" s="17"/>
      <c r="H1155" s="29"/>
      <c r="I1155" s="17"/>
      <c r="J1155" s="29"/>
      <c r="K1155" s="17"/>
      <c r="L1155" s="17"/>
      <c r="M1155" s="17"/>
      <c r="N1155" s="17"/>
      <c r="O1155" s="29"/>
      <c r="P1155" s="17"/>
      <c r="Q1155" s="29"/>
      <c r="R1155" s="17"/>
      <c r="S1155" s="29"/>
      <c r="T1155" s="17"/>
      <c r="U1155" s="17"/>
      <c r="V1155" s="17"/>
      <c r="W1155" s="17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</row>
    <row r="1156" hidden="1">
      <c r="A1156" s="13"/>
      <c r="B1156" s="13"/>
      <c r="C1156" s="13"/>
      <c r="D1156" s="17"/>
      <c r="E1156" s="17"/>
      <c r="F1156" s="29"/>
      <c r="G1156" s="17"/>
      <c r="H1156" s="29"/>
      <c r="I1156" s="17"/>
      <c r="J1156" s="29"/>
      <c r="K1156" s="17"/>
      <c r="L1156" s="17"/>
      <c r="M1156" s="17"/>
      <c r="N1156" s="17"/>
      <c r="O1156" s="29"/>
      <c r="P1156" s="17"/>
      <c r="Q1156" s="29"/>
      <c r="R1156" s="17"/>
      <c r="S1156" s="29"/>
      <c r="T1156" s="17"/>
      <c r="U1156" s="17"/>
      <c r="V1156" s="17"/>
      <c r="W1156" s="17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</row>
    <row r="1157" hidden="1">
      <c r="A1157" s="13"/>
      <c r="B1157" s="13"/>
      <c r="C1157" s="13"/>
      <c r="D1157" s="17"/>
      <c r="E1157" s="17"/>
      <c r="F1157" s="29"/>
      <c r="G1157" s="17"/>
      <c r="H1157" s="29"/>
      <c r="I1157" s="17"/>
      <c r="J1157" s="29"/>
      <c r="K1157" s="17"/>
      <c r="L1157" s="17"/>
      <c r="M1157" s="17"/>
      <c r="N1157" s="17"/>
      <c r="O1157" s="29"/>
      <c r="P1157" s="17"/>
      <c r="Q1157" s="29"/>
      <c r="R1157" s="17"/>
      <c r="S1157" s="29"/>
      <c r="T1157" s="17"/>
      <c r="U1157" s="17"/>
      <c r="V1157" s="17"/>
      <c r="W1157" s="17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</row>
    <row r="1158" hidden="1">
      <c r="A1158" s="13"/>
      <c r="B1158" s="13"/>
      <c r="C1158" s="13"/>
      <c r="D1158" s="17"/>
      <c r="E1158" s="17"/>
      <c r="F1158" s="29"/>
      <c r="G1158" s="17"/>
      <c r="H1158" s="29"/>
      <c r="I1158" s="17"/>
      <c r="J1158" s="29"/>
      <c r="K1158" s="17"/>
      <c r="L1158" s="17"/>
      <c r="M1158" s="17"/>
      <c r="N1158" s="17"/>
      <c r="O1158" s="29"/>
      <c r="P1158" s="17"/>
      <c r="Q1158" s="29"/>
      <c r="R1158" s="17"/>
      <c r="S1158" s="29"/>
      <c r="T1158" s="17"/>
      <c r="U1158" s="17"/>
      <c r="V1158" s="17"/>
      <c r="W1158" s="17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</row>
    <row r="1159" hidden="1">
      <c r="A1159" s="13"/>
      <c r="B1159" s="13"/>
      <c r="C1159" s="13"/>
      <c r="D1159" s="17"/>
      <c r="E1159" s="17"/>
      <c r="F1159" s="29"/>
      <c r="G1159" s="17"/>
      <c r="H1159" s="29"/>
      <c r="I1159" s="17"/>
      <c r="J1159" s="29"/>
      <c r="K1159" s="17"/>
      <c r="L1159" s="17"/>
      <c r="M1159" s="17"/>
      <c r="N1159" s="17"/>
      <c r="O1159" s="29"/>
      <c r="P1159" s="17"/>
      <c r="Q1159" s="29"/>
      <c r="R1159" s="17"/>
      <c r="S1159" s="29"/>
      <c r="T1159" s="17"/>
      <c r="U1159" s="17"/>
      <c r="V1159" s="17"/>
      <c r="W1159" s="17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</row>
    <row r="1160" hidden="1">
      <c r="A1160" s="13"/>
      <c r="B1160" s="13"/>
      <c r="C1160" s="13"/>
      <c r="D1160" s="17"/>
      <c r="E1160" s="17"/>
      <c r="F1160" s="29"/>
      <c r="G1160" s="17"/>
      <c r="H1160" s="29"/>
      <c r="I1160" s="17"/>
      <c r="J1160" s="29"/>
      <c r="K1160" s="17"/>
      <c r="L1160" s="17"/>
      <c r="M1160" s="17"/>
      <c r="N1160" s="17"/>
      <c r="O1160" s="29"/>
      <c r="P1160" s="17"/>
      <c r="Q1160" s="29"/>
      <c r="R1160" s="17"/>
      <c r="S1160" s="29"/>
      <c r="T1160" s="17"/>
      <c r="U1160" s="17"/>
      <c r="V1160" s="17"/>
      <c r="W1160" s="17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</row>
    <row r="1161" hidden="1">
      <c r="A1161" s="13"/>
      <c r="B1161" s="13"/>
      <c r="C1161" s="13"/>
      <c r="D1161" s="17"/>
      <c r="E1161" s="17"/>
      <c r="F1161" s="29"/>
      <c r="G1161" s="17"/>
      <c r="H1161" s="29"/>
      <c r="I1161" s="17"/>
      <c r="J1161" s="29"/>
      <c r="K1161" s="17"/>
      <c r="L1161" s="17"/>
      <c r="M1161" s="17"/>
      <c r="N1161" s="17"/>
      <c r="O1161" s="29"/>
      <c r="P1161" s="17"/>
      <c r="Q1161" s="29"/>
      <c r="R1161" s="17"/>
      <c r="S1161" s="29"/>
      <c r="T1161" s="17"/>
      <c r="U1161" s="17"/>
      <c r="V1161" s="17"/>
      <c r="W1161" s="17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</row>
    <row r="1162" hidden="1">
      <c r="A1162" s="13"/>
      <c r="B1162" s="13"/>
      <c r="C1162" s="13"/>
      <c r="D1162" s="17"/>
      <c r="E1162" s="17"/>
      <c r="F1162" s="29"/>
      <c r="G1162" s="17"/>
      <c r="H1162" s="29"/>
      <c r="I1162" s="17"/>
      <c r="J1162" s="29"/>
      <c r="K1162" s="17"/>
      <c r="L1162" s="17"/>
      <c r="M1162" s="17"/>
      <c r="N1162" s="17"/>
      <c r="O1162" s="29"/>
      <c r="P1162" s="17"/>
      <c r="Q1162" s="29"/>
      <c r="R1162" s="17"/>
      <c r="S1162" s="29"/>
      <c r="T1162" s="17"/>
      <c r="U1162" s="17"/>
      <c r="V1162" s="17"/>
      <c r="W1162" s="17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</row>
    <row r="1163" hidden="1">
      <c r="A1163" s="13"/>
      <c r="B1163" s="13"/>
      <c r="C1163" s="13"/>
      <c r="D1163" s="17"/>
      <c r="E1163" s="17"/>
      <c r="F1163" s="29"/>
      <c r="G1163" s="17"/>
      <c r="H1163" s="29"/>
      <c r="I1163" s="17"/>
      <c r="J1163" s="29"/>
      <c r="K1163" s="17"/>
      <c r="L1163" s="17"/>
      <c r="M1163" s="17"/>
      <c r="N1163" s="17"/>
      <c r="O1163" s="29"/>
      <c r="P1163" s="17"/>
      <c r="Q1163" s="29"/>
      <c r="R1163" s="17"/>
      <c r="S1163" s="29"/>
      <c r="T1163" s="17"/>
      <c r="U1163" s="17"/>
      <c r="V1163" s="17"/>
      <c r="W1163" s="17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</row>
    <row r="1164" hidden="1">
      <c r="A1164" s="13"/>
      <c r="B1164" s="13"/>
      <c r="C1164" s="13"/>
      <c r="D1164" s="17"/>
      <c r="E1164" s="17"/>
      <c r="F1164" s="29"/>
      <c r="G1164" s="17"/>
      <c r="H1164" s="29"/>
      <c r="I1164" s="17"/>
      <c r="J1164" s="29"/>
      <c r="K1164" s="17"/>
      <c r="L1164" s="17"/>
      <c r="M1164" s="17"/>
      <c r="N1164" s="17"/>
      <c r="O1164" s="29"/>
      <c r="P1164" s="17"/>
      <c r="Q1164" s="29"/>
      <c r="R1164" s="17"/>
      <c r="S1164" s="29"/>
      <c r="T1164" s="17"/>
      <c r="U1164" s="17"/>
      <c r="V1164" s="17"/>
      <c r="W1164" s="17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</row>
    <row r="1165" hidden="1">
      <c r="A1165" s="13"/>
      <c r="B1165" s="13"/>
      <c r="C1165" s="13"/>
      <c r="D1165" s="17"/>
      <c r="E1165" s="17"/>
      <c r="F1165" s="29"/>
      <c r="G1165" s="17"/>
      <c r="H1165" s="29"/>
      <c r="I1165" s="17"/>
      <c r="J1165" s="29"/>
      <c r="K1165" s="17"/>
      <c r="L1165" s="17"/>
      <c r="M1165" s="17"/>
      <c r="N1165" s="17"/>
      <c r="O1165" s="29"/>
      <c r="P1165" s="17"/>
      <c r="Q1165" s="29"/>
      <c r="R1165" s="17"/>
      <c r="S1165" s="29"/>
      <c r="T1165" s="17"/>
      <c r="U1165" s="17"/>
      <c r="V1165" s="17"/>
      <c r="W1165" s="17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</row>
    <row r="1166" hidden="1">
      <c r="A1166" s="13"/>
      <c r="B1166" s="13"/>
      <c r="C1166" s="13"/>
      <c r="D1166" s="17"/>
      <c r="E1166" s="17"/>
      <c r="F1166" s="29"/>
      <c r="G1166" s="17"/>
      <c r="H1166" s="29"/>
      <c r="I1166" s="17"/>
      <c r="J1166" s="29"/>
      <c r="K1166" s="17"/>
      <c r="L1166" s="17"/>
      <c r="M1166" s="17"/>
      <c r="N1166" s="17"/>
      <c r="O1166" s="29"/>
      <c r="P1166" s="17"/>
      <c r="Q1166" s="29"/>
      <c r="R1166" s="17"/>
      <c r="S1166" s="29"/>
      <c r="T1166" s="17"/>
      <c r="U1166" s="17"/>
      <c r="V1166" s="17"/>
      <c r="W1166" s="17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</row>
    <row r="1167" hidden="1">
      <c r="A1167" s="13"/>
      <c r="B1167" s="13"/>
      <c r="C1167" s="13"/>
      <c r="D1167" s="17"/>
      <c r="E1167" s="17"/>
      <c r="F1167" s="29"/>
      <c r="G1167" s="17"/>
      <c r="H1167" s="29"/>
      <c r="I1167" s="17"/>
      <c r="J1167" s="29"/>
      <c r="K1167" s="17"/>
      <c r="L1167" s="17"/>
      <c r="M1167" s="17"/>
      <c r="N1167" s="17"/>
      <c r="O1167" s="29"/>
      <c r="P1167" s="17"/>
      <c r="Q1167" s="29"/>
      <c r="R1167" s="17"/>
      <c r="S1167" s="29"/>
      <c r="T1167" s="17"/>
      <c r="U1167" s="17"/>
      <c r="V1167" s="17"/>
      <c r="W1167" s="17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</row>
    <row r="1168" hidden="1">
      <c r="A1168" s="13"/>
      <c r="B1168" s="13"/>
      <c r="C1168" s="13"/>
      <c r="D1168" s="17"/>
      <c r="E1168" s="17"/>
      <c r="F1168" s="29"/>
      <c r="G1168" s="17"/>
      <c r="H1168" s="29"/>
      <c r="I1168" s="17"/>
      <c r="J1168" s="29"/>
      <c r="K1168" s="17"/>
      <c r="L1168" s="17"/>
      <c r="M1168" s="17"/>
      <c r="N1168" s="17"/>
      <c r="O1168" s="29"/>
      <c r="P1168" s="17"/>
      <c r="Q1168" s="29"/>
      <c r="R1168" s="17"/>
      <c r="S1168" s="29"/>
      <c r="T1168" s="17"/>
      <c r="U1168" s="17"/>
      <c r="V1168" s="17"/>
      <c r="W1168" s="17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</row>
    <row r="1169" hidden="1">
      <c r="A1169" s="13"/>
      <c r="B1169" s="13"/>
      <c r="C1169" s="13"/>
      <c r="D1169" s="17"/>
      <c r="E1169" s="17"/>
      <c r="F1169" s="29"/>
      <c r="G1169" s="17"/>
      <c r="H1169" s="29"/>
      <c r="I1169" s="17"/>
      <c r="J1169" s="29"/>
      <c r="K1169" s="17"/>
      <c r="L1169" s="17"/>
      <c r="M1169" s="17"/>
      <c r="N1169" s="17"/>
      <c r="O1169" s="29"/>
      <c r="P1169" s="17"/>
      <c r="Q1169" s="29"/>
      <c r="R1169" s="17"/>
      <c r="S1169" s="29"/>
      <c r="T1169" s="17"/>
      <c r="U1169" s="17"/>
      <c r="V1169" s="17"/>
      <c r="W1169" s="17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</row>
    <row r="1170" hidden="1">
      <c r="A1170" s="13"/>
      <c r="B1170" s="13"/>
      <c r="C1170" s="13"/>
      <c r="D1170" s="17"/>
      <c r="E1170" s="17"/>
      <c r="F1170" s="29"/>
      <c r="G1170" s="17"/>
      <c r="H1170" s="29"/>
      <c r="I1170" s="17"/>
      <c r="J1170" s="29"/>
      <c r="K1170" s="17"/>
      <c r="L1170" s="17"/>
      <c r="M1170" s="17"/>
      <c r="N1170" s="17"/>
      <c r="O1170" s="29"/>
      <c r="P1170" s="17"/>
      <c r="Q1170" s="29"/>
      <c r="R1170" s="17"/>
      <c r="S1170" s="29"/>
      <c r="T1170" s="17"/>
      <c r="U1170" s="17"/>
      <c r="V1170" s="17"/>
      <c r="W1170" s="17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</row>
    <row r="1171" hidden="1">
      <c r="A1171" s="13"/>
      <c r="B1171" s="13"/>
      <c r="C1171" s="13"/>
      <c r="D1171" s="17"/>
      <c r="E1171" s="17"/>
      <c r="F1171" s="29"/>
      <c r="G1171" s="17"/>
      <c r="H1171" s="29"/>
      <c r="I1171" s="17"/>
      <c r="J1171" s="29"/>
      <c r="K1171" s="17"/>
      <c r="L1171" s="17"/>
      <c r="M1171" s="17"/>
      <c r="N1171" s="17"/>
      <c r="O1171" s="29"/>
      <c r="P1171" s="17"/>
      <c r="Q1171" s="29"/>
      <c r="R1171" s="17"/>
      <c r="S1171" s="29"/>
      <c r="T1171" s="17"/>
      <c r="U1171" s="17"/>
      <c r="V1171" s="17"/>
      <c r="W1171" s="17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</row>
    <row r="1172" hidden="1">
      <c r="A1172" s="13"/>
      <c r="B1172" s="13"/>
      <c r="C1172" s="13"/>
      <c r="D1172" s="17"/>
      <c r="E1172" s="17"/>
      <c r="F1172" s="29"/>
      <c r="G1172" s="17"/>
      <c r="H1172" s="29"/>
      <c r="I1172" s="17"/>
      <c r="J1172" s="29"/>
      <c r="K1172" s="17"/>
      <c r="L1172" s="17"/>
      <c r="M1172" s="17"/>
      <c r="N1172" s="17"/>
      <c r="O1172" s="29"/>
      <c r="P1172" s="17"/>
      <c r="Q1172" s="29"/>
      <c r="R1172" s="17"/>
      <c r="S1172" s="29"/>
      <c r="T1172" s="17"/>
      <c r="U1172" s="17"/>
      <c r="V1172" s="17"/>
      <c r="W1172" s="17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</row>
    <row r="1173" hidden="1">
      <c r="A1173" s="13"/>
      <c r="B1173" s="13"/>
      <c r="C1173" s="13"/>
      <c r="D1173" s="17"/>
      <c r="E1173" s="17"/>
      <c r="F1173" s="29"/>
      <c r="G1173" s="17"/>
      <c r="H1173" s="29"/>
      <c r="I1173" s="17"/>
      <c r="J1173" s="29"/>
      <c r="K1173" s="17"/>
      <c r="L1173" s="17"/>
      <c r="M1173" s="17"/>
      <c r="N1173" s="17"/>
      <c r="O1173" s="29"/>
      <c r="P1173" s="17"/>
      <c r="Q1173" s="29"/>
      <c r="R1173" s="17"/>
      <c r="S1173" s="29"/>
      <c r="T1173" s="17"/>
      <c r="U1173" s="17"/>
      <c r="V1173" s="17"/>
      <c r="W1173" s="17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</row>
    <row r="1174" hidden="1">
      <c r="A1174" s="13"/>
      <c r="B1174" s="13"/>
      <c r="C1174" s="13"/>
      <c r="D1174" s="17"/>
      <c r="E1174" s="17"/>
      <c r="F1174" s="29"/>
      <c r="G1174" s="17"/>
      <c r="H1174" s="29"/>
      <c r="I1174" s="17"/>
      <c r="J1174" s="29"/>
      <c r="K1174" s="17"/>
      <c r="L1174" s="17"/>
      <c r="M1174" s="17"/>
      <c r="N1174" s="17"/>
      <c r="O1174" s="29"/>
      <c r="P1174" s="17"/>
      <c r="Q1174" s="29"/>
      <c r="R1174" s="17"/>
      <c r="S1174" s="29"/>
      <c r="T1174" s="17"/>
      <c r="U1174" s="17"/>
      <c r="V1174" s="17"/>
      <c r="W1174" s="17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</row>
    <row r="1175" hidden="1">
      <c r="A1175" s="13"/>
      <c r="B1175" s="13"/>
      <c r="C1175" s="13"/>
      <c r="D1175" s="17"/>
      <c r="E1175" s="17"/>
      <c r="F1175" s="29"/>
      <c r="G1175" s="17"/>
      <c r="H1175" s="29"/>
      <c r="I1175" s="17"/>
      <c r="J1175" s="29"/>
      <c r="K1175" s="17"/>
      <c r="L1175" s="17"/>
      <c r="M1175" s="17"/>
      <c r="N1175" s="17"/>
      <c r="O1175" s="29"/>
      <c r="P1175" s="17"/>
      <c r="Q1175" s="29"/>
      <c r="R1175" s="17"/>
      <c r="S1175" s="29"/>
      <c r="T1175" s="17"/>
      <c r="U1175" s="17"/>
      <c r="V1175" s="17"/>
      <c r="W1175" s="17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</row>
    <row r="1176" hidden="1">
      <c r="A1176" s="13"/>
      <c r="B1176" s="13"/>
      <c r="C1176" s="13"/>
      <c r="D1176" s="17"/>
      <c r="E1176" s="17"/>
      <c r="F1176" s="29"/>
      <c r="G1176" s="17"/>
      <c r="H1176" s="29"/>
      <c r="I1176" s="17"/>
      <c r="J1176" s="29"/>
      <c r="K1176" s="17"/>
      <c r="L1176" s="17"/>
      <c r="M1176" s="17"/>
      <c r="N1176" s="17"/>
      <c r="O1176" s="29"/>
      <c r="P1176" s="17"/>
      <c r="Q1176" s="29"/>
      <c r="R1176" s="17"/>
      <c r="S1176" s="29"/>
      <c r="T1176" s="17"/>
      <c r="U1176" s="17"/>
      <c r="V1176" s="17"/>
      <c r="W1176" s="17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</row>
    <row r="1177" hidden="1">
      <c r="A1177" s="13"/>
      <c r="B1177" s="13"/>
      <c r="C1177" s="13"/>
      <c r="D1177" s="17"/>
      <c r="E1177" s="17"/>
      <c r="F1177" s="29"/>
      <c r="G1177" s="17"/>
      <c r="H1177" s="29"/>
      <c r="I1177" s="17"/>
      <c r="J1177" s="29"/>
      <c r="K1177" s="17"/>
      <c r="L1177" s="17"/>
      <c r="M1177" s="17"/>
      <c r="N1177" s="17"/>
      <c r="O1177" s="29"/>
      <c r="P1177" s="17"/>
      <c r="Q1177" s="29"/>
      <c r="R1177" s="17"/>
      <c r="S1177" s="29"/>
      <c r="T1177" s="17"/>
      <c r="U1177" s="17"/>
      <c r="V1177" s="17"/>
      <c r="W1177" s="17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</row>
    <row r="1178" hidden="1">
      <c r="A1178" s="13"/>
      <c r="B1178" s="13"/>
      <c r="C1178" s="13"/>
      <c r="D1178" s="17"/>
      <c r="E1178" s="17"/>
      <c r="F1178" s="29"/>
      <c r="G1178" s="17"/>
      <c r="H1178" s="29"/>
      <c r="I1178" s="17"/>
      <c r="J1178" s="29"/>
      <c r="K1178" s="17"/>
      <c r="L1178" s="17"/>
      <c r="M1178" s="17"/>
      <c r="N1178" s="17"/>
      <c r="O1178" s="29"/>
      <c r="P1178" s="17"/>
      <c r="Q1178" s="29"/>
      <c r="R1178" s="17"/>
      <c r="S1178" s="29"/>
      <c r="T1178" s="17"/>
      <c r="U1178" s="17"/>
      <c r="V1178" s="17"/>
      <c r="W1178" s="17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</row>
    <row r="1179" hidden="1">
      <c r="A1179" s="13"/>
      <c r="B1179" s="13"/>
      <c r="C1179" s="13"/>
      <c r="D1179" s="17"/>
      <c r="E1179" s="17"/>
      <c r="F1179" s="29"/>
      <c r="G1179" s="17"/>
      <c r="H1179" s="29"/>
      <c r="I1179" s="17"/>
      <c r="J1179" s="29"/>
      <c r="K1179" s="17"/>
      <c r="L1179" s="17"/>
      <c r="M1179" s="17"/>
      <c r="N1179" s="17"/>
      <c r="O1179" s="29"/>
      <c r="P1179" s="17"/>
      <c r="Q1179" s="29"/>
      <c r="R1179" s="17"/>
      <c r="S1179" s="29"/>
      <c r="T1179" s="17"/>
      <c r="U1179" s="17"/>
      <c r="V1179" s="17"/>
      <c r="W1179" s="17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</row>
    <row r="1180" hidden="1">
      <c r="A1180" s="13"/>
      <c r="B1180" s="13"/>
      <c r="C1180" s="13"/>
      <c r="D1180" s="17"/>
      <c r="E1180" s="17"/>
      <c r="F1180" s="29"/>
      <c r="G1180" s="17"/>
      <c r="H1180" s="29"/>
      <c r="I1180" s="17"/>
      <c r="J1180" s="29"/>
      <c r="K1180" s="17"/>
      <c r="L1180" s="17"/>
      <c r="M1180" s="17"/>
      <c r="N1180" s="17"/>
      <c r="O1180" s="29"/>
      <c r="P1180" s="17"/>
      <c r="Q1180" s="29"/>
      <c r="R1180" s="17"/>
      <c r="S1180" s="29"/>
      <c r="T1180" s="17"/>
      <c r="U1180" s="17"/>
      <c r="V1180" s="17"/>
      <c r="W1180" s="17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</row>
    <row r="1181" hidden="1">
      <c r="A1181" s="13"/>
      <c r="B1181" s="13"/>
      <c r="C1181" s="13"/>
      <c r="D1181" s="17"/>
      <c r="E1181" s="17"/>
      <c r="F1181" s="29"/>
      <c r="G1181" s="17"/>
      <c r="H1181" s="29"/>
      <c r="I1181" s="17"/>
      <c r="J1181" s="29"/>
      <c r="K1181" s="17"/>
      <c r="L1181" s="17"/>
      <c r="M1181" s="17"/>
      <c r="N1181" s="17"/>
      <c r="O1181" s="29"/>
      <c r="P1181" s="17"/>
      <c r="Q1181" s="29"/>
      <c r="R1181" s="17"/>
      <c r="S1181" s="29"/>
      <c r="T1181" s="17"/>
      <c r="U1181" s="17"/>
      <c r="V1181" s="17"/>
      <c r="W1181" s="17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</row>
    <row r="1182" hidden="1">
      <c r="A1182" s="13"/>
      <c r="B1182" s="13"/>
      <c r="C1182" s="13"/>
      <c r="D1182" s="17"/>
      <c r="E1182" s="17"/>
      <c r="F1182" s="29"/>
      <c r="G1182" s="17"/>
      <c r="H1182" s="29"/>
      <c r="I1182" s="17"/>
      <c r="J1182" s="29"/>
      <c r="K1182" s="17"/>
      <c r="L1182" s="17"/>
      <c r="M1182" s="17"/>
      <c r="N1182" s="17"/>
      <c r="O1182" s="29"/>
      <c r="P1182" s="17"/>
      <c r="Q1182" s="29"/>
      <c r="R1182" s="17"/>
      <c r="S1182" s="29"/>
      <c r="T1182" s="17"/>
      <c r="U1182" s="17"/>
      <c r="V1182" s="17"/>
      <c r="W1182" s="17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</row>
    <row r="1183" hidden="1">
      <c r="A1183" s="13"/>
      <c r="B1183" s="13"/>
      <c r="C1183" s="13"/>
      <c r="D1183" s="17"/>
      <c r="E1183" s="17"/>
      <c r="F1183" s="29"/>
      <c r="G1183" s="17"/>
      <c r="H1183" s="29"/>
      <c r="I1183" s="17"/>
      <c r="J1183" s="29"/>
      <c r="K1183" s="17"/>
      <c r="L1183" s="17"/>
      <c r="M1183" s="17"/>
      <c r="N1183" s="17"/>
      <c r="O1183" s="29"/>
      <c r="P1183" s="17"/>
      <c r="Q1183" s="29"/>
      <c r="R1183" s="17"/>
      <c r="S1183" s="29"/>
      <c r="T1183" s="17"/>
      <c r="U1183" s="17"/>
      <c r="V1183" s="17"/>
      <c r="W1183" s="17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</row>
    <row r="1184" hidden="1">
      <c r="A1184" s="13"/>
      <c r="B1184" s="13"/>
      <c r="C1184" s="13"/>
      <c r="D1184" s="17"/>
      <c r="E1184" s="17"/>
      <c r="F1184" s="29"/>
      <c r="G1184" s="17"/>
      <c r="H1184" s="29"/>
      <c r="I1184" s="17"/>
      <c r="J1184" s="29"/>
      <c r="K1184" s="17"/>
      <c r="L1184" s="17"/>
      <c r="M1184" s="17"/>
      <c r="N1184" s="17"/>
      <c r="O1184" s="29"/>
      <c r="P1184" s="17"/>
      <c r="Q1184" s="29"/>
      <c r="R1184" s="17"/>
      <c r="S1184" s="29"/>
      <c r="T1184" s="17"/>
      <c r="U1184" s="17"/>
      <c r="V1184" s="17"/>
      <c r="W1184" s="17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</row>
    <row r="1185" hidden="1">
      <c r="A1185" s="13"/>
      <c r="B1185" s="13"/>
      <c r="C1185" s="13"/>
      <c r="D1185" s="17"/>
      <c r="E1185" s="17"/>
      <c r="F1185" s="29"/>
      <c r="G1185" s="17"/>
      <c r="H1185" s="29"/>
      <c r="I1185" s="17"/>
      <c r="J1185" s="29"/>
      <c r="K1185" s="17"/>
      <c r="L1185" s="17"/>
      <c r="M1185" s="17"/>
      <c r="N1185" s="17"/>
      <c r="O1185" s="29"/>
      <c r="P1185" s="17"/>
      <c r="Q1185" s="29"/>
      <c r="R1185" s="17"/>
      <c r="S1185" s="29"/>
      <c r="T1185" s="17"/>
      <c r="U1185" s="17"/>
      <c r="V1185" s="17"/>
      <c r="W1185" s="17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</row>
    <row r="1186" hidden="1">
      <c r="A1186" s="13"/>
      <c r="B1186" s="13"/>
      <c r="C1186" s="13"/>
      <c r="D1186" s="17"/>
      <c r="E1186" s="17"/>
      <c r="F1186" s="29"/>
      <c r="G1186" s="17"/>
      <c r="H1186" s="29"/>
      <c r="I1186" s="17"/>
      <c r="J1186" s="29"/>
      <c r="K1186" s="17"/>
      <c r="L1186" s="17"/>
      <c r="M1186" s="17"/>
      <c r="N1186" s="17"/>
      <c r="O1186" s="29"/>
      <c r="P1186" s="17"/>
      <c r="Q1186" s="29"/>
      <c r="R1186" s="17"/>
      <c r="S1186" s="29"/>
      <c r="T1186" s="17"/>
      <c r="U1186" s="17"/>
      <c r="V1186" s="17"/>
      <c r="W1186" s="17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</row>
    <row r="1187" hidden="1">
      <c r="A1187" s="13"/>
      <c r="B1187" s="13"/>
      <c r="C1187" s="13"/>
      <c r="D1187" s="17"/>
      <c r="E1187" s="17"/>
      <c r="F1187" s="29"/>
      <c r="G1187" s="17"/>
      <c r="H1187" s="29"/>
      <c r="I1187" s="17"/>
      <c r="J1187" s="29"/>
      <c r="K1187" s="17"/>
      <c r="L1187" s="17"/>
      <c r="M1187" s="17"/>
      <c r="N1187" s="17"/>
      <c r="O1187" s="29"/>
      <c r="P1187" s="17"/>
      <c r="Q1187" s="29"/>
      <c r="R1187" s="17"/>
      <c r="S1187" s="29"/>
      <c r="T1187" s="17"/>
      <c r="U1187" s="17"/>
      <c r="V1187" s="17"/>
      <c r="W1187" s="17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</row>
    <row r="1188" hidden="1">
      <c r="A1188" s="13"/>
      <c r="B1188" s="13"/>
      <c r="C1188" s="13"/>
      <c r="D1188" s="17"/>
      <c r="E1188" s="17"/>
      <c r="F1188" s="29"/>
      <c r="G1188" s="17"/>
      <c r="H1188" s="29"/>
      <c r="I1188" s="17"/>
      <c r="J1188" s="29"/>
      <c r="K1188" s="17"/>
      <c r="L1188" s="17"/>
      <c r="M1188" s="17"/>
      <c r="N1188" s="17"/>
      <c r="O1188" s="29"/>
      <c r="P1188" s="17"/>
      <c r="Q1188" s="29"/>
      <c r="R1188" s="17"/>
      <c r="S1188" s="29"/>
      <c r="T1188" s="17"/>
      <c r="U1188" s="17"/>
      <c r="V1188" s="17"/>
      <c r="W1188" s="17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</row>
    <row r="1189" hidden="1">
      <c r="A1189" s="13"/>
      <c r="B1189" s="13"/>
      <c r="C1189" s="13"/>
      <c r="D1189" s="17"/>
      <c r="E1189" s="17"/>
      <c r="F1189" s="29"/>
      <c r="G1189" s="17"/>
      <c r="H1189" s="29"/>
      <c r="I1189" s="17"/>
      <c r="J1189" s="29"/>
      <c r="K1189" s="17"/>
      <c r="L1189" s="17"/>
      <c r="M1189" s="17"/>
      <c r="N1189" s="17"/>
      <c r="O1189" s="29"/>
      <c r="P1189" s="17"/>
      <c r="Q1189" s="29"/>
      <c r="R1189" s="17"/>
      <c r="S1189" s="29"/>
      <c r="T1189" s="17"/>
      <c r="U1189" s="17"/>
      <c r="V1189" s="17"/>
      <c r="W1189" s="17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</row>
    <row r="1190" hidden="1">
      <c r="A1190" s="13"/>
      <c r="B1190" s="13"/>
      <c r="C1190" s="13"/>
      <c r="D1190" s="17"/>
      <c r="E1190" s="17"/>
      <c r="F1190" s="29"/>
      <c r="G1190" s="17"/>
      <c r="H1190" s="29"/>
      <c r="I1190" s="17"/>
      <c r="J1190" s="29"/>
      <c r="K1190" s="17"/>
      <c r="L1190" s="17"/>
      <c r="M1190" s="17"/>
      <c r="N1190" s="17"/>
      <c r="O1190" s="29"/>
      <c r="P1190" s="17"/>
      <c r="Q1190" s="29"/>
      <c r="R1190" s="17"/>
      <c r="S1190" s="29"/>
      <c r="T1190" s="17"/>
      <c r="U1190" s="17"/>
      <c r="V1190" s="17"/>
      <c r="W1190" s="17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</row>
    <row r="1191" hidden="1">
      <c r="A1191" s="13"/>
      <c r="B1191" s="13"/>
      <c r="C1191" s="13"/>
      <c r="D1191" s="17"/>
      <c r="E1191" s="17"/>
      <c r="F1191" s="29"/>
      <c r="G1191" s="17"/>
      <c r="H1191" s="29"/>
      <c r="I1191" s="17"/>
      <c r="J1191" s="29"/>
      <c r="K1191" s="17"/>
      <c r="L1191" s="17"/>
      <c r="M1191" s="17"/>
      <c r="N1191" s="17"/>
      <c r="O1191" s="29"/>
      <c r="P1191" s="17"/>
      <c r="Q1191" s="29"/>
      <c r="R1191" s="17"/>
      <c r="S1191" s="29"/>
      <c r="T1191" s="17"/>
      <c r="U1191" s="17"/>
      <c r="V1191" s="17"/>
      <c r="W1191" s="17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</row>
    <row r="1192" hidden="1">
      <c r="A1192" s="13"/>
      <c r="B1192" s="13"/>
      <c r="C1192" s="13"/>
      <c r="D1192" s="17"/>
      <c r="E1192" s="17"/>
      <c r="F1192" s="29"/>
      <c r="G1192" s="17"/>
      <c r="H1192" s="29"/>
      <c r="I1192" s="17"/>
      <c r="J1192" s="29"/>
      <c r="K1192" s="17"/>
      <c r="L1192" s="17"/>
      <c r="M1192" s="17"/>
      <c r="N1192" s="17"/>
      <c r="O1192" s="29"/>
      <c r="P1192" s="17"/>
      <c r="Q1192" s="29"/>
      <c r="R1192" s="17"/>
      <c r="S1192" s="29"/>
      <c r="T1192" s="17"/>
      <c r="U1192" s="17"/>
      <c r="V1192" s="17"/>
      <c r="W1192" s="17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</row>
    <row r="1193" hidden="1">
      <c r="A1193" s="13"/>
      <c r="B1193" s="13"/>
      <c r="C1193" s="13"/>
      <c r="D1193" s="17"/>
      <c r="E1193" s="17"/>
      <c r="F1193" s="29"/>
      <c r="G1193" s="17"/>
      <c r="H1193" s="29"/>
      <c r="I1193" s="17"/>
      <c r="J1193" s="29"/>
      <c r="K1193" s="17"/>
      <c r="L1193" s="17"/>
      <c r="M1193" s="17"/>
      <c r="N1193" s="17"/>
      <c r="O1193" s="29"/>
      <c r="P1193" s="17"/>
      <c r="Q1193" s="29"/>
      <c r="R1193" s="17"/>
      <c r="S1193" s="29"/>
      <c r="T1193" s="17"/>
      <c r="U1193" s="17"/>
      <c r="V1193" s="17"/>
      <c r="W1193" s="17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</row>
    <row r="1194" hidden="1">
      <c r="A1194" s="13"/>
      <c r="B1194" s="13"/>
      <c r="C1194" s="13"/>
      <c r="D1194" s="17"/>
      <c r="E1194" s="17"/>
      <c r="F1194" s="29"/>
      <c r="G1194" s="17"/>
      <c r="H1194" s="29"/>
      <c r="I1194" s="17"/>
      <c r="J1194" s="29"/>
      <c r="K1194" s="17"/>
      <c r="L1194" s="17"/>
      <c r="M1194" s="17"/>
      <c r="N1194" s="17"/>
      <c r="O1194" s="29"/>
      <c r="P1194" s="17"/>
      <c r="Q1194" s="29"/>
      <c r="R1194" s="17"/>
      <c r="S1194" s="29"/>
      <c r="T1194" s="17"/>
      <c r="U1194" s="17"/>
      <c r="V1194" s="17"/>
      <c r="W1194" s="17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</row>
    <row r="1195" hidden="1">
      <c r="A1195" s="13"/>
      <c r="B1195" s="13"/>
      <c r="C1195" s="13"/>
      <c r="D1195" s="17"/>
      <c r="E1195" s="17"/>
      <c r="F1195" s="29"/>
      <c r="G1195" s="17"/>
      <c r="H1195" s="29"/>
      <c r="I1195" s="17"/>
      <c r="J1195" s="29"/>
      <c r="K1195" s="17"/>
      <c r="L1195" s="17"/>
      <c r="M1195" s="17"/>
      <c r="N1195" s="17"/>
      <c r="O1195" s="29"/>
      <c r="P1195" s="17"/>
      <c r="Q1195" s="29"/>
      <c r="R1195" s="17"/>
      <c r="S1195" s="29"/>
      <c r="T1195" s="17"/>
      <c r="U1195" s="17"/>
      <c r="V1195" s="17"/>
      <c r="W1195" s="17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</row>
    <row r="1196" hidden="1">
      <c r="A1196" s="13"/>
      <c r="B1196" s="13"/>
      <c r="C1196" s="13"/>
      <c r="D1196" s="17"/>
      <c r="E1196" s="17"/>
      <c r="F1196" s="29"/>
      <c r="G1196" s="17"/>
      <c r="H1196" s="29"/>
      <c r="I1196" s="17"/>
      <c r="J1196" s="29"/>
      <c r="K1196" s="17"/>
      <c r="L1196" s="17"/>
      <c r="M1196" s="17"/>
      <c r="N1196" s="17"/>
      <c r="O1196" s="29"/>
      <c r="P1196" s="17"/>
      <c r="Q1196" s="29"/>
      <c r="R1196" s="17"/>
      <c r="S1196" s="29"/>
      <c r="T1196" s="17"/>
      <c r="U1196" s="17"/>
      <c r="V1196" s="17"/>
      <c r="W1196" s="17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</row>
    <row r="1197" hidden="1">
      <c r="A1197" s="13"/>
      <c r="B1197" s="13"/>
      <c r="C1197" s="13"/>
      <c r="D1197" s="17"/>
      <c r="E1197" s="17"/>
      <c r="F1197" s="29"/>
      <c r="G1197" s="17"/>
      <c r="H1197" s="29"/>
      <c r="I1197" s="17"/>
      <c r="J1197" s="29"/>
      <c r="K1197" s="17"/>
      <c r="L1197" s="17"/>
      <c r="M1197" s="17"/>
      <c r="N1197" s="17"/>
      <c r="O1197" s="29"/>
      <c r="P1197" s="17"/>
      <c r="Q1197" s="29"/>
      <c r="R1197" s="17"/>
      <c r="S1197" s="29"/>
      <c r="T1197" s="17"/>
      <c r="U1197" s="17"/>
      <c r="V1197" s="17"/>
      <c r="W1197" s="17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</row>
    <row r="1198" hidden="1">
      <c r="A1198" s="13"/>
      <c r="B1198" s="13"/>
      <c r="C1198" s="13"/>
      <c r="D1198" s="17"/>
      <c r="E1198" s="17"/>
      <c r="F1198" s="29"/>
      <c r="G1198" s="17"/>
      <c r="H1198" s="29"/>
      <c r="I1198" s="17"/>
      <c r="J1198" s="29"/>
      <c r="K1198" s="17"/>
      <c r="L1198" s="17"/>
      <c r="M1198" s="17"/>
      <c r="N1198" s="17"/>
      <c r="O1198" s="29"/>
      <c r="P1198" s="17"/>
      <c r="Q1198" s="29"/>
      <c r="R1198" s="17"/>
      <c r="S1198" s="29"/>
      <c r="T1198" s="17"/>
      <c r="U1198" s="17"/>
      <c r="V1198" s="17"/>
      <c r="W1198" s="17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</row>
    <row r="1199" hidden="1">
      <c r="A1199" s="13"/>
      <c r="B1199" s="13"/>
      <c r="C1199" s="13"/>
      <c r="D1199" s="17"/>
      <c r="E1199" s="17"/>
      <c r="F1199" s="29"/>
      <c r="G1199" s="17"/>
      <c r="H1199" s="29"/>
      <c r="I1199" s="17"/>
      <c r="J1199" s="29"/>
      <c r="K1199" s="17"/>
      <c r="L1199" s="17"/>
      <c r="M1199" s="17"/>
      <c r="N1199" s="17"/>
      <c r="O1199" s="29"/>
      <c r="P1199" s="17"/>
      <c r="Q1199" s="29"/>
      <c r="R1199" s="17"/>
      <c r="S1199" s="29"/>
      <c r="T1199" s="17"/>
      <c r="U1199" s="17"/>
      <c r="V1199" s="17"/>
      <c r="W1199" s="17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</row>
  </sheetData>
  <autoFilter ref="$A$1:$A$1199">
    <filterColumn colId="0">
      <filters>
        <filter val="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.63"/>
    <col customWidth="1" min="3" max="3" width="15.88"/>
    <col customWidth="1" min="5" max="5" width="20.25"/>
    <col customWidth="1" min="6" max="6" width="4.63"/>
    <col customWidth="1" min="7" max="7" width="15.88"/>
    <col customWidth="1" min="9" max="9" width="20.25"/>
    <col customWidth="1" min="10" max="10" width="4.63"/>
    <col customWidth="1" min="11" max="11" width="15.88"/>
  </cols>
  <sheetData>
    <row r="1">
      <c r="A1" s="2" t="s">
        <v>0</v>
      </c>
      <c r="B1" s="2" t="s">
        <v>1</v>
      </c>
      <c r="C1" s="3" t="s">
        <v>2</v>
      </c>
      <c r="E1" s="2" t="s">
        <v>0</v>
      </c>
      <c r="F1" s="2" t="s">
        <v>1</v>
      </c>
      <c r="G1" s="3" t="s">
        <v>2</v>
      </c>
      <c r="I1" s="2" t="s">
        <v>0</v>
      </c>
      <c r="J1" s="2" t="s">
        <v>1</v>
      </c>
      <c r="K1" s="3" t="s">
        <v>2</v>
      </c>
    </row>
    <row r="2">
      <c r="A2" s="7" t="s">
        <v>24</v>
      </c>
      <c r="B2" s="7">
        <v>2030.0</v>
      </c>
      <c r="C2" s="8">
        <v>1521091.0</v>
      </c>
      <c r="E2" s="7" t="s">
        <v>24</v>
      </c>
      <c r="F2" s="7">
        <v>2040.0</v>
      </c>
      <c r="G2" s="8">
        <v>1653659.0</v>
      </c>
      <c r="I2" s="7" t="s">
        <v>24</v>
      </c>
      <c r="J2" s="7">
        <v>2050.0</v>
      </c>
      <c r="K2" s="8">
        <v>1771185.0</v>
      </c>
    </row>
    <row r="3">
      <c r="A3" s="16" t="s">
        <v>30</v>
      </c>
      <c r="B3" s="16">
        <v>2030.0</v>
      </c>
      <c r="C3" s="17">
        <f>374961+391323</f>
        <v>766284</v>
      </c>
      <c r="E3" s="16" t="s">
        <v>30</v>
      </c>
      <c r="F3" s="16">
        <v>2040.0</v>
      </c>
      <c r="G3" s="17">
        <f>401278+419330</f>
        <v>820608</v>
      </c>
      <c r="I3" s="16" t="s">
        <v>30</v>
      </c>
      <c r="J3" s="16">
        <v>2050.0</v>
      </c>
      <c r="K3" s="17">
        <f>419100+438415</f>
        <v>857515</v>
      </c>
    </row>
    <row r="4">
      <c r="A4" s="16" t="s">
        <v>31</v>
      </c>
      <c r="B4" s="16">
        <v>2030.0</v>
      </c>
      <c r="C4" s="17">
        <f>10331+10695</f>
        <v>21026</v>
      </c>
      <c r="E4" s="16" t="s">
        <v>31</v>
      </c>
      <c r="F4" s="16">
        <v>2040.0</v>
      </c>
      <c r="G4" s="17">
        <f>11484+11875</f>
        <v>23359</v>
      </c>
      <c r="I4" s="16" t="s">
        <v>31</v>
      </c>
      <c r="J4" s="16">
        <v>2050.0</v>
      </c>
      <c r="K4" s="17">
        <f>11965+12358</f>
        <v>24323</v>
      </c>
    </row>
    <row r="5">
      <c r="A5" s="16" t="s">
        <v>32</v>
      </c>
      <c r="B5" s="16">
        <v>2030.0</v>
      </c>
      <c r="C5" s="17">
        <f>1213206+1278324</f>
        <v>2491530</v>
      </c>
      <c r="E5" s="16" t="s">
        <v>32</v>
      </c>
      <c r="F5" s="16">
        <v>2040.0</v>
      </c>
      <c r="G5" s="17">
        <f>1327238+1399803</f>
        <v>2727041</v>
      </c>
      <c r="I5" s="16" t="s">
        <v>32</v>
      </c>
      <c r="J5" s="16">
        <v>2050.0</v>
      </c>
      <c r="K5" s="17">
        <f>1250892+1319902</f>
        <v>2570794</v>
      </c>
    </row>
    <row r="6">
      <c r="A6" s="16" t="s">
        <v>33</v>
      </c>
      <c r="B6" s="16">
        <v>2030.0</v>
      </c>
      <c r="C6" s="17">
        <f>505962+530579</f>
        <v>1036541</v>
      </c>
      <c r="E6" s="16" t="s">
        <v>33</v>
      </c>
      <c r="F6" s="16">
        <v>2040.0</v>
      </c>
      <c r="G6" s="17">
        <f>508605+533053</f>
        <v>1041658</v>
      </c>
      <c r="I6" s="16" t="s">
        <v>33</v>
      </c>
      <c r="J6" s="16">
        <v>2050.0</v>
      </c>
      <c r="K6" s="17">
        <f>482638+505938</f>
        <v>988576</v>
      </c>
    </row>
    <row r="7">
      <c r="A7" s="16" t="s">
        <v>34</v>
      </c>
      <c r="B7" s="16">
        <v>2030.0</v>
      </c>
      <c r="C7" s="17">
        <f>597042+627808</f>
        <v>1224850</v>
      </c>
      <c r="E7" s="16" t="s">
        <v>34</v>
      </c>
      <c r="F7" s="16">
        <v>2040.0</v>
      </c>
      <c r="G7" s="17">
        <f>644831+677866</f>
        <v>1322697</v>
      </c>
      <c r="I7" s="16" t="s">
        <v>34</v>
      </c>
      <c r="J7" s="16">
        <v>2050.0</v>
      </c>
      <c r="K7" s="17">
        <f>644321+677667</f>
        <v>1321988</v>
      </c>
    </row>
    <row r="8">
      <c r="A8" s="16" t="s">
        <v>35</v>
      </c>
      <c r="B8" s="16">
        <v>2030.0</v>
      </c>
      <c r="C8" s="17">
        <f>112693+117975</f>
        <v>230668</v>
      </c>
      <c r="E8" s="16" t="s">
        <v>35</v>
      </c>
      <c r="F8" s="16">
        <v>2040.0</v>
      </c>
      <c r="G8" s="17">
        <f>122859+128721</f>
        <v>251580</v>
      </c>
      <c r="I8" s="16" t="s">
        <v>35</v>
      </c>
      <c r="J8" s="16">
        <v>2050.0</v>
      </c>
      <c r="K8" s="17">
        <f>116857+122500</f>
        <v>239357</v>
      </c>
    </row>
    <row r="9">
      <c r="A9" s="16" t="s">
        <v>36</v>
      </c>
      <c r="B9" s="16">
        <v>2030.0</v>
      </c>
      <c r="C9" s="17">
        <f>26186+27312</f>
        <v>53498</v>
      </c>
      <c r="E9" s="16" t="s">
        <v>36</v>
      </c>
      <c r="F9" s="16">
        <v>2040.0</v>
      </c>
      <c r="G9" s="18">
        <f>30100+31364</f>
        <v>61464</v>
      </c>
      <c r="I9" s="16" t="s">
        <v>36</v>
      </c>
      <c r="J9" s="16">
        <v>2050.0</v>
      </c>
      <c r="K9" s="17">
        <f>31797+33113</f>
        <v>64910</v>
      </c>
    </row>
    <row r="10">
      <c r="A10" s="16" t="s">
        <v>37</v>
      </c>
      <c r="B10" s="16">
        <v>2030.0</v>
      </c>
      <c r="C10" s="17">
        <f>45471+47792</f>
        <v>93263</v>
      </c>
      <c r="E10" s="16" t="s">
        <v>37</v>
      </c>
      <c r="F10" s="16">
        <v>2040.0</v>
      </c>
      <c r="G10" s="17">
        <f>47586+50064</f>
        <v>97650</v>
      </c>
      <c r="I10" s="16" t="s">
        <v>37</v>
      </c>
      <c r="J10" s="16">
        <v>2050.0</v>
      </c>
      <c r="K10" s="17">
        <f>42076+44309</f>
        <v>86385</v>
      </c>
    </row>
    <row r="11">
      <c r="A11" s="16" t="s">
        <v>38</v>
      </c>
      <c r="B11" s="16">
        <v>2030.0</v>
      </c>
      <c r="C11" s="17">
        <f>57121+60361</f>
        <v>117482</v>
      </c>
      <c r="E11" s="16" t="s">
        <v>38</v>
      </c>
      <c r="F11" s="16">
        <v>2040.0</v>
      </c>
      <c r="G11" s="17">
        <f>59613+62994</f>
        <v>122607</v>
      </c>
      <c r="I11" s="16" t="s">
        <v>38</v>
      </c>
      <c r="J11" s="16">
        <v>2050.0</v>
      </c>
      <c r="K11" s="17">
        <f>56799+60046</f>
        <v>116845</v>
      </c>
    </row>
    <row r="12">
      <c r="A12" s="16" t="s">
        <v>39</v>
      </c>
      <c r="B12" s="16">
        <v>2030.0</v>
      </c>
      <c r="C12" s="17">
        <f>289365+302361</f>
        <v>591726</v>
      </c>
      <c r="E12" s="16" t="s">
        <v>39</v>
      </c>
      <c r="F12" s="16">
        <v>2040.0</v>
      </c>
      <c r="G12" s="17">
        <f>277438+290105</f>
        <v>567543</v>
      </c>
      <c r="I12" s="16" t="s">
        <v>39</v>
      </c>
      <c r="J12" s="16">
        <v>2050.0</v>
      </c>
      <c r="K12" s="17">
        <f>257893+269957</f>
        <v>527850</v>
      </c>
    </row>
    <row r="13">
      <c r="A13" s="16" t="s">
        <v>40</v>
      </c>
      <c r="B13" s="16">
        <v>2030.0</v>
      </c>
      <c r="C13" s="17">
        <f>43819+45684</f>
        <v>89503</v>
      </c>
      <c r="E13" s="16" t="s">
        <v>40</v>
      </c>
      <c r="F13" s="16">
        <v>2040.0</v>
      </c>
      <c r="G13" s="17">
        <f>45562+47538</f>
        <v>93100</v>
      </c>
      <c r="I13" s="16" t="s">
        <v>40</v>
      </c>
      <c r="J13" s="16">
        <v>2050.0</v>
      </c>
      <c r="K13" s="17">
        <f>51089+53324</f>
        <v>104413</v>
      </c>
    </row>
    <row r="14">
      <c r="A14" s="16" t="s">
        <v>41</v>
      </c>
      <c r="B14" s="16">
        <v>2030.0</v>
      </c>
      <c r="C14" s="17">
        <f>16972+17539</f>
        <v>34511</v>
      </c>
      <c r="E14" s="16" t="s">
        <v>41</v>
      </c>
      <c r="F14" s="16">
        <v>2040.0</v>
      </c>
      <c r="G14" s="17">
        <f>21321+22069</f>
        <v>43390</v>
      </c>
      <c r="I14" s="16" t="s">
        <v>41</v>
      </c>
      <c r="J14" s="16">
        <v>2050.0</v>
      </c>
      <c r="K14" s="17">
        <f>24429+25294</f>
        <v>49723</v>
      </c>
    </row>
    <row r="15">
      <c r="A15" s="16" t="s">
        <v>42</v>
      </c>
      <c r="B15" s="16">
        <v>2030.0</v>
      </c>
      <c r="C15" s="17">
        <f>281853+295603</f>
        <v>577456</v>
      </c>
      <c r="E15" s="16" t="s">
        <v>42</v>
      </c>
      <c r="F15" s="16">
        <v>2040.0</v>
      </c>
      <c r="G15" s="17">
        <f>291532+305791</f>
        <v>597323</v>
      </c>
      <c r="I15" s="16" t="s">
        <v>42</v>
      </c>
      <c r="J15" s="16">
        <v>2050.0</v>
      </c>
      <c r="K15" s="17">
        <f>302075+316779</f>
        <v>618854</v>
      </c>
    </row>
    <row r="16">
      <c r="A16" s="16" t="s">
        <v>43</v>
      </c>
      <c r="B16" s="16">
        <v>2030.0</v>
      </c>
      <c r="C16" s="17">
        <f>837133+862887</f>
        <v>1700020</v>
      </c>
      <c r="E16" s="16" t="s">
        <v>43</v>
      </c>
      <c r="F16" s="16">
        <v>2040.0</v>
      </c>
      <c r="G16" s="17">
        <f>882132+908446</f>
        <v>1790578</v>
      </c>
      <c r="I16" s="16" t="s">
        <v>43</v>
      </c>
      <c r="J16" s="16">
        <v>2050.0</v>
      </c>
      <c r="K16" s="17">
        <f>949347+977359</f>
        <v>1926706</v>
      </c>
    </row>
    <row r="17">
      <c r="A17" s="16" t="s">
        <v>44</v>
      </c>
      <c r="B17" s="16">
        <v>2030.0</v>
      </c>
      <c r="C17" s="17">
        <f>327245+343169</f>
        <v>670414</v>
      </c>
      <c r="E17" s="16" t="s">
        <v>44</v>
      </c>
      <c r="F17" s="16">
        <v>2040.0</v>
      </c>
      <c r="G17" s="17">
        <f>285980+299993</f>
        <v>585973</v>
      </c>
      <c r="I17" s="16" t="s">
        <v>44</v>
      </c>
      <c r="J17" s="16">
        <v>2050.0</v>
      </c>
      <c r="K17" s="17">
        <f>260257+273270</f>
        <v>533527</v>
      </c>
    </row>
    <row r="18">
      <c r="A18" s="16" t="s">
        <v>45</v>
      </c>
      <c r="B18" s="16">
        <v>2030.0</v>
      </c>
      <c r="C18" s="17">
        <f>71326+74547</f>
        <v>145873</v>
      </c>
      <c r="E18" s="16" t="s">
        <v>45</v>
      </c>
      <c r="F18" s="16">
        <v>2040.0</v>
      </c>
      <c r="G18" s="17">
        <f>72652+75877</f>
        <v>148529</v>
      </c>
      <c r="I18" s="16" t="s">
        <v>45</v>
      </c>
      <c r="J18" s="16">
        <v>2050.0</v>
      </c>
      <c r="K18" s="17">
        <f>71659+74896</f>
        <v>146555</v>
      </c>
    </row>
    <row r="19">
      <c r="A19" s="16" t="s">
        <v>46</v>
      </c>
      <c r="B19" s="16">
        <v>2030.0</v>
      </c>
      <c r="C19" s="17">
        <f>490176+513619</f>
        <v>1003795</v>
      </c>
      <c r="E19" s="16" t="s">
        <v>46</v>
      </c>
      <c r="F19" s="16">
        <v>2040.0</v>
      </c>
      <c r="G19" s="17">
        <f>457839+479622</f>
        <v>937461</v>
      </c>
      <c r="I19" s="16" t="s">
        <v>46</v>
      </c>
      <c r="J19" s="16">
        <v>2050.0</v>
      </c>
      <c r="K19" s="17">
        <f>415696+435490</f>
        <v>851186</v>
      </c>
    </row>
    <row r="20">
      <c r="A20" s="16" t="s">
        <v>47</v>
      </c>
      <c r="B20" s="16">
        <v>2030.0</v>
      </c>
      <c r="C20" s="17">
        <f>68352+70233</f>
        <v>138585</v>
      </c>
      <c r="E20" s="16" t="s">
        <v>47</v>
      </c>
      <c r="F20" s="16">
        <v>2040.0</v>
      </c>
      <c r="G20" s="17">
        <f>82150+84480</f>
        <v>166630</v>
      </c>
      <c r="I20" s="16" t="s">
        <v>47</v>
      </c>
      <c r="J20" s="16">
        <v>2050.0</v>
      </c>
      <c r="K20" s="17">
        <f>88542+90990</f>
        <v>179532</v>
      </c>
    </row>
    <row r="21">
      <c r="A21" s="16" t="s">
        <v>48</v>
      </c>
      <c r="B21" s="16">
        <v>2030.0</v>
      </c>
      <c r="C21" s="17">
        <f>670735+705800</f>
        <v>1376535</v>
      </c>
      <c r="E21" s="16" t="s">
        <v>48</v>
      </c>
      <c r="F21" s="16">
        <v>2040.0</v>
      </c>
      <c r="G21" s="17">
        <f>704209+740564</f>
        <v>1444773</v>
      </c>
      <c r="I21" s="16" t="s">
        <v>48</v>
      </c>
      <c r="J21" s="16">
        <v>2050.0</v>
      </c>
      <c r="K21" s="17">
        <f>762677+801902</f>
        <v>1564579</v>
      </c>
    </row>
    <row r="22">
      <c r="A22" s="16" t="s">
        <v>49</v>
      </c>
      <c r="B22" s="16">
        <v>2030.0</v>
      </c>
      <c r="C22" s="17">
        <f>1580072+1653959</f>
        <v>3234031</v>
      </c>
      <c r="E22" s="16" t="s">
        <v>49</v>
      </c>
      <c r="F22" s="16">
        <v>2040.0</v>
      </c>
      <c r="G22" s="17">
        <f>1383470+1447859</f>
        <v>2831329</v>
      </c>
      <c r="I22" s="16" t="s">
        <v>49</v>
      </c>
      <c r="J22" s="16">
        <v>2050.0</v>
      </c>
      <c r="K22" s="17">
        <f>1327424+1390039</f>
        <v>2717463</v>
      </c>
    </row>
    <row r="23">
      <c r="A23" s="16" t="s">
        <v>50</v>
      </c>
      <c r="B23" s="16">
        <v>2030.0</v>
      </c>
      <c r="C23" s="18">
        <f>4652+4865</f>
        <v>9517</v>
      </c>
      <c r="E23" s="16" t="s">
        <v>50</v>
      </c>
      <c r="F23" s="16">
        <v>2040.0</v>
      </c>
      <c r="G23" s="17">
        <f>4406+4612</f>
        <v>9018</v>
      </c>
      <c r="I23" s="16" t="s">
        <v>50</v>
      </c>
      <c r="J23" s="16">
        <v>2050.0</v>
      </c>
      <c r="K23" s="17">
        <f>3776+3959</f>
        <v>7735</v>
      </c>
    </row>
    <row r="24">
      <c r="A24" s="16" t="s">
        <v>51</v>
      </c>
      <c r="B24" s="16">
        <v>2030.0</v>
      </c>
      <c r="C24" s="17">
        <f>10792760+11432189</f>
        <v>22224949</v>
      </c>
      <c r="E24" s="16" t="s">
        <v>51</v>
      </c>
      <c r="F24" s="16">
        <v>2040.0</v>
      </c>
      <c r="G24" s="17">
        <f>10043329+10562288</f>
        <v>20605617</v>
      </c>
      <c r="I24" s="16" t="s">
        <v>51</v>
      </c>
      <c r="J24" s="16">
        <v>2050.0</v>
      </c>
      <c r="K24" s="17">
        <f>9200381+9666706</f>
        <v>18867087</v>
      </c>
    </row>
    <row r="25">
      <c r="A25" s="16" t="s">
        <v>52</v>
      </c>
      <c r="B25" s="16">
        <v>2030.0</v>
      </c>
      <c r="C25" s="17">
        <f>250788+261549</f>
        <v>512337</v>
      </c>
      <c r="E25" s="16" t="s">
        <v>52</v>
      </c>
      <c r="F25" s="16">
        <v>2040.0</v>
      </c>
      <c r="G25" s="17">
        <f>227694+237303</f>
        <v>464997</v>
      </c>
      <c r="I25" s="16" t="s">
        <v>52</v>
      </c>
      <c r="J25" s="16">
        <v>2050.0</v>
      </c>
      <c r="K25" s="17">
        <f>210639+219686</f>
        <v>430325</v>
      </c>
    </row>
    <row r="26">
      <c r="A26" s="16" t="s">
        <v>53</v>
      </c>
      <c r="B26" s="16">
        <v>2030.0</v>
      </c>
      <c r="C26" s="17">
        <f>3342220+3497283</f>
        <v>6839503</v>
      </c>
      <c r="E26" s="16" t="s">
        <v>53</v>
      </c>
      <c r="F26" s="16">
        <v>2040.0</v>
      </c>
      <c r="G26" s="17">
        <f>3575948+3738612</f>
        <v>7314560</v>
      </c>
      <c r="I26" s="16" t="s">
        <v>53</v>
      </c>
      <c r="J26" s="16">
        <v>2050.0</v>
      </c>
      <c r="K26" s="17">
        <f>3574115+3735087</f>
        <v>7309202</v>
      </c>
    </row>
    <row r="27">
      <c r="A27" s="16" t="s">
        <v>54</v>
      </c>
      <c r="B27" s="16">
        <v>2030.0</v>
      </c>
      <c r="C27" s="17">
        <f>4011462+4321904</f>
        <v>8333366</v>
      </c>
      <c r="E27" s="16" t="s">
        <v>54</v>
      </c>
      <c r="F27" s="16">
        <v>2040.0</v>
      </c>
      <c r="G27" s="17">
        <f>4181810+4447348</f>
        <v>8629158</v>
      </c>
      <c r="I27" s="16" t="s">
        <v>54</v>
      </c>
      <c r="J27" s="16">
        <v>2050.0</v>
      </c>
      <c r="K27" s="17">
        <f>3636989+3860534</f>
        <v>7497523</v>
      </c>
    </row>
    <row r="28">
      <c r="A28" s="16" t="s">
        <v>55</v>
      </c>
      <c r="B28" s="16">
        <v>2030.0</v>
      </c>
      <c r="C28" s="17">
        <f>146125+154669</f>
        <v>300794</v>
      </c>
      <c r="E28" s="16" t="s">
        <v>55</v>
      </c>
      <c r="F28" s="16">
        <v>2040.0</v>
      </c>
      <c r="G28" s="17">
        <f>126473+133845</f>
        <v>260318</v>
      </c>
      <c r="I28" s="16" t="s">
        <v>55</v>
      </c>
      <c r="J28" s="16">
        <v>2050.0</v>
      </c>
      <c r="K28" s="17">
        <f>127887+135359</f>
        <v>263246</v>
      </c>
    </row>
    <row r="29">
      <c r="A29" s="16" t="s">
        <v>56</v>
      </c>
      <c r="B29" s="23">
        <v>2030.0</v>
      </c>
      <c r="C29" s="17">
        <f>284+300</f>
        <v>584</v>
      </c>
      <c r="E29" s="16" t="s">
        <v>56</v>
      </c>
      <c r="F29" s="23">
        <v>2040.0</v>
      </c>
      <c r="G29" s="17">
        <f>284+301</f>
        <v>585</v>
      </c>
      <c r="I29" s="16" t="s">
        <v>56</v>
      </c>
      <c r="J29" s="23">
        <v>2050.0</v>
      </c>
      <c r="K29" s="17">
        <f>248+263</f>
        <v>511</v>
      </c>
    </row>
    <row r="30">
      <c r="A30" s="16" t="s">
        <v>57</v>
      </c>
      <c r="B30" s="23">
        <v>2030.0</v>
      </c>
      <c r="C30" s="17">
        <f>7640+8145</f>
        <v>15785</v>
      </c>
      <c r="E30" s="16" t="s">
        <v>57</v>
      </c>
      <c r="F30" s="23">
        <v>2040.0</v>
      </c>
      <c r="G30" s="17">
        <f>7350+7828</f>
        <v>15178</v>
      </c>
      <c r="I30" s="16" t="s">
        <v>57</v>
      </c>
      <c r="J30" s="23">
        <v>2050.0</v>
      </c>
      <c r="K30" s="18">
        <f>6709+7143</f>
        <v>13852</v>
      </c>
    </row>
    <row r="31">
      <c r="A31" s="16" t="s">
        <v>58</v>
      </c>
      <c r="B31" s="23">
        <v>2030.0</v>
      </c>
      <c r="C31" s="17">
        <f>1325+1415</f>
        <v>2740</v>
      </c>
      <c r="E31" s="16" t="s">
        <v>58</v>
      </c>
      <c r="F31" s="23">
        <v>2040.0</v>
      </c>
      <c r="G31" s="17">
        <f>1319+1409</f>
        <v>2728</v>
      </c>
      <c r="I31" s="16" t="s">
        <v>58</v>
      </c>
      <c r="J31" s="23">
        <v>2050.0</v>
      </c>
      <c r="K31" s="17">
        <f>1337+1430</f>
        <v>2767</v>
      </c>
    </row>
    <row r="32">
      <c r="A32" s="16" t="s">
        <v>59</v>
      </c>
      <c r="B32" s="23">
        <v>2030.0</v>
      </c>
      <c r="C32" s="17">
        <f>1577+1674</f>
        <v>3251</v>
      </c>
      <c r="E32" s="16" t="s">
        <v>59</v>
      </c>
      <c r="F32" s="23">
        <v>2040.0</v>
      </c>
      <c r="G32" s="17">
        <f>1651+1750</f>
        <v>3401</v>
      </c>
      <c r="I32" s="16" t="s">
        <v>59</v>
      </c>
      <c r="J32" s="23">
        <v>2050.0</v>
      </c>
      <c r="K32" s="17">
        <f>1670+1769</f>
        <v>3439</v>
      </c>
    </row>
    <row r="33">
      <c r="A33" s="16" t="s">
        <v>60</v>
      </c>
      <c r="B33" s="23">
        <v>2030.0</v>
      </c>
      <c r="C33" s="17">
        <f>283+301</f>
        <v>584</v>
      </c>
      <c r="E33" s="16" t="s">
        <v>60</v>
      </c>
      <c r="F33" s="23">
        <v>2040.0</v>
      </c>
      <c r="G33" s="17">
        <f>279+297</f>
        <v>576</v>
      </c>
      <c r="I33" s="16" t="s">
        <v>60</v>
      </c>
      <c r="J33" s="23">
        <v>2050.0</v>
      </c>
      <c r="K33" s="17">
        <f>210+223</f>
        <v>433</v>
      </c>
    </row>
    <row r="34">
      <c r="A34" s="16" t="s">
        <v>61</v>
      </c>
      <c r="B34" s="23">
        <v>2030.0</v>
      </c>
      <c r="C34" s="17">
        <f>1173+1249</f>
        <v>2422</v>
      </c>
      <c r="E34" s="16" t="s">
        <v>61</v>
      </c>
      <c r="F34" s="23">
        <v>2040.0</v>
      </c>
      <c r="G34" s="17">
        <f>1080+1148</f>
        <v>2228</v>
      </c>
      <c r="I34" s="16" t="s">
        <v>61</v>
      </c>
      <c r="J34" s="23">
        <v>2050.0</v>
      </c>
      <c r="K34" s="17">
        <f>990+1052</f>
        <v>2042</v>
      </c>
    </row>
    <row r="35">
      <c r="A35" s="16" t="s">
        <v>62</v>
      </c>
      <c r="B35" s="23">
        <v>2030.0</v>
      </c>
      <c r="C35" s="17">
        <f>138+147</f>
        <v>285</v>
      </c>
      <c r="E35" s="16" t="s">
        <v>62</v>
      </c>
      <c r="F35" s="23">
        <v>2040.0</v>
      </c>
      <c r="G35" s="17">
        <f>155+166</f>
        <v>321</v>
      </c>
      <c r="I35" s="16" t="s">
        <v>62</v>
      </c>
      <c r="J35" s="23">
        <v>2050.0</v>
      </c>
      <c r="K35" s="17">
        <f>153+163</f>
        <v>316</v>
      </c>
    </row>
    <row r="36">
      <c r="A36" s="16" t="s">
        <v>63</v>
      </c>
      <c r="B36" s="23">
        <v>2030.0</v>
      </c>
      <c r="C36" s="17">
        <f>198+229</f>
        <v>427</v>
      </c>
      <c r="E36" s="16" t="s">
        <v>63</v>
      </c>
      <c r="F36" s="23">
        <v>2040.0</v>
      </c>
      <c r="G36" s="17">
        <f>260+300</f>
        <v>560</v>
      </c>
      <c r="I36" s="16" t="s">
        <v>63</v>
      </c>
      <c r="J36" s="23">
        <v>2050.0</v>
      </c>
      <c r="K36" s="17">
        <f>222+256</f>
        <v>478</v>
      </c>
    </row>
    <row r="37">
      <c r="A37" s="16" t="s">
        <v>64</v>
      </c>
      <c r="B37" s="23">
        <v>2030.0</v>
      </c>
      <c r="C37" s="17">
        <f>86+92</f>
        <v>178</v>
      </c>
      <c r="E37" s="16" t="s">
        <v>64</v>
      </c>
      <c r="F37" s="23">
        <v>2040.0</v>
      </c>
      <c r="G37" s="17">
        <f>85+91</f>
        <v>176</v>
      </c>
      <c r="I37" s="16" t="s">
        <v>64</v>
      </c>
      <c r="J37" s="23">
        <v>2050.0</v>
      </c>
      <c r="K37" s="17">
        <f>75+81</f>
        <v>156</v>
      </c>
    </row>
    <row r="38">
      <c r="A38" s="16" t="s">
        <v>65</v>
      </c>
      <c r="B38" s="23">
        <v>2030.0</v>
      </c>
      <c r="C38" s="17">
        <f>122019+130547</f>
        <v>252566</v>
      </c>
      <c r="E38" s="16" t="s">
        <v>65</v>
      </c>
      <c r="F38" s="23">
        <v>2040.0</v>
      </c>
      <c r="G38" s="17">
        <f>125842+134553</f>
        <v>260395</v>
      </c>
      <c r="I38" s="16" t="s">
        <v>65</v>
      </c>
      <c r="J38" s="23">
        <v>2050.0</v>
      </c>
      <c r="K38" s="17">
        <f>127601+136400</f>
        <v>264001</v>
      </c>
    </row>
    <row r="39">
      <c r="A39" s="16" t="s">
        <v>66</v>
      </c>
      <c r="B39" s="23">
        <v>2030.0</v>
      </c>
      <c r="C39" s="17">
        <f>2591+2781</f>
        <v>5372</v>
      </c>
      <c r="E39" s="16" t="s">
        <v>66</v>
      </c>
      <c r="F39" s="23">
        <v>2040.0</v>
      </c>
      <c r="G39" s="17">
        <f>3019+3239</f>
        <v>6258</v>
      </c>
      <c r="I39" s="16" t="s">
        <v>66</v>
      </c>
      <c r="J39" s="23">
        <v>2050.0</v>
      </c>
      <c r="K39" s="17">
        <f>2873+3085</f>
        <v>5958</v>
      </c>
    </row>
    <row r="40">
      <c r="A40" s="16" t="s">
        <v>67</v>
      </c>
      <c r="B40" s="23">
        <v>2030.0</v>
      </c>
      <c r="C40" s="17">
        <f>11215+11960</f>
        <v>23175</v>
      </c>
      <c r="E40" s="16" t="s">
        <v>67</v>
      </c>
      <c r="F40" s="23">
        <v>2040.0</v>
      </c>
      <c r="G40" s="17">
        <f>12233+13043</f>
        <v>25276</v>
      </c>
      <c r="I40" s="16" t="s">
        <v>67</v>
      </c>
      <c r="J40" s="23">
        <v>2050.0</v>
      </c>
      <c r="K40" s="17">
        <f>12376+13197</f>
        <v>25573</v>
      </c>
    </row>
    <row r="41">
      <c r="A41" s="16" t="s">
        <v>68</v>
      </c>
      <c r="B41" s="23">
        <v>2030.0</v>
      </c>
      <c r="C41" s="17">
        <f>1067+1153</f>
        <v>2220</v>
      </c>
      <c r="E41" s="16" t="s">
        <v>68</v>
      </c>
      <c r="F41" s="23">
        <v>2040.0</v>
      </c>
      <c r="G41" s="17">
        <f>1073+1160</f>
        <v>2233</v>
      </c>
      <c r="I41" s="16" t="s">
        <v>68</v>
      </c>
      <c r="J41" s="23">
        <v>2050.0</v>
      </c>
      <c r="K41" s="17">
        <f>935+1011</f>
        <v>1946</v>
      </c>
    </row>
    <row r="42">
      <c r="A42" s="16" t="s">
        <v>69</v>
      </c>
      <c r="B42" s="23">
        <v>2030.0</v>
      </c>
      <c r="C42" s="17">
        <f>81+86</f>
        <v>167</v>
      </c>
      <c r="E42" s="16" t="s">
        <v>69</v>
      </c>
      <c r="F42" s="23">
        <v>2040.0</v>
      </c>
      <c r="G42" s="17">
        <f>89+95</f>
        <v>184</v>
      </c>
      <c r="I42" s="16" t="s">
        <v>69</v>
      </c>
      <c r="J42" s="23">
        <v>2050.0</v>
      </c>
      <c r="K42" s="17">
        <f>90+96</f>
        <v>186</v>
      </c>
    </row>
    <row r="43">
      <c r="A43" s="16" t="s">
        <v>70</v>
      </c>
      <c r="B43" s="23">
        <v>2030.0</v>
      </c>
      <c r="C43" s="17">
        <f>4557+4863</f>
        <v>9420</v>
      </c>
      <c r="E43" s="16" t="s">
        <v>70</v>
      </c>
      <c r="F43" s="23">
        <v>2040.0</v>
      </c>
      <c r="G43" s="17">
        <f>5233+5584</f>
        <v>10817</v>
      </c>
      <c r="I43" s="16" t="s">
        <v>70</v>
      </c>
      <c r="J43" s="23">
        <v>2050.0</v>
      </c>
      <c r="K43" s="17">
        <f>5538+5913</f>
        <v>11451</v>
      </c>
    </row>
    <row r="44">
      <c r="A44" s="16" t="s">
        <v>71</v>
      </c>
      <c r="B44" s="23">
        <v>2030.0</v>
      </c>
      <c r="C44" s="17">
        <f>166409+174319</f>
        <v>340728</v>
      </c>
      <c r="E44" s="16" t="s">
        <v>71</v>
      </c>
      <c r="F44" s="23">
        <v>2040.0</v>
      </c>
      <c r="G44" s="17">
        <f>165065+172869</f>
        <v>337934</v>
      </c>
      <c r="I44" s="16" t="s">
        <v>71</v>
      </c>
      <c r="J44" s="23">
        <v>2050.0</v>
      </c>
      <c r="K44" s="17">
        <f>159119+166756</f>
        <v>325875</v>
      </c>
    </row>
    <row r="45">
      <c r="A45" s="16" t="s">
        <v>72</v>
      </c>
      <c r="B45" s="23">
        <v>2030.0</v>
      </c>
      <c r="C45" s="17">
        <f>2088480+2207070</f>
        <v>4295550</v>
      </c>
      <c r="E45" s="16" t="s">
        <v>72</v>
      </c>
      <c r="F45" s="23">
        <v>2040.0</v>
      </c>
      <c r="G45" s="17">
        <f>2051654+2168723</f>
        <v>4220377</v>
      </c>
      <c r="I45" s="16" t="s">
        <v>72</v>
      </c>
      <c r="J45" s="23">
        <v>2050.0</v>
      </c>
      <c r="K45" s="17">
        <f>1903823+2013816</f>
        <v>3917639</v>
      </c>
    </row>
    <row r="46">
      <c r="A46" s="16" t="s">
        <v>73</v>
      </c>
      <c r="B46" s="23">
        <v>2030.0</v>
      </c>
      <c r="C46" s="17">
        <f>74289+77692</f>
        <v>151981</v>
      </c>
      <c r="E46" s="16" t="s">
        <v>73</v>
      </c>
      <c r="F46" s="23">
        <v>2040.0</v>
      </c>
      <c r="G46" s="17">
        <f>70674+73919</f>
        <v>144593</v>
      </c>
      <c r="I46" s="16" t="s">
        <v>73</v>
      </c>
      <c r="J46" s="23">
        <v>2050.0</v>
      </c>
      <c r="K46" s="17">
        <f>65617+68684</f>
        <v>134301</v>
      </c>
    </row>
    <row r="47">
      <c r="A47" s="16" t="s">
        <v>74</v>
      </c>
      <c r="B47" s="23">
        <v>2030.0</v>
      </c>
      <c r="C47" s="17">
        <f>218041+231749</f>
        <v>449790</v>
      </c>
      <c r="E47" s="16" t="s">
        <v>74</v>
      </c>
      <c r="F47" s="23">
        <v>2040.0</v>
      </c>
      <c r="G47" s="17">
        <f>226893+241060</f>
        <v>467953</v>
      </c>
      <c r="I47" s="16" t="s">
        <v>74</v>
      </c>
      <c r="J47" s="23">
        <v>2050.0</v>
      </c>
      <c r="K47" s="17">
        <f>216713+230215</f>
        <v>446928</v>
      </c>
    </row>
    <row r="48">
      <c r="A48" s="16" t="s">
        <v>75</v>
      </c>
      <c r="B48" s="23">
        <v>2030.0</v>
      </c>
      <c r="C48" s="17">
        <f>2341+2451</f>
        <v>4792</v>
      </c>
      <c r="E48" s="16" t="s">
        <v>75</v>
      </c>
      <c r="F48" s="23">
        <v>2040.0</v>
      </c>
      <c r="G48" s="17">
        <f>2468+2592</f>
        <v>5060</v>
      </c>
      <c r="I48" s="16" t="s">
        <v>75</v>
      </c>
      <c r="J48" s="23">
        <v>2050.0</v>
      </c>
      <c r="K48" s="17">
        <f>2584+2715</f>
        <v>5299</v>
      </c>
    </row>
    <row r="49">
      <c r="A49" s="16" t="s">
        <v>76</v>
      </c>
      <c r="B49" s="23">
        <v>2030.0</v>
      </c>
      <c r="C49" s="17">
        <f>5236+5410</f>
        <v>10646</v>
      </c>
      <c r="E49" s="16" t="s">
        <v>76</v>
      </c>
      <c r="F49" s="23">
        <v>2040.0</v>
      </c>
      <c r="G49" s="17">
        <f>4555+4710</f>
        <v>9265</v>
      </c>
      <c r="I49" s="16" t="s">
        <v>76</v>
      </c>
      <c r="J49" s="23">
        <v>2050.0</v>
      </c>
      <c r="K49" s="17">
        <f>3610+3734</f>
        <v>7344</v>
      </c>
    </row>
    <row r="50">
      <c r="A50" s="16" t="s">
        <v>77</v>
      </c>
      <c r="B50" s="23">
        <v>2030.0</v>
      </c>
      <c r="C50" s="17">
        <f>403697+426546</f>
        <v>830243</v>
      </c>
      <c r="E50" s="16" t="s">
        <v>77</v>
      </c>
      <c r="F50" s="23">
        <v>2040.0</v>
      </c>
      <c r="G50" s="17">
        <f>376481+397487</f>
        <v>773968</v>
      </c>
      <c r="I50" s="16" t="s">
        <v>77</v>
      </c>
      <c r="J50" s="23">
        <v>2050.0</v>
      </c>
      <c r="K50" s="17">
        <f>351761+371485</f>
        <v>723246</v>
      </c>
    </row>
    <row r="51">
      <c r="A51" s="16" t="s">
        <v>78</v>
      </c>
      <c r="B51" s="23">
        <v>2030.0</v>
      </c>
      <c r="C51" s="17">
        <f>891055+955343</f>
        <v>1846398</v>
      </c>
      <c r="E51" s="16" t="s">
        <v>78</v>
      </c>
      <c r="F51" s="23">
        <v>2040.0</v>
      </c>
      <c r="G51" s="17">
        <f>891920+955049</f>
        <v>1846969</v>
      </c>
      <c r="I51" s="16" t="s">
        <v>78</v>
      </c>
      <c r="J51" s="23">
        <v>2050.0</v>
      </c>
      <c r="K51" s="17">
        <f>783838+839460</f>
        <v>1623298</v>
      </c>
    </row>
    <row r="52">
      <c r="A52" s="16" t="s">
        <v>79</v>
      </c>
      <c r="B52" s="23">
        <v>2030.0</v>
      </c>
      <c r="C52" s="17">
        <f>869+899</f>
        <v>1768</v>
      </c>
      <c r="E52" s="16" t="s">
        <v>79</v>
      </c>
      <c r="F52" s="23">
        <v>2040.0</v>
      </c>
      <c r="G52" s="17">
        <f>768+794</f>
        <v>1562</v>
      </c>
      <c r="I52" s="16" t="s">
        <v>79</v>
      </c>
      <c r="J52" s="23">
        <v>2050.0</v>
      </c>
      <c r="K52" s="17">
        <f>748+774</f>
        <v>1522</v>
      </c>
    </row>
    <row r="53">
      <c r="A53" s="16" t="s">
        <v>80</v>
      </c>
      <c r="B53" s="23">
        <v>2030.0</v>
      </c>
      <c r="C53" s="17">
        <f>151535+158097</f>
        <v>309632</v>
      </c>
      <c r="E53" s="16" t="s">
        <v>80</v>
      </c>
      <c r="F53" s="23">
        <v>2040.0</v>
      </c>
      <c r="G53" s="17">
        <f>146180+152564</f>
        <v>298744</v>
      </c>
      <c r="I53" s="16" t="s">
        <v>80</v>
      </c>
      <c r="J53" s="23">
        <v>2050.0</v>
      </c>
      <c r="K53" s="17">
        <f>132035+137844</f>
        <v>269879</v>
      </c>
    </row>
    <row r="54">
      <c r="A54" s="16" t="s">
        <v>81</v>
      </c>
      <c r="B54" s="23">
        <v>2030.0</v>
      </c>
      <c r="C54" s="17">
        <f>267201+284040</f>
        <v>551241</v>
      </c>
      <c r="E54" s="16" t="s">
        <v>81</v>
      </c>
      <c r="F54" s="23">
        <v>2040.0</v>
      </c>
      <c r="G54" s="17">
        <f>252144+268121</f>
        <v>520265</v>
      </c>
      <c r="I54" s="16" t="s">
        <v>81</v>
      </c>
      <c r="J54" s="23">
        <v>2050.0</v>
      </c>
      <c r="K54" s="17">
        <f>225017+239328</f>
        <v>464345</v>
      </c>
    </row>
    <row r="55">
      <c r="A55" s="16" t="s">
        <v>82</v>
      </c>
      <c r="B55" s="23">
        <v>2030.0</v>
      </c>
      <c r="C55" s="17">
        <f>14810+15751</f>
        <v>30561</v>
      </c>
      <c r="E55" s="16" t="s">
        <v>82</v>
      </c>
      <c r="F55" s="23">
        <v>2040.0</v>
      </c>
      <c r="G55" s="17">
        <f>14638+15562</f>
        <v>30200</v>
      </c>
      <c r="I55" s="16" t="s">
        <v>82</v>
      </c>
      <c r="J55" s="23">
        <v>2050.0</v>
      </c>
      <c r="K55" s="17">
        <f>13328+14173</f>
        <v>27501</v>
      </c>
    </row>
    <row r="56">
      <c r="A56" s="16" t="s">
        <v>83</v>
      </c>
      <c r="B56" s="23">
        <v>2030.0</v>
      </c>
      <c r="C56" s="17">
        <f>603734+655970</f>
        <v>1259704</v>
      </c>
      <c r="E56" s="16" t="s">
        <v>83</v>
      </c>
      <c r="F56" s="23">
        <v>2040.0</v>
      </c>
      <c r="G56" s="17">
        <f>629160+672377</f>
        <v>1301537</v>
      </c>
      <c r="I56" s="16" t="s">
        <v>83</v>
      </c>
      <c r="J56" s="23">
        <v>2050.0</v>
      </c>
      <c r="K56" s="17">
        <f>555770+591137</f>
        <v>1146907</v>
      </c>
    </row>
    <row r="57">
      <c r="A57" s="16" t="s">
        <v>84</v>
      </c>
      <c r="B57" s="23">
        <v>2030.0</v>
      </c>
      <c r="C57" s="17">
        <f>745835+759795</f>
        <v>1505630</v>
      </c>
      <c r="E57" s="16" t="s">
        <v>84</v>
      </c>
      <c r="F57" s="23">
        <v>2040.0</v>
      </c>
      <c r="G57" s="17">
        <f>868538+884778</f>
        <v>1753316</v>
      </c>
      <c r="I57" s="16" t="s">
        <v>84</v>
      </c>
      <c r="J57" s="23">
        <v>2050.0</v>
      </c>
      <c r="K57" s="17">
        <f>965453+983107</f>
        <v>1948560</v>
      </c>
    </row>
    <row r="58">
      <c r="A58" s="16" t="s">
        <v>85</v>
      </c>
      <c r="B58" s="23">
        <v>2030.0</v>
      </c>
      <c r="C58" s="17">
        <f>127994+130904</f>
        <v>258898</v>
      </c>
      <c r="E58" s="16" t="s">
        <v>85</v>
      </c>
      <c r="F58" s="23">
        <v>2040.0</v>
      </c>
      <c r="G58" s="17">
        <f>135262+138329</f>
        <v>273591</v>
      </c>
      <c r="I58" s="16" t="s">
        <v>85</v>
      </c>
      <c r="J58" s="23">
        <v>2050.0</v>
      </c>
      <c r="K58" s="17">
        <f>144435+147741</f>
        <v>292176</v>
      </c>
    </row>
    <row r="59">
      <c r="A59" s="16" t="s">
        <v>86</v>
      </c>
      <c r="B59" s="23">
        <v>2030.0</v>
      </c>
      <c r="C59" s="17">
        <f>102661+104693</f>
        <v>207354</v>
      </c>
      <c r="E59" s="16" t="s">
        <v>86</v>
      </c>
      <c r="F59" s="23">
        <v>2040.0</v>
      </c>
      <c r="G59" s="17">
        <f>118693+121000</f>
        <v>239693</v>
      </c>
      <c r="I59" s="16" t="s">
        <v>86</v>
      </c>
      <c r="J59" s="23">
        <v>2050.0</v>
      </c>
      <c r="K59" s="17">
        <f>127799+130268</f>
        <v>258067</v>
      </c>
    </row>
    <row r="60">
      <c r="A60" s="16" t="s">
        <v>87</v>
      </c>
      <c r="B60" s="23">
        <v>2030.0</v>
      </c>
      <c r="C60" s="17">
        <f>2347532+2384281</f>
        <v>4731813</v>
      </c>
      <c r="E60" s="16" t="s">
        <v>87</v>
      </c>
      <c r="F60" s="23">
        <v>2040.0</v>
      </c>
      <c r="G60" s="17">
        <f>2664274+2705280</f>
        <v>5369554</v>
      </c>
      <c r="I60" s="16" t="s">
        <v>87</v>
      </c>
      <c r="J60" s="23">
        <v>2050.0</v>
      </c>
      <c r="K60" s="17">
        <f>3009396+3054190</f>
        <v>6063586</v>
      </c>
    </row>
    <row r="61">
      <c r="A61" s="16" t="s">
        <v>88</v>
      </c>
      <c r="B61" s="23">
        <v>2030.0</v>
      </c>
      <c r="C61" s="17">
        <f>28604+29298</f>
        <v>57902</v>
      </c>
      <c r="E61" s="16" t="s">
        <v>88</v>
      </c>
      <c r="F61" s="23">
        <v>2040.0</v>
      </c>
      <c r="G61" s="17">
        <f>31880+32638</f>
        <v>64518</v>
      </c>
      <c r="I61" s="16" t="s">
        <v>88</v>
      </c>
      <c r="J61" s="23">
        <v>2050.0</v>
      </c>
      <c r="K61" s="17">
        <f>33506+34282</f>
        <v>67788</v>
      </c>
    </row>
    <row r="62">
      <c r="A62" s="16" t="s">
        <v>89</v>
      </c>
      <c r="B62" s="23">
        <v>2030.0</v>
      </c>
      <c r="C62" s="17">
        <f>34635+35150</f>
        <v>69785</v>
      </c>
      <c r="E62" s="16" t="s">
        <v>89</v>
      </c>
      <c r="F62" s="23">
        <v>2040.0</v>
      </c>
      <c r="G62" s="17">
        <f>39306+39858</f>
        <v>79164</v>
      </c>
      <c r="I62" s="16" t="s">
        <v>89</v>
      </c>
      <c r="J62" s="23">
        <v>2050.0</v>
      </c>
      <c r="K62" s="17">
        <f>42294+42918</f>
        <v>85212</v>
      </c>
    </row>
    <row r="63">
      <c r="A63" s="16" t="s">
        <v>90</v>
      </c>
      <c r="B63" s="23">
        <v>2030.0</v>
      </c>
      <c r="C63" s="17">
        <f>238602+242957</f>
        <v>481559</v>
      </c>
      <c r="E63" s="16" t="s">
        <v>90</v>
      </c>
      <c r="F63" s="23">
        <v>2040.0</v>
      </c>
      <c r="G63" s="17">
        <f>273875+278661</f>
        <v>552536</v>
      </c>
      <c r="I63" s="16" t="s">
        <v>90</v>
      </c>
      <c r="J63" s="23">
        <v>2050.0</v>
      </c>
      <c r="K63" s="17">
        <f>279844+284537</f>
        <v>564381</v>
      </c>
    </row>
    <row r="64">
      <c r="A64" s="16" t="s">
        <v>91</v>
      </c>
      <c r="B64" s="23">
        <v>2030.0</v>
      </c>
      <c r="C64" s="17">
        <f>12002+12315</f>
        <v>24317</v>
      </c>
      <c r="E64" s="16" t="s">
        <v>91</v>
      </c>
      <c r="F64" s="23">
        <v>2040.0</v>
      </c>
      <c r="G64" s="17">
        <f>12891+13217</f>
        <v>26108</v>
      </c>
      <c r="I64" s="16" t="s">
        <v>91</v>
      </c>
      <c r="J64" s="23">
        <v>2050.0</v>
      </c>
      <c r="K64" s="17">
        <f>13476+13818</f>
        <v>27294</v>
      </c>
    </row>
    <row r="65">
      <c r="A65" s="16" t="s">
        <v>92</v>
      </c>
      <c r="B65" s="23">
        <v>2030.0</v>
      </c>
      <c r="C65" s="17">
        <f>11875+12231</f>
        <v>24106</v>
      </c>
      <c r="E65" s="16" t="s">
        <v>92</v>
      </c>
      <c r="F65" s="23">
        <v>2040.0</v>
      </c>
      <c r="G65" s="17">
        <f>11926+12269</f>
        <v>24195</v>
      </c>
      <c r="I65" s="16" t="s">
        <v>92</v>
      </c>
      <c r="J65" s="23">
        <v>2050.0</v>
      </c>
      <c r="K65" s="17">
        <f>11473+11799</f>
        <v>23272</v>
      </c>
    </row>
    <row r="66">
      <c r="A66" s="16" t="s">
        <v>93</v>
      </c>
      <c r="B66" s="23">
        <v>2030.0</v>
      </c>
      <c r="C66" s="17">
        <f>53840+55199</f>
        <v>109039</v>
      </c>
      <c r="E66" s="16" t="s">
        <v>93</v>
      </c>
      <c r="F66" s="23">
        <v>2040.0</v>
      </c>
      <c r="G66" s="17">
        <f>56934+58360</f>
        <v>115294</v>
      </c>
      <c r="I66" s="16" t="s">
        <v>93</v>
      </c>
      <c r="J66" s="23">
        <v>2050.0</v>
      </c>
      <c r="K66" s="17">
        <f>56995+58464</f>
        <v>115459</v>
      </c>
    </row>
    <row r="67">
      <c r="A67" s="16" t="s">
        <v>94</v>
      </c>
      <c r="B67" s="23">
        <v>2030.0</v>
      </c>
      <c r="C67" s="17">
        <f>2059445+2156417</f>
        <v>4215862</v>
      </c>
      <c r="E67" s="16" t="s">
        <v>94</v>
      </c>
      <c r="F67" s="23">
        <v>2040.0</v>
      </c>
      <c r="G67" s="17">
        <f>2172817+2273695</f>
        <v>4446512</v>
      </c>
      <c r="I67" s="16" t="s">
        <v>94</v>
      </c>
      <c r="J67" s="23">
        <v>2050.0</v>
      </c>
      <c r="K67" s="17">
        <f>2310131+2420213</f>
        <v>4730344</v>
      </c>
    </row>
    <row r="68">
      <c r="A68" s="16" t="s">
        <v>95</v>
      </c>
      <c r="B68" s="23">
        <v>2030.0</v>
      </c>
      <c r="C68" s="17">
        <f>783780+795098</f>
        <v>1578878</v>
      </c>
      <c r="E68" s="16" t="s">
        <v>95</v>
      </c>
      <c r="F68" s="23">
        <v>2040.0</v>
      </c>
      <c r="G68" s="17">
        <f>803143+814276</f>
        <v>1617419</v>
      </c>
      <c r="I68" s="16" t="s">
        <v>95</v>
      </c>
      <c r="J68" s="23">
        <v>2050.0</v>
      </c>
      <c r="K68" s="17">
        <f>778354+788831</f>
        <v>1567185</v>
      </c>
    </row>
    <row r="69">
      <c r="A69" s="16" t="s">
        <v>96</v>
      </c>
      <c r="B69" s="23">
        <v>2030.0</v>
      </c>
      <c r="C69" s="17">
        <f>506388+521753</f>
        <v>1028141</v>
      </c>
      <c r="E69" s="16" t="s">
        <v>96</v>
      </c>
      <c r="F69" s="23">
        <v>2040.0</v>
      </c>
      <c r="G69" s="17">
        <f>547895+563814</f>
        <v>1111709</v>
      </c>
      <c r="I69" s="16" t="s">
        <v>96</v>
      </c>
      <c r="J69" s="23">
        <v>2050.0</v>
      </c>
      <c r="K69" s="17">
        <f>583807+600072</f>
        <v>1183879</v>
      </c>
    </row>
    <row r="70">
      <c r="A70" s="16" t="s">
        <v>97</v>
      </c>
      <c r="B70" s="23">
        <v>2030.0</v>
      </c>
      <c r="C70" s="17">
        <f>353054+355714</f>
        <v>708768</v>
      </c>
      <c r="E70" s="16" t="s">
        <v>97</v>
      </c>
      <c r="F70" s="23">
        <v>2040.0</v>
      </c>
      <c r="G70" s="17">
        <f>376921+379699</f>
        <v>756620</v>
      </c>
      <c r="I70" s="16" t="s">
        <v>97</v>
      </c>
      <c r="J70" s="23">
        <v>2050.0</v>
      </c>
      <c r="K70" s="17">
        <f>392759+395798</f>
        <v>788557</v>
      </c>
    </row>
    <row r="71">
      <c r="A71" s="16" t="s">
        <v>98</v>
      </c>
      <c r="B71" s="23">
        <v>2030.0</v>
      </c>
      <c r="C71" s="17">
        <f>665513+673310</f>
        <v>1338823</v>
      </c>
      <c r="E71" s="16" t="s">
        <v>98</v>
      </c>
      <c r="F71" s="23">
        <v>2040.0</v>
      </c>
      <c r="G71" s="17">
        <f>729318+737004</f>
        <v>1466322</v>
      </c>
      <c r="I71" s="16" t="s">
        <v>98</v>
      </c>
      <c r="J71" s="23">
        <v>2050.0</v>
      </c>
      <c r="K71" s="17">
        <f>768322+775807</f>
        <v>1544129</v>
      </c>
    </row>
    <row r="72">
      <c r="A72" s="16" t="s">
        <v>99</v>
      </c>
      <c r="B72" s="23">
        <v>2030.0</v>
      </c>
      <c r="C72" s="17">
        <f>204633+208795</f>
        <v>413428</v>
      </c>
      <c r="E72" s="16" t="s">
        <v>99</v>
      </c>
      <c r="F72" s="23">
        <v>2040.0</v>
      </c>
      <c r="G72" s="17">
        <f>220645+224945</f>
        <v>445590</v>
      </c>
      <c r="I72" s="16" t="s">
        <v>99</v>
      </c>
      <c r="J72" s="23">
        <v>2050.0</v>
      </c>
      <c r="K72" s="17">
        <f>225076+229588</f>
        <v>454664</v>
      </c>
    </row>
    <row r="73">
      <c r="A73" s="16" t="s">
        <v>100</v>
      </c>
      <c r="B73" s="23">
        <v>2030.0</v>
      </c>
      <c r="C73" s="17">
        <f>408783+423358</f>
        <v>832141</v>
      </c>
      <c r="E73" s="16" t="s">
        <v>100</v>
      </c>
      <c r="F73" s="23">
        <v>2040.0</v>
      </c>
      <c r="G73" s="17">
        <f>461012+476916</f>
        <v>937928</v>
      </c>
      <c r="I73" s="16" t="s">
        <v>100</v>
      </c>
      <c r="J73" s="23">
        <v>2050.0</v>
      </c>
      <c r="K73" s="17">
        <f>502382+519258</f>
        <v>1021640</v>
      </c>
    </row>
    <row r="74">
      <c r="A74" s="16" t="s">
        <v>101</v>
      </c>
      <c r="B74" s="23">
        <v>2030.0</v>
      </c>
      <c r="C74" s="17">
        <f>184317+189460</f>
        <v>373777</v>
      </c>
      <c r="E74" s="16" t="s">
        <v>101</v>
      </c>
      <c r="F74" s="23">
        <v>2040.0</v>
      </c>
      <c r="G74" s="17">
        <f>189688+194805</f>
        <v>384493</v>
      </c>
      <c r="I74" s="16" t="s">
        <v>101</v>
      </c>
      <c r="J74" s="23">
        <v>2050.0</v>
      </c>
      <c r="K74" s="17">
        <f>185155+190008</f>
        <v>375163</v>
      </c>
    </row>
    <row r="75">
      <c r="A75" s="16" t="s">
        <v>102</v>
      </c>
      <c r="B75" s="23">
        <v>2030.0</v>
      </c>
      <c r="C75" s="17">
        <f>855750+876326</f>
        <v>1732076</v>
      </c>
      <c r="E75" s="16" t="s">
        <v>102</v>
      </c>
      <c r="F75" s="23">
        <v>2040.0</v>
      </c>
      <c r="G75" s="17">
        <f>880340+902055</f>
        <v>1782395</v>
      </c>
      <c r="I75" s="16" t="s">
        <v>102</v>
      </c>
      <c r="J75" s="23">
        <v>2050.0</v>
      </c>
      <c r="K75" s="17">
        <f>902055+925373</f>
        <v>1827428</v>
      </c>
    </row>
    <row r="76">
      <c r="A76" s="16" t="s">
        <v>103</v>
      </c>
      <c r="B76" s="23">
        <v>2030.0</v>
      </c>
      <c r="C76" s="17">
        <f>1249403+1280930</f>
        <v>2530333</v>
      </c>
      <c r="E76" s="16" t="s">
        <v>103</v>
      </c>
      <c r="F76" s="23">
        <v>2040.0</v>
      </c>
      <c r="G76" s="17">
        <f>1444033+1480188</f>
        <v>2924221</v>
      </c>
      <c r="I76" s="16" t="s">
        <v>103</v>
      </c>
      <c r="J76" s="23">
        <v>2050.0</v>
      </c>
      <c r="K76" s="17">
        <f>1617121+1658137</f>
        <v>3275258</v>
      </c>
    </row>
    <row r="77">
      <c r="A77" s="16" t="s">
        <v>104</v>
      </c>
      <c r="B77" s="23">
        <v>2030.0</v>
      </c>
      <c r="C77" s="17">
        <f>367283+368622</f>
        <v>735905</v>
      </c>
      <c r="E77" s="16" t="s">
        <v>104</v>
      </c>
      <c r="F77" s="23">
        <v>2040.0</v>
      </c>
      <c r="G77" s="17">
        <f>402689+403757</f>
        <v>806446</v>
      </c>
      <c r="I77" s="16" t="s">
        <v>104</v>
      </c>
      <c r="J77" s="23">
        <v>2050.0</v>
      </c>
      <c r="K77" s="17">
        <f>430834+431608</f>
        <v>862442</v>
      </c>
    </row>
    <row r="78">
      <c r="A78" s="16" t="s">
        <v>105</v>
      </c>
      <c r="B78" s="23">
        <v>2030.0</v>
      </c>
      <c r="C78" s="17">
        <f>28602+29336</f>
        <v>57938</v>
      </c>
      <c r="E78" s="16" t="s">
        <v>105</v>
      </c>
      <c r="F78" s="23">
        <v>2040.0</v>
      </c>
      <c r="G78" s="17">
        <f>26834+27505</f>
        <v>54339</v>
      </c>
      <c r="I78" s="16" t="s">
        <v>105</v>
      </c>
      <c r="J78" s="23">
        <v>2050.0</v>
      </c>
      <c r="K78" s="17">
        <f>26962+27637</f>
        <v>54599</v>
      </c>
    </row>
    <row r="79">
      <c r="A79" s="16" t="s">
        <v>106</v>
      </c>
      <c r="B79" s="23">
        <v>2030.0</v>
      </c>
      <c r="C79" s="17">
        <f>13639+13954</f>
        <v>27593</v>
      </c>
      <c r="E79" s="16" t="s">
        <v>106</v>
      </c>
      <c r="F79" s="23">
        <v>2040.0</v>
      </c>
      <c r="G79" s="17">
        <f>13000+13288</f>
        <v>26288</v>
      </c>
      <c r="I79" s="16" t="s">
        <v>106</v>
      </c>
      <c r="J79" s="23">
        <v>2050.0</v>
      </c>
      <c r="K79" s="17">
        <f>11996+12253</f>
        <v>24249</v>
      </c>
    </row>
    <row r="80">
      <c r="A80" s="16" t="s">
        <v>107</v>
      </c>
      <c r="B80" s="23">
        <v>2030.0</v>
      </c>
      <c r="C80" s="17">
        <f>26223+26728</f>
        <v>52951</v>
      </c>
      <c r="E80" s="16" t="s">
        <v>107</v>
      </c>
      <c r="F80" s="23">
        <v>2040.0</v>
      </c>
      <c r="G80" s="17">
        <f>26336+26843</f>
        <v>53179</v>
      </c>
      <c r="I80" s="16" t="s">
        <v>107</v>
      </c>
      <c r="J80" s="23">
        <v>2050.0</v>
      </c>
      <c r="K80" s="17">
        <f>25072+25555</f>
        <v>50627</v>
      </c>
    </row>
    <row r="81">
      <c r="A81" s="16" t="s">
        <v>108</v>
      </c>
      <c r="B81" s="23">
        <v>2030.0</v>
      </c>
      <c r="C81" s="17">
        <f>38890+39069</f>
        <v>77959</v>
      </c>
      <c r="E81" s="16" t="s">
        <v>108</v>
      </c>
      <c r="F81" s="23">
        <v>2040.0</v>
      </c>
      <c r="G81" s="17">
        <f>41380+41548</f>
        <v>82928</v>
      </c>
      <c r="I81" s="16" t="s">
        <v>108</v>
      </c>
      <c r="J81" s="23">
        <v>2050.0</v>
      </c>
      <c r="K81" s="17">
        <f>42430+42597</f>
        <v>85027</v>
      </c>
    </row>
    <row r="82">
      <c r="A82" s="16" t="s">
        <v>109</v>
      </c>
      <c r="B82" s="23">
        <v>2030.0</v>
      </c>
      <c r="C82" s="17">
        <f>556744+575303</f>
        <v>1132047</v>
      </c>
      <c r="E82" s="16" t="s">
        <v>109</v>
      </c>
      <c r="F82" s="23">
        <v>2040.0</v>
      </c>
      <c r="G82" s="17">
        <f>548100+566228</f>
        <v>1114328</v>
      </c>
      <c r="I82" s="16" t="s">
        <v>109</v>
      </c>
      <c r="J82" s="23">
        <v>2050.0</v>
      </c>
      <c r="K82" s="17">
        <f>558436+577192</f>
        <v>1135628</v>
      </c>
    </row>
    <row r="83">
      <c r="A83" s="16" t="s">
        <v>110</v>
      </c>
      <c r="B83" s="23">
        <v>2030.0</v>
      </c>
      <c r="C83" s="17">
        <f>255235+259956</f>
        <v>515191</v>
      </c>
      <c r="E83" s="16" t="s">
        <v>110</v>
      </c>
      <c r="F83" s="23">
        <v>2040.0</v>
      </c>
      <c r="G83" s="17">
        <f>278020+283127</f>
        <v>561147</v>
      </c>
      <c r="I83" s="16" t="s">
        <v>110</v>
      </c>
      <c r="J83" s="23">
        <v>2050.0</v>
      </c>
      <c r="K83" s="17">
        <f>280594+285663</f>
        <v>566257</v>
      </c>
    </row>
    <row r="84">
      <c r="A84" s="16" t="s">
        <v>111</v>
      </c>
      <c r="B84" s="23">
        <v>2030.0</v>
      </c>
      <c r="C84" s="17">
        <f>241702+250016</f>
        <v>491718</v>
      </c>
      <c r="E84" s="16" t="s">
        <v>111</v>
      </c>
      <c r="F84" s="23">
        <v>2040.0</v>
      </c>
      <c r="G84" s="17">
        <f>269110+278287</f>
        <v>547397</v>
      </c>
      <c r="I84" s="16" t="s">
        <v>111</v>
      </c>
      <c r="J84" s="23">
        <v>2050.0</v>
      </c>
      <c r="K84" s="17">
        <f>285101+294654</f>
        <v>579755</v>
      </c>
    </row>
    <row r="85">
      <c r="A85" s="16" t="s">
        <v>112</v>
      </c>
      <c r="B85" s="23">
        <v>2030.0</v>
      </c>
      <c r="C85" s="17">
        <f>362331+373701</f>
        <v>736032</v>
      </c>
      <c r="E85" s="16" t="s">
        <v>112</v>
      </c>
      <c r="F85" s="23">
        <v>2040.0</v>
      </c>
      <c r="G85" s="17">
        <f>384608+396318</f>
        <v>780926</v>
      </c>
      <c r="I85" s="16" t="s">
        <v>112</v>
      </c>
      <c r="J85" s="23">
        <v>2050.0</v>
      </c>
      <c r="K85" s="17">
        <f>382398+393986</f>
        <v>776384</v>
      </c>
    </row>
    <row r="86">
      <c r="A86" s="16" t="s">
        <v>113</v>
      </c>
      <c r="B86" s="23">
        <v>2030.0</v>
      </c>
      <c r="C86" s="17">
        <f>3039+3136</f>
        <v>6175</v>
      </c>
      <c r="E86" s="16" t="s">
        <v>113</v>
      </c>
      <c r="F86" s="23">
        <v>2040.0</v>
      </c>
      <c r="G86" s="17">
        <f>3036+3135</f>
        <v>6171</v>
      </c>
      <c r="I86" s="16" t="s">
        <v>113</v>
      </c>
      <c r="J86" s="23">
        <v>2050.0</v>
      </c>
      <c r="K86" s="17">
        <f>2741+2831</f>
        <v>5572</v>
      </c>
    </row>
    <row r="87">
      <c r="A87" s="16" t="s">
        <v>114</v>
      </c>
      <c r="B87" s="23">
        <v>2030.0</v>
      </c>
      <c r="C87" s="17">
        <f>494252+504278</f>
        <v>998530</v>
      </c>
      <c r="E87" s="16" t="s">
        <v>114</v>
      </c>
      <c r="F87" s="23">
        <v>2040.0</v>
      </c>
      <c r="G87" s="17">
        <f>553423+564188</f>
        <v>1117611</v>
      </c>
      <c r="I87" s="16" t="s">
        <v>114</v>
      </c>
      <c r="J87" s="23">
        <v>2050.0</v>
      </c>
      <c r="K87" s="17">
        <f>595513+604947</f>
        <v>1200460</v>
      </c>
    </row>
    <row r="88">
      <c r="A88" s="16" t="s">
        <v>115</v>
      </c>
      <c r="B88" s="23">
        <v>2030.0</v>
      </c>
      <c r="C88" s="17">
        <f>441022+455514</f>
        <v>896536</v>
      </c>
      <c r="E88" s="16" t="s">
        <v>115</v>
      </c>
      <c r="F88" s="23">
        <v>2040.0</v>
      </c>
      <c r="G88" s="17">
        <f>489296+505089</f>
        <v>994385</v>
      </c>
      <c r="I88" s="16" t="s">
        <v>115</v>
      </c>
      <c r="J88" s="23">
        <v>2050.0</v>
      </c>
      <c r="K88" s="17">
        <f>542748+560005</f>
        <v>1102753</v>
      </c>
    </row>
    <row r="89">
      <c r="A89" s="16" t="s">
        <v>116</v>
      </c>
      <c r="B89" s="23">
        <v>2030.0</v>
      </c>
      <c r="C89" s="17">
        <f>514543+524603</f>
        <v>1039146</v>
      </c>
      <c r="E89" s="16" t="s">
        <v>116</v>
      </c>
      <c r="F89" s="23">
        <v>2040.0</v>
      </c>
      <c r="G89" s="17">
        <f>614540+626490</f>
        <v>1241030</v>
      </c>
      <c r="I89" s="16" t="s">
        <v>116</v>
      </c>
      <c r="J89" s="23">
        <v>2050.0</v>
      </c>
      <c r="K89" s="17">
        <f>674267+687291</f>
        <v>1361558</v>
      </c>
    </row>
    <row r="90">
      <c r="A90" s="16" t="s">
        <v>117</v>
      </c>
      <c r="B90" s="23">
        <v>2030.0</v>
      </c>
      <c r="C90" s="17">
        <f>39969+40965</f>
        <v>80934</v>
      </c>
      <c r="E90" s="16" t="s">
        <v>117</v>
      </c>
      <c r="F90" s="23">
        <v>2040.0</v>
      </c>
      <c r="G90" s="17">
        <f>41004+42018</f>
        <v>83022</v>
      </c>
      <c r="I90" s="16" t="s">
        <v>117</v>
      </c>
      <c r="J90" s="23">
        <v>2050.0</v>
      </c>
      <c r="K90" s="17">
        <f>40878+41885</f>
        <v>82763</v>
      </c>
    </row>
    <row r="91">
      <c r="A91" s="16" t="s">
        <v>118</v>
      </c>
      <c r="B91" s="23">
        <v>2030.0</v>
      </c>
      <c r="C91" s="17">
        <f>444645+458799</f>
        <v>903444</v>
      </c>
      <c r="E91" s="16" t="s">
        <v>118</v>
      </c>
      <c r="F91" s="23">
        <v>2040.0</v>
      </c>
      <c r="G91" s="17">
        <f>475709+490443</f>
        <v>966152</v>
      </c>
      <c r="I91" s="16" t="s">
        <v>118</v>
      </c>
      <c r="J91" s="23">
        <v>2050.0</v>
      </c>
      <c r="K91" s="17">
        <f>482758+497595</f>
        <v>980353</v>
      </c>
    </row>
    <row r="92">
      <c r="A92" s="16" t="s">
        <v>119</v>
      </c>
      <c r="B92" s="23">
        <v>2030.0</v>
      </c>
      <c r="C92" s="17">
        <f>236489+244882</f>
        <v>481371</v>
      </c>
      <c r="E92" s="16" t="s">
        <v>119</v>
      </c>
      <c r="F92" s="23">
        <v>2040.0</v>
      </c>
      <c r="G92" s="17">
        <f>245696+254078</f>
        <v>499774</v>
      </c>
      <c r="I92" s="16" t="s">
        <v>119</v>
      </c>
      <c r="J92" s="23">
        <v>2050.0</v>
      </c>
      <c r="K92" s="17">
        <f>250693+259045</f>
        <v>509738</v>
      </c>
    </row>
    <row r="93">
      <c r="A93" s="16" t="s">
        <v>120</v>
      </c>
      <c r="B93" s="23">
        <v>2030.0</v>
      </c>
      <c r="C93" s="17">
        <f>32153+33131</f>
        <v>65284</v>
      </c>
      <c r="E93" s="16" t="s">
        <v>120</v>
      </c>
      <c r="F93" s="23">
        <v>2040.0</v>
      </c>
      <c r="G93" s="17">
        <f>33466+34467</f>
        <v>67933</v>
      </c>
      <c r="I93" s="16" t="s">
        <v>120</v>
      </c>
      <c r="J93" s="23">
        <v>2050.0</v>
      </c>
      <c r="K93" s="17">
        <f>34063+35060</f>
        <v>69123</v>
      </c>
    </row>
    <row r="94">
      <c r="A94" s="16" t="s">
        <v>121</v>
      </c>
      <c r="B94" s="23">
        <v>2030.0</v>
      </c>
      <c r="C94" s="17">
        <f>85501+87919</f>
        <v>173420</v>
      </c>
      <c r="E94" s="16" t="s">
        <v>121</v>
      </c>
      <c r="F94" s="23">
        <v>2040.0</v>
      </c>
      <c r="G94" s="17">
        <f>90893+93387</f>
        <v>184280</v>
      </c>
      <c r="I94" s="16" t="s">
        <v>121</v>
      </c>
      <c r="J94" s="23">
        <v>2050.0</v>
      </c>
      <c r="K94" s="17">
        <f>92298+94781</f>
        <v>187079</v>
      </c>
    </row>
    <row r="95">
      <c r="A95" s="16" t="s">
        <v>122</v>
      </c>
      <c r="B95" s="23">
        <v>2030.0</v>
      </c>
      <c r="C95" s="17">
        <f>506612+518597</f>
        <v>1025209</v>
      </c>
      <c r="E95" s="16" t="s">
        <v>122</v>
      </c>
      <c r="F95" s="23">
        <v>2040.0</v>
      </c>
      <c r="G95" s="17">
        <f>570538+583551</f>
        <v>1154089</v>
      </c>
      <c r="I95" s="16" t="s">
        <v>122</v>
      </c>
      <c r="J95" s="23">
        <v>2050.0</v>
      </c>
      <c r="K95" s="17">
        <f>606298+619806</f>
        <v>1226104</v>
      </c>
    </row>
    <row r="96">
      <c r="A96" s="16" t="s">
        <v>123</v>
      </c>
      <c r="B96" s="23">
        <v>2030.0</v>
      </c>
      <c r="C96" s="17">
        <f>92146+94564</f>
        <v>186710</v>
      </c>
      <c r="E96" s="16" t="s">
        <v>123</v>
      </c>
      <c r="F96" s="23">
        <v>2040.0</v>
      </c>
      <c r="G96" s="17">
        <f>103147+105812</f>
        <v>208959</v>
      </c>
      <c r="I96" s="16" t="s">
        <v>123</v>
      </c>
      <c r="J96" s="23">
        <v>2050.0</v>
      </c>
      <c r="K96" s="17">
        <f>111999+115007</f>
        <v>227006</v>
      </c>
    </row>
    <row r="97">
      <c r="A97" s="16" t="s">
        <v>124</v>
      </c>
      <c r="B97" s="23">
        <v>2030.0</v>
      </c>
      <c r="C97" s="17">
        <f>569678+588811</f>
        <v>1158489</v>
      </c>
      <c r="E97" s="16" t="s">
        <v>124</v>
      </c>
      <c r="F97" s="23">
        <v>2040.0</v>
      </c>
      <c r="G97" s="17">
        <f>617467+637804</f>
        <v>1255271</v>
      </c>
      <c r="I97" s="16" t="s">
        <v>124</v>
      </c>
      <c r="J97" s="23">
        <v>2050.0</v>
      </c>
      <c r="K97" s="17">
        <f>658197+679344</f>
        <v>1337541</v>
      </c>
    </row>
    <row r="98">
      <c r="A98" s="16" t="s">
        <v>125</v>
      </c>
      <c r="B98" s="23">
        <v>2030.0</v>
      </c>
      <c r="C98" s="17">
        <f>3709857+3822261</f>
        <v>7532118</v>
      </c>
      <c r="E98" s="16" t="s">
        <v>125</v>
      </c>
      <c r="F98" s="23">
        <v>2040.0</v>
      </c>
      <c r="G98" s="17">
        <f>3866779+3982944</f>
        <v>7849723</v>
      </c>
      <c r="I98" s="16" t="s">
        <v>125</v>
      </c>
      <c r="J98" s="23">
        <v>2050.0</v>
      </c>
      <c r="K98" s="17">
        <f>3811528+3924973</f>
        <v>7736501</v>
      </c>
    </row>
    <row r="99">
      <c r="A99" s="16" t="s">
        <v>126</v>
      </c>
      <c r="B99" s="23">
        <v>2030.0</v>
      </c>
      <c r="C99" s="17">
        <f>3454+3542</f>
        <v>6996</v>
      </c>
      <c r="E99" s="16" t="s">
        <v>126</v>
      </c>
      <c r="F99" s="23">
        <v>2040.0</v>
      </c>
      <c r="G99" s="17">
        <f>3685+3779</f>
        <v>7464</v>
      </c>
      <c r="I99" s="16" t="s">
        <v>126</v>
      </c>
      <c r="J99" s="23">
        <v>2050.0</v>
      </c>
      <c r="K99" s="17">
        <f>3690+3785</f>
        <v>7475</v>
      </c>
    </row>
    <row r="100">
      <c r="A100" s="16" t="s">
        <v>127</v>
      </c>
      <c r="B100" s="23">
        <v>2030.0</v>
      </c>
      <c r="C100" s="17">
        <f>281131+288115</f>
        <v>569246</v>
      </c>
      <c r="E100" s="16" t="s">
        <v>127</v>
      </c>
      <c r="F100" s="23">
        <v>2040.0</v>
      </c>
      <c r="G100" s="17">
        <f>298195+305535</f>
        <v>603730</v>
      </c>
      <c r="I100" s="16" t="s">
        <v>127</v>
      </c>
      <c r="J100" s="23">
        <v>2050.0</v>
      </c>
      <c r="K100" s="17">
        <f>311565+319416</f>
        <v>630981</v>
      </c>
    </row>
    <row r="101">
      <c r="A101" s="16" t="s">
        <v>128</v>
      </c>
      <c r="B101" s="23">
        <v>2030.0</v>
      </c>
      <c r="C101" s="17">
        <f>123519+126369</f>
        <v>249888</v>
      </c>
      <c r="E101" s="16" t="s">
        <v>128</v>
      </c>
      <c r="F101" s="23">
        <v>2040.0</v>
      </c>
      <c r="G101" s="17">
        <f>125505+128392</f>
        <v>253897</v>
      </c>
      <c r="I101" s="16" t="s">
        <v>128</v>
      </c>
      <c r="J101" s="23">
        <v>2050.0</v>
      </c>
      <c r="K101" s="17">
        <f>124182+126954</f>
        <v>251136</v>
      </c>
    </row>
    <row r="102">
      <c r="A102" s="16" t="s">
        <v>129</v>
      </c>
      <c r="B102" s="23">
        <v>2030.0</v>
      </c>
      <c r="C102" s="17">
        <f>149754+152855</f>
        <v>302609</v>
      </c>
      <c r="E102" s="16" t="s">
        <v>129</v>
      </c>
      <c r="F102" s="23">
        <v>2040.0</v>
      </c>
      <c r="G102" s="17">
        <f>168740+172212</f>
        <v>340952</v>
      </c>
      <c r="I102" s="16" t="s">
        <v>129</v>
      </c>
      <c r="J102" s="23">
        <v>2050.0</v>
      </c>
      <c r="K102" s="17">
        <f>181027+184700</f>
        <v>365727</v>
      </c>
    </row>
    <row r="103">
      <c r="A103" s="16" t="s">
        <v>130</v>
      </c>
      <c r="B103" s="23">
        <v>2030.0</v>
      </c>
      <c r="C103" s="17">
        <f>14319+15263</f>
        <v>29582</v>
      </c>
      <c r="E103" s="16" t="s">
        <v>130</v>
      </c>
      <c r="F103" s="23">
        <v>2040.0</v>
      </c>
      <c r="G103" s="17">
        <f>12473+13252</f>
        <v>25725</v>
      </c>
      <c r="I103" s="16" t="s">
        <v>130</v>
      </c>
      <c r="J103" s="23">
        <v>2050.0</v>
      </c>
      <c r="K103" s="17">
        <f>11626+12353</f>
        <v>23979</v>
      </c>
    </row>
    <row r="104">
      <c r="A104" s="16" t="s">
        <v>131</v>
      </c>
      <c r="B104" s="23">
        <v>2030.0</v>
      </c>
      <c r="C104" s="17">
        <f>58171+63343</f>
        <v>121514</v>
      </c>
      <c r="E104" s="16" t="s">
        <v>131</v>
      </c>
      <c r="F104" s="23">
        <v>2040.0</v>
      </c>
      <c r="G104" s="17">
        <f>61153+65190</f>
        <v>126343</v>
      </c>
      <c r="I104" s="16" t="s">
        <v>131</v>
      </c>
      <c r="J104" s="23">
        <v>2050.0</v>
      </c>
      <c r="K104" s="17">
        <f>56179+59713</f>
        <v>115892</v>
      </c>
    </row>
    <row r="105">
      <c r="A105" s="16" t="s">
        <v>132</v>
      </c>
      <c r="B105" s="23">
        <v>2030.0</v>
      </c>
      <c r="C105" s="17">
        <f>19214+20429</f>
        <v>39643</v>
      </c>
      <c r="E105" s="16" t="s">
        <v>132</v>
      </c>
      <c r="F105" s="23">
        <v>2040.0</v>
      </c>
      <c r="G105" s="17">
        <f>20077+21347</f>
        <v>41424</v>
      </c>
      <c r="I105" s="16" t="s">
        <v>132</v>
      </c>
      <c r="J105" s="23">
        <v>2050.0</v>
      </c>
      <c r="K105" s="17">
        <f>19505+20752</f>
        <v>40257</v>
      </c>
    </row>
    <row r="106">
      <c r="A106" s="16" t="s">
        <v>133</v>
      </c>
      <c r="B106" s="23">
        <v>2030.0</v>
      </c>
      <c r="C106" s="17">
        <f t="shared" ref="C106:C107" si="1">186378+197842</f>
        <v>384220</v>
      </c>
      <c r="E106" s="16" t="s">
        <v>133</v>
      </c>
      <c r="F106" s="23">
        <v>2040.0</v>
      </c>
      <c r="G106" s="17">
        <f t="shared" ref="G106:G107" si="2">208862+221625</f>
        <v>430487</v>
      </c>
      <c r="I106" s="16" t="s">
        <v>133</v>
      </c>
      <c r="J106" s="23">
        <v>2050.0</v>
      </c>
      <c r="K106" s="17">
        <f t="shared" ref="K106:K107" si="3">218206+231590</f>
        <v>449796</v>
      </c>
    </row>
    <row r="107">
      <c r="A107" s="16" t="s">
        <v>134</v>
      </c>
      <c r="B107" s="23">
        <v>2030.0</v>
      </c>
      <c r="C107" s="17">
        <f t="shared" si="1"/>
        <v>384220</v>
      </c>
      <c r="E107" s="16" t="s">
        <v>134</v>
      </c>
      <c r="F107" s="23">
        <v>2040.0</v>
      </c>
      <c r="G107" s="17">
        <f t="shared" si="2"/>
        <v>430487</v>
      </c>
      <c r="I107" s="16" t="s">
        <v>134</v>
      </c>
      <c r="J107" s="23">
        <v>2050.0</v>
      </c>
      <c r="K107" s="17">
        <f t="shared" si="3"/>
        <v>449796</v>
      </c>
    </row>
    <row r="108">
      <c r="A108" s="16" t="s">
        <v>135</v>
      </c>
      <c r="B108" s="23">
        <v>2030.0</v>
      </c>
      <c r="C108" s="17">
        <f>28586+29691</f>
        <v>58277</v>
      </c>
      <c r="E108" s="16" t="s">
        <v>135</v>
      </c>
      <c r="F108" s="23">
        <v>2040.0</v>
      </c>
      <c r="G108" s="17">
        <f>34477+35770</f>
        <v>70247</v>
      </c>
      <c r="I108" s="16" t="s">
        <v>135</v>
      </c>
      <c r="J108" s="23">
        <v>2050.0</v>
      </c>
      <c r="K108" s="17">
        <f>33848+35131</f>
        <v>68979</v>
      </c>
    </row>
    <row r="109">
      <c r="A109" s="16" t="s">
        <v>136</v>
      </c>
      <c r="B109" s="23">
        <v>2030.0</v>
      </c>
      <c r="C109" s="17">
        <f>125294+132453</f>
        <v>257747</v>
      </c>
      <c r="E109" s="16" t="s">
        <v>136</v>
      </c>
      <c r="F109" s="23">
        <v>2040.0</v>
      </c>
      <c r="G109" s="17">
        <f>143114+151389</f>
        <v>294503</v>
      </c>
      <c r="I109" s="16" t="s">
        <v>136</v>
      </c>
      <c r="J109" s="23">
        <v>2050.0</v>
      </c>
      <c r="K109" s="17">
        <f>136025+144036</f>
        <v>280061</v>
      </c>
    </row>
    <row r="110">
      <c r="A110" s="16" t="s">
        <v>137</v>
      </c>
      <c r="B110" s="23">
        <v>2030.0</v>
      </c>
      <c r="C110" s="17">
        <f>66414+70234</f>
        <v>136648</v>
      </c>
      <c r="E110" s="16" t="s">
        <v>137</v>
      </c>
      <c r="F110" s="23">
        <v>2040.0</v>
      </c>
      <c r="G110" s="17">
        <f>72144+76215</f>
        <v>148359</v>
      </c>
      <c r="I110" s="16" t="s">
        <v>137</v>
      </c>
      <c r="J110" s="23">
        <v>2050.0</v>
      </c>
      <c r="K110" s="17">
        <f>70918+74996</f>
        <v>145914</v>
      </c>
    </row>
    <row r="111">
      <c r="A111" s="16" t="s">
        <v>138</v>
      </c>
      <c r="B111" s="23">
        <v>2030.0</v>
      </c>
      <c r="C111" s="17">
        <f>412330+441884</f>
        <v>854214</v>
      </c>
      <c r="E111" s="16" t="s">
        <v>138</v>
      </c>
      <c r="F111" s="23">
        <v>2040.0</v>
      </c>
      <c r="G111" s="17">
        <f>430460+460682</f>
        <v>891142</v>
      </c>
      <c r="I111" s="16" t="s">
        <v>138</v>
      </c>
      <c r="J111" s="23">
        <v>2050.0</v>
      </c>
      <c r="K111" s="17">
        <f>478346+512050</f>
        <v>990396</v>
      </c>
    </row>
    <row r="112">
      <c r="A112" s="16" t="s">
        <v>139</v>
      </c>
      <c r="B112" s="23">
        <v>2030.0</v>
      </c>
      <c r="C112" s="17">
        <f>11354+12055</f>
        <v>23409</v>
      </c>
      <c r="E112" s="16" t="s">
        <v>139</v>
      </c>
      <c r="F112" s="23">
        <v>2040.0</v>
      </c>
      <c r="G112" s="17">
        <f>8508+9013</f>
        <v>17521</v>
      </c>
      <c r="I112" s="16" t="s">
        <v>139</v>
      </c>
      <c r="J112" s="23">
        <v>2050.0</v>
      </c>
      <c r="K112" s="17">
        <f>7561+8010</f>
        <v>15571</v>
      </c>
    </row>
    <row r="113">
      <c r="A113" s="16" t="s">
        <v>140</v>
      </c>
      <c r="B113" s="23">
        <v>2030.0</v>
      </c>
      <c r="C113" s="17">
        <f>11241+11994</f>
        <v>23235</v>
      </c>
      <c r="E113" s="16" t="s">
        <v>140</v>
      </c>
      <c r="F113" s="23">
        <v>2040.0</v>
      </c>
      <c r="G113" s="17">
        <f>10022+10695</f>
        <v>20717</v>
      </c>
      <c r="I113" s="16" t="s">
        <v>140</v>
      </c>
      <c r="J113" s="23">
        <v>2050.0</v>
      </c>
      <c r="K113" s="17">
        <f>8465+9035</f>
        <v>17500</v>
      </c>
    </row>
    <row r="114">
      <c r="A114" s="16" t="s">
        <v>141</v>
      </c>
      <c r="B114" s="23">
        <v>2030.0</v>
      </c>
      <c r="C114" s="17">
        <f>27009+28632</f>
        <v>55641</v>
      </c>
      <c r="E114" s="16" t="s">
        <v>141</v>
      </c>
      <c r="F114" s="23">
        <v>2040.0</v>
      </c>
      <c r="G114" s="17">
        <f>25129+26648</f>
        <v>51777</v>
      </c>
      <c r="I114" s="16" t="s">
        <v>141</v>
      </c>
      <c r="J114" s="23">
        <v>2050.0</v>
      </c>
      <c r="K114" s="17">
        <f>23187+24589</f>
        <v>47776</v>
      </c>
    </row>
    <row r="115">
      <c r="A115" s="16" t="s">
        <v>142</v>
      </c>
      <c r="B115" s="23">
        <v>2030.0</v>
      </c>
      <c r="C115" s="17">
        <f>14440+15309</f>
        <v>29749</v>
      </c>
      <c r="E115" s="16" t="s">
        <v>142</v>
      </c>
      <c r="F115" s="23">
        <v>2040.0</v>
      </c>
      <c r="G115" s="17">
        <f>13826+14655</f>
        <v>28481</v>
      </c>
      <c r="I115" s="16" t="s">
        <v>142</v>
      </c>
      <c r="J115" s="23">
        <v>2050.0</v>
      </c>
      <c r="K115" s="17">
        <f>12288+13030</f>
        <v>25318</v>
      </c>
    </row>
    <row r="116">
      <c r="A116" s="16" t="s">
        <v>143</v>
      </c>
      <c r="B116" s="23">
        <v>2030.0</v>
      </c>
      <c r="C116" s="17">
        <f>39360+41608</f>
        <v>80968</v>
      </c>
      <c r="E116" s="16" t="s">
        <v>143</v>
      </c>
      <c r="F116" s="23">
        <v>2040.0</v>
      </c>
      <c r="G116" s="17">
        <f>43837+46391</f>
        <v>90228</v>
      </c>
      <c r="I116" s="16" t="s">
        <v>143</v>
      </c>
      <c r="J116" s="23">
        <v>2050.0</v>
      </c>
      <c r="K116" s="17">
        <f>43622+46168</f>
        <v>89790</v>
      </c>
    </row>
    <row r="117">
      <c r="A117" s="16" t="s">
        <v>144</v>
      </c>
      <c r="B117" s="23">
        <v>2030.0</v>
      </c>
      <c r="C117" s="17">
        <f>38955+41364</f>
        <v>80319</v>
      </c>
      <c r="E117" s="16" t="s">
        <v>144</v>
      </c>
      <c r="F117" s="23">
        <v>2040.0</v>
      </c>
      <c r="G117" s="17">
        <f>38409+40816</f>
        <v>79225</v>
      </c>
      <c r="I117" s="16" t="s">
        <v>144</v>
      </c>
      <c r="J117" s="23">
        <v>2050.0</v>
      </c>
      <c r="K117" s="17">
        <f>38037+40424</f>
        <v>78461</v>
      </c>
    </row>
    <row r="118">
      <c r="A118" s="16" t="s">
        <v>145</v>
      </c>
      <c r="B118" s="23">
        <v>2030.0</v>
      </c>
      <c r="C118" s="17">
        <f>3043+3233</f>
        <v>6276</v>
      </c>
      <c r="E118" s="16" t="s">
        <v>145</v>
      </c>
      <c r="F118" s="23">
        <v>2040.0</v>
      </c>
      <c r="G118" s="17">
        <f>2764+2927</f>
        <v>5691</v>
      </c>
      <c r="I118" s="16" t="s">
        <v>145</v>
      </c>
      <c r="J118" s="23">
        <v>2050.0</v>
      </c>
      <c r="K118" s="17">
        <f>2447+2589</f>
        <v>5036</v>
      </c>
    </row>
    <row r="119">
      <c r="A119" s="16" t="s">
        <v>146</v>
      </c>
      <c r="B119" s="23">
        <v>2030.0</v>
      </c>
      <c r="C119" s="17">
        <f>7242+7784</f>
        <v>15026</v>
      </c>
      <c r="E119" s="16" t="s">
        <v>146</v>
      </c>
      <c r="F119" s="23">
        <v>2040.0</v>
      </c>
      <c r="G119" s="17">
        <f>6754+7252</f>
        <v>14006</v>
      </c>
      <c r="I119" s="16" t="s">
        <v>146</v>
      </c>
      <c r="J119" s="23">
        <v>2050.0</v>
      </c>
      <c r="K119" s="17">
        <f>5990+6430</f>
        <v>12420</v>
      </c>
    </row>
    <row r="120">
      <c r="A120" s="16" t="s">
        <v>147</v>
      </c>
      <c r="B120" s="23">
        <v>2030.0</v>
      </c>
      <c r="C120" s="17">
        <f>126335+134122</f>
        <v>260457</v>
      </c>
      <c r="E120" s="16" t="s">
        <v>147</v>
      </c>
      <c r="F120" s="23">
        <v>2040.0</v>
      </c>
      <c r="G120" s="17">
        <f>124647+132442</f>
        <v>257089</v>
      </c>
      <c r="I120" s="16" t="s">
        <v>147</v>
      </c>
      <c r="J120" s="23">
        <v>2050.0</v>
      </c>
      <c r="K120" s="17">
        <f>114830+122037</f>
        <v>236867</v>
      </c>
    </row>
    <row r="121">
      <c r="A121" s="16" t="s">
        <v>148</v>
      </c>
      <c r="B121" s="23">
        <v>2030.0</v>
      </c>
      <c r="C121" s="17">
        <f>81877+86452</f>
        <v>168329</v>
      </c>
      <c r="E121" s="16" t="s">
        <v>148</v>
      </c>
      <c r="F121" s="23">
        <v>2040.0</v>
      </c>
      <c r="G121" s="17">
        <f>78390+82840</f>
        <v>161230</v>
      </c>
      <c r="I121" s="16" t="s">
        <v>148</v>
      </c>
      <c r="J121" s="23">
        <v>2050.0</v>
      </c>
      <c r="K121" s="17">
        <f>71233+75304</f>
        <v>146537</v>
      </c>
    </row>
    <row r="122">
      <c r="A122" s="16" t="s">
        <v>149</v>
      </c>
      <c r="B122" s="23">
        <v>2030.0</v>
      </c>
      <c r="C122" s="17">
        <f>26255+28057</f>
        <v>54312</v>
      </c>
      <c r="E122" s="16" t="s">
        <v>149</v>
      </c>
      <c r="F122" s="23">
        <v>2040.0</v>
      </c>
      <c r="G122" s="17">
        <f>23983+25647</f>
        <v>49630</v>
      </c>
      <c r="I122" s="16" t="s">
        <v>149</v>
      </c>
      <c r="J122" s="23">
        <v>2050.0</v>
      </c>
      <c r="K122" s="17">
        <f>22326+23871</f>
        <v>46197</v>
      </c>
    </row>
    <row r="123">
      <c r="A123" s="16" t="s">
        <v>150</v>
      </c>
      <c r="B123" s="23">
        <v>2030.0</v>
      </c>
      <c r="C123" s="17">
        <f>21757+22960</f>
        <v>44717</v>
      </c>
      <c r="E123" s="16" t="s">
        <v>150</v>
      </c>
      <c r="F123" s="23">
        <v>2040.0</v>
      </c>
      <c r="G123" s="17">
        <f>20984+22162</f>
        <v>43146</v>
      </c>
      <c r="I123" s="16" t="s">
        <v>150</v>
      </c>
      <c r="J123" s="23">
        <v>2050.0</v>
      </c>
      <c r="K123" s="17">
        <f>20700+21868</f>
        <v>42568</v>
      </c>
    </row>
    <row r="124">
      <c r="A124" s="16" t="s">
        <v>151</v>
      </c>
      <c r="B124" s="23">
        <v>2030.0</v>
      </c>
      <c r="C124" s="17">
        <f>7895+8414</f>
        <v>16309</v>
      </c>
      <c r="E124" s="16" t="s">
        <v>151</v>
      </c>
      <c r="F124" s="23">
        <v>2040.0</v>
      </c>
      <c r="G124" s="17">
        <f>8615+9167</f>
        <v>17782</v>
      </c>
      <c r="I124" s="16" t="s">
        <v>151</v>
      </c>
      <c r="J124" s="23">
        <v>2050.0</v>
      </c>
      <c r="K124" s="17">
        <f>8303+8833</f>
        <v>17136</v>
      </c>
    </row>
    <row r="125">
      <c r="A125" s="16" t="s">
        <v>152</v>
      </c>
      <c r="B125" s="23">
        <v>2030.0</v>
      </c>
      <c r="C125" s="17">
        <f>28493+30173</f>
        <v>58666</v>
      </c>
      <c r="E125" s="16" t="s">
        <v>152</v>
      </c>
      <c r="F125" s="23">
        <v>2040.0</v>
      </c>
      <c r="G125" s="17">
        <f>31086+32939</f>
        <v>64025</v>
      </c>
      <c r="I125" s="16" t="s">
        <v>152</v>
      </c>
      <c r="J125" s="23">
        <v>2050.0</v>
      </c>
      <c r="K125" s="17">
        <f>28798+30519</f>
        <v>59317</v>
      </c>
    </row>
    <row r="126">
      <c r="A126" s="16" t="s">
        <v>153</v>
      </c>
      <c r="B126" s="23">
        <v>2030.0</v>
      </c>
      <c r="C126" s="17">
        <f>4660+4943</f>
        <v>9603</v>
      </c>
      <c r="E126" s="16" t="s">
        <v>153</v>
      </c>
      <c r="F126" s="23">
        <v>2040.0</v>
      </c>
      <c r="G126" s="17">
        <f>4996+5297</f>
        <v>10293</v>
      </c>
      <c r="I126" s="16" t="s">
        <v>153</v>
      </c>
      <c r="J126" s="23">
        <v>2050.0</v>
      </c>
      <c r="K126" s="17">
        <f>4790+5079</f>
        <v>9869</v>
      </c>
    </row>
    <row r="127">
      <c r="A127" s="16" t="s">
        <v>154</v>
      </c>
      <c r="B127" s="23">
        <v>2030.0</v>
      </c>
      <c r="C127" s="17">
        <f>6123+6490</f>
        <v>12613</v>
      </c>
      <c r="E127" s="16" t="s">
        <v>154</v>
      </c>
      <c r="F127" s="23">
        <v>2040.0</v>
      </c>
      <c r="G127" s="17">
        <f>6394+6765</f>
        <v>13159</v>
      </c>
      <c r="I127" s="16" t="s">
        <v>154</v>
      </c>
      <c r="J127" s="23">
        <v>2050.0</v>
      </c>
      <c r="K127" s="17">
        <f>5992+6337</f>
        <v>12329</v>
      </c>
    </row>
    <row r="128">
      <c r="A128" s="16" t="s">
        <v>155</v>
      </c>
      <c r="B128" s="23">
        <v>2030.0</v>
      </c>
      <c r="C128" s="17">
        <f>10274+9749</f>
        <v>20023</v>
      </c>
      <c r="E128" s="16" t="s">
        <v>155</v>
      </c>
      <c r="F128" s="23">
        <v>2040.0</v>
      </c>
      <c r="G128" s="17">
        <f>9011+8549</f>
        <v>17560</v>
      </c>
      <c r="I128" s="16" t="s">
        <v>155</v>
      </c>
      <c r="J128" s="23">
        <v>2050.0</v>
      </c>
      <c r="K128" s="17">
        <f>8368+7939</f>
        <v>16307</v>
      </c>
    </row>
    <row r="129">
      <c r="A129" s="16" t="s">
        <v>156</v>
      </c>
      <c r="B129" s="23">
        <v>2030.0</v>
      </c>
      <c r="C129" s="17">
        <f>14169+13361</f>
        <v>27530</v>
      </c>
      <c r="E129" s="16" t="s">
        <v>156</v>
      </c>
      <c r="F129" s="23">
        <v>2040.0</v>
      </c>
      <c r="G129" s="17">
        <f>14113+13315</f>
        <v>27428</v>
      </c>
      <c r="I129" s="16" t="s">
        <v>156</v>
      </c>
      <c r="J129" s="23">
        <v>2050.0</v>
      </c>
      <c r="K129" s="17">
        <f>13206+12458</f>
        <v>25664</v>
      </c>
    </row>
    <row r="130">
      <c r="A130" s="16" t="s">
        <v>157</v>
      </c>
      <c r="B130" s="23">
        <v>2030.0</v>
      </c>
      <c r="C130" s="17">
        <f>610618+579394</f>
        <v>1190012</v>
      </c>
      <c r="E130" s="16" t="s">
        <v>157</v>
      </c>
      <c r="F130" s="23">
        <v>2040.0</v>
      </c>
      <c r="G130" s="17">
        <f>700152+664261</f>
        <v>1364413</v>
      </c>
      <c r="I130" s="16" t="s">
        <v>157</v>
      </c>
      <c r="J130" s="23">
        <v>2050.0</v>
      </c>
      <c r="K130" s="17">
        <f>709372+672631</f>
        <v>1382003</v>
      </c>
    </row>
    <row r="131">
      <c r="A131" s="16" t="s">
        <v>158</v>
      </c>
      <c r="B131" s="23">
        <v>2030.0</v>
      </c>
      <c r="C131" s="17">
        <f>120647+113784</f>
        <v>234431</v>
      </c>
      <c r="E131" s="16" t="s">
        <v>158</v>
      </c>
      <c r="F131" s="23">
        <v>2040.0</v>
      </c>
      <c r="G131" s="17">
        <f>116834+110232</f>
        <v>227066</v>
      </c>
      <c r="I131" s="16" t="s">
        <v>158</v>
      </c>
      <c r="J131" s="23">
        <v>2050.0</v>
      </c>
      <c r="K131" s="17">
        <f>98343+92759</f>
        <v>191102</v>
      </c>
    </row>
    <row r="132">
      <c r="A132" s="16" t="s">
        <v>159</v>
      </c>
      <c r="B132" s="23">
        <v>2030.0</v>
      </c>
      <c r="C132" s="17">
        <f>155024+147178</f>
        <v>302202</v>
      </c>
      <c r="E132" s="16" t="s">
        <v>159</v>
      </c>
      <c r="F132" s="23">
        <v>2040.0</v>
      </c>
      <c r="G132" s="17">
        <f>161718+153653</f>
        <v>315371</v>
      </c>
      <c r="I132" s="16" t="s">
        <v>159</v>
      </c>
      <c r="J132" s="23">
        <v>2050.0</v>
      </c>
      <c r="K132" s="17">
        <f>172074+163553</f>
        <v>335627</v>
      </c>
    </row>
    <row r="133">
      <c r="A133" s="16" t="s">
        <v>160</v>
      </c>
      <c r="B133" s="23">
        <v>2030.0</v>
      </c>
      <c r="C133" s="17">
        <f>29057+27522</f>
        <v>56579</v>
      </c>
      <c r="E133" s="16" t="s">
        <v>160</v>
      </c>
      <c r="F133" s="23">
        <v>2040.0</v>
      </c>
      <c r="G133" s="17">
        <f>29420+27847</f>
        <v>57267</v>
      </c>
      <c r="I133" s="16" t="s">
        <v>160</v>
      </c>
      <c r="J133" s="23">
        <v>2050.0</v>
      </c>
      <c r="K133" s="17">
        <f>29023+27470</f>
        <v>56493</v>
      </c>
    </row>
    <row r="134">
      <c r="A134" s="16" t="s">
        <v>161</v>
      </c>
      <c r="B134" s="23">
        <v>2030.0</v>
      </c>
      <c r="C134" s="17">
        <f>2943+2745</f>
        <v>5688</v>
      </c>
      <c r="E134" s="16" t="s">
        <v>161</v>
      </c>
      <c r="F134" s="23">
        <v>2040.0</v>
      </c>
      <c r="G134" s="17">
        <f>2764+2581</f>
        <v>5345</v>
      </c>
      <c r="I134" s="16" t="s">
        <v>161</v>
      </c>
      <c r="J134" s="23">
        <v>2050.0</v>
      </c>
      <c r="K134" s="17">
        <f>2734+2554</f>
        <v>5288</v>
      </c>
    </row>
    <row r="135">
      <c r="A135" s="16" t="s">
        <v>162</v>
      </c>
      <c r="B135" s="23">
        <v>2030.0</v>
      </c>
      <c r="C135" s="17">
        <f>385102+367261</f>
        <v>752363</v>
      </c>
      <c r="E135" s="16" t="s">
        <v>162</v>
      </c>
      <c r="F135" s="23">
        <v>2040.0</v>
      </c>
      <c r="G135" s="17">
        <f>404952+386198</f>
        <v>791150</v>
      </c>
      <c r="I135" s="16" t="s">
        <v>162</v>
      </c>
      <c r="J135" s="23">
        <v>2050.0</v>
      </c>
      <c r="K135" s="17">
        <f>376549+359222</f>
        <v>735771</v>
      </c>
    </row>
    <row r="136">
      <c r="A136" s="16" t="s">
        <v>163</v>
      </c>
      <c r="B136" s="23">
        <v>2030.0</v>
      </c>
      <c r="C136" s="17">
        <f>132862+125583</f>
        <v>258445</v>
      </c>
      <c r="E136" s="16" t="s">
        <v>163</v>
      </c>
      <c r="F136" s="23">
        <v>2040.0</v>
      </c>
      <c r="G136" s="17">
        <f>121507+114750</f>
        <v>236257</v>
      </c>
      <c r="I136" s="16" t="s">
        <v>163</v>
      </c>
      <c r="J136" s="23">
        <v>2050.0</v>
      </c>
      <c r="K136" s="17">
        <f>110538+104399</f>
        <v>214937</v>
      </c>
    </row>
    <row r="137">
      <c r="A137" s="16" t="s">
        <v>164</v>
      </c>
      <c r="B137" s="23">
        <v>2030.0</v>
      </c>
      <c r="C137" s="17">
        <f>26430+24933</f>
        <v>51363</v>
      </c>
      <c r="E137" s="16" t="s">
        <v>164</v>
      </c>
      <c r="F137" s="23">
        <v>2040.0</v>
      </c>
      <c r="G137" s="17">
        <f>20167+19016</f>
        <v>39183</v>
      </c>
      <c r="I137" s="16" t="s">
        <v>164</v>
      </c>
      <c r="J137" s="23">
        <v>2050.0</v>
      </c>
      <c r="K137" s="17">
        <f>16481+15536</f>
        <v>32017</v>
      </c>
    </row>
    <row r="138">
      <c r="A138" s="16" t="s">
        <v>165</v>
      </c>
      <c r="B138" s="23">
        <v>2030.0</v>
      </c>
      <c r="C138" s="17">
        <f>189434+179619</f>
        <v>369053</v>
      </c>
      <c r="E138" s="16" t="s">
        <v>165</v>
      </c>
      <c r="F138" s="23">
        <v>2040.0</v>
      </c>
      <c r="G138" s="17">
        <f>194346+184112</f>
        <v>378458</v>
      </c>
      <c r="I138" s="16" t="s">
        <v>165</v>
      </c>
      <c r="J138" s="23">
        <v>2050.0</v>
      </c>
      <c r="K138" s="17">
        <f>198193+187734</f>
        <v>385927</v>
      </c>
    </row>
    <row r="139">
      <c r="A139" s="16" t="s">
        <v>166</v>
      </c>
      <c r="B139" s="23">
        <v>2030.0</v>
      </c>
      <c r="C139" s="17">
        <f>328+313</f>
        <v>641</v>
      </c>
      <c r="E139" s="16" t="s">
        <v>166</v>
      </c>
      <c r="F139" s="23">
        <v>2040.0</v>
      </c>
      <c r="G139" s="17">
        <f>298+284</f>
        <v>582</v>
      </c>
      <c r="I139" s="16" t="s">
        <v>166</v>
      </c>
      <c r="J139" s="23">
        <v>2050.0</v>
      </c>
      <c r="K139" s="17">
        <f>295+282</f>
        <v>577</v>
      </c>
    </row>
    <row r="140">
      <c r="A140" s="16" t="s">
        <v>167</v>
      </c>
      <c r="B140" s="23">
        <v>2030.0</v>
      </c>
      <c r="C140" s="17">
        <f>1911479+1818167</f>
        <v>3729646</v>
      </c>
      <c r="E140" s="16" t="s">
        <v>167</v>
      </c>
      <c r="F140" s="23">
        <v>2040.0</v>
      </c>
      <c r="G140" s="17">
        <f>2022244+1922041</f>
        <v>3944285</v>
      </c>
      <c r="I140" s="16" t="s">
        <v>167</v>
      </c>
      <c r="J140" s="23">
        <v>2050.0</v>
      </c>
      <c r="K140" s="17">
        <f>1958095+1859886</f>
        <v>3817981</v>
      </c>
    </row>
    <row r="141">
      <c r="A141" s="16" t="s">
        <v>168</v>
      </c>
      <c r="B141" s="23">
        <v>2030.0</v>
      </c>
      <c r="C141" s="17">
        <f>262643+250228</f>
        <v>512871</v>
      </c>
      <c r="E141" s="16" t="s">
        <v>168</v>
      </c>
      <c r="F141" s="23">
        <v>2040.0</v>
      </c>
      <c r="G141" s="17">
        <f>264645+252143</f>
        <v>516788</v>
      </c>
      <c r="I141" s="16" t="s">
        <v>168</v>
      </c>
      <c r="J141" s="23">
        <v>2050.0</v>
      </c>
      <c r="K141" s="17">
        <f>235008+223941</f>
        <v>458949</v>
      </c>
    </row>
    <row r="142">
      <c r="A142" s="16" t="s">
        <v>169</v>
      </c>
      <c r="B142" s="23">
        <v>2030.0</v>
      </c>
      <c r="C142" s="17">
        <f>85297.5+81704.5</f>
        <v>167002</v>
      </c>
      <c r="E142" s="16" t="s">
        <v>169</v>
      </c>
      <c r="F142" s="23">
        <v>2040.0</v>
      </c>
      <c r="G142" s="17">
        <f>80024+76568</f>
        <v>156592</v>
      </c>
      <c r="I142" s="16" t="s">
        <v>169</v>
      </c>
      <c r="J142" s="23">
        <v>2050.0</v>
      </c>
      <c r="K142" s="17">
        <f>73973+70767</f>
        <v>144740</v>
      </c>
    </row>
    <row r="143">
      <c r="A143" s="16" t="s">
        <v>170</v>
      </c>
      <c r="B143" s="23">
        <v>2030.0</v>
      </c>
      <c r="C143" s="17">
        <f>16661+15835</f>
        <v>32496</v>
      </c>
      <c r="E143" s="16" t="s">
        <v>170</v>
      </c>
      <c r="F143" s="23">
        <v>2040.0</v>
      </c>
      <c r="G143" s="17">
        <f>15835+15057</f>
        <v>30892</v>
      </c>
      <c r="I143" s="16" t="s">
        <v>170</v>
      </c>
      <c r="J143" s="23">
        <v>2050.0</v>
      </c>
      <c r="K143" s="17">
        <f>13869+13189</f>
        <v>27058</v>
      </c>
    </row>
    <row r="144">
      <c r="A144" s="16" t="s">
        <v>171</v>
      </c>
      <c r="B144" s="23">
        <v>2030.0</v>
      </c>
      <c r="C144" s="17">
        <f>305+288</f>
        <v>593</v>
      </c>
      <c r="E144" s="16" t="s">
        <v>171</v>
      </c>
      <c r="F144" s="23">
        <v>2040.0</v>
      </c>
      <c r="G144" s="17">
        <f>283+266</f>
        <v>549</v>
      </c>
      <c r="I144" s="16" t="s">
        <v>171</v>
      </c>
      <c r="J144" s="23">
        <v>2050.0</v>
      </c>
      <c r="K144" s="17">
        <f>229+216</f>
        <v>445</v>
      </c>
    </row>
    <row r="145">
      <c r="A145" s="16" t="s">
        <v>172</v>
      </c>
      <c r="B145" s="23">
        <v>2030.0</v>
      </c>
      <c r="C145" s="17">
        <f>36577+34638</f>
        <v>71215</v>
      </c>
      <c r="E145" s="16" t="s">
        <v>172</v>
      </c>
      <c r="F145" s="23">
        <v>2040.0</v>
      </c>
      <c r="G145" s="17">
        <f>35170+33290</f>
        <v>68460</v>
      </c>
      <c r="I145" s="16" t="s">
        <v>172</v>
      </c>
      <c r="J145" s="23">
        <v>2050.0</v>
      </c>
      <c r="K145" s="17">
        <f>36172+34239</f>
        <v>70411</v>
      </c>
    </row>
    <row r="146">
      <c r="A146" s="16" t="s">
        <v>173</v>
      </c>
      <c r="B146" s="23">
        <v>2030.0</v>
      </c>
      <c r="C146" s="17">
        <f>51559+49064</f>
        <v>100623</v>
      </c>
      <c r="E146" s="16" t="s">
        <v>173</v>
      </c>
      <c r="F146" s="23">
        <v>2040.0</v>
      </c>
      <c r="G146" s="17">
        <f>55449+52721</f>
        <v>108170</v>
      </c>
      <c r="I146" s="16" t="s">
        <v>173</v>
      </c>
      <c r="J146" s="23">
        <v>2050.0</v>
      </c>
      <c r="K146" s="17">
        <f>53949+51274</f>
        <v>105223</v>
      </c>
    </row>
    <row r="147">
      <c r="A147" s="16" t="s">
        <v>174</v>
      </c>
      <c r="B147" s="23">
        <v>2030.0</v>
      </c>
      <c r="C147" s="17">
        <f>6656+6255</f>
        <v>12911</v>
      </c>
      <c r="E147" s="16" t="s">
        <v>174</v>
      </c>
      <c r="F147" s="23">
        <v>2040.0</v>
      </c>
      <c r="G147" s="17">
        <f>6068+5701</f>
        <v>11769</v>
      </c>
      <c r="I147" s="16" t="s">
        <v>174</v>
      </c>
      <c r="J147" s="23">
        <v>2050.0</v>
      </c>
      <c r="K147" s="17">
        <f>6389+6000</f>
        <v>12389</v>
      </c>
    </row>
    <row r="148">
      <c r="A148" s="16" t="s">
        <v>175</v>
      </c>
      <c r="B148" s="23">
        <v>2030.0</v>
      </c>
      <c r="C148" s="17">
        <f>30896+29307</f>
        <v>60203</v>
      </c>
      <c r="E148" s="16" t="s">
        <v>175</v>
      </c>
      <c r="F148" s="23">
        <v>2040.0</v>
      </c>
      <c r="G148" s="17">
        <f>30097+28556</f>
        <v>58653</v>
      </c>
      <c r="I148" s="16" t="s">
        <v>175</v>
      </c>
      <c r="J148" s="23">
        <v>2050.0</v>
      </c>
      <c r="K148" s="17">
        <f>29016+27537</f>
        <v>56553</v>
      </c>
    </row>
    <row r="149">
      <c r="A149" s="16" t="s">
        <v>176</v>
      </c>
      <c r="B149" s="23">
        <v>2030.0</v>
      </c>
      <c r="C149" s="17">
        <f>22374+21221</f>
        <v>43595</v>
      </c>
      <c r="E149" s="16" t="s">
        <v>176</v>
      </c>
      <c r="F149" s="23">
        <v>2040.0</v>
      </c>
      <c r="G149" s="17">
        <f>23765+22540</f>
        <v>46305</v>
      </c>
      <c r="I149" s="16" t="s">
        <v>176</v>
      </c>
      <c r="J149" s="23">
        <v>2050.0</v>
      </c>
      <c r="K149" s="17">
        <f>22202+21055</f>
        <v>43257</v>
      </c>
    </row>
    <row r="150">
      <c r="A150" s="16" t="s">
        <v>177</v>
      </c>
      <c r="B150" s="23">
        <v>2030.0</v>
      </c>
      <c r="C150" s="17">
        <f>328867+313503</f>
        <v>642370</v>
      </c>
      <c r="E150" s="16" t="s">
        <v>177</v>
      </c>
      <c r="F150" s="23">
        <v>2040.0</v>
      </c>
      <c r="G150" s="17">
        <f>361072+343920</f>
        <v>704992</v>
      </c>
      <c r="I150" s="16" t="s">
        <v>177</v>
      </c>
      <c r="J150" s="23">
        <v>2050.0</v>
      </c>
      <c r="K150" s="17">
        <f>345091+328701</f>
        <v>673792</v>
      </c>
    </row>
    <row r="151">
      <c r="A151" s="16" t="s">
        <v>178</v>
      </c>
      <c r="B151" s="23">
        <v>2030.0</v>
      </c>
      <c r="C151" s="17">
        <f>340304+322053</f>
        <v>662357</v>
      </c>
      <c r="E151" s="16" t="s">
        <v>178</v>
      </c>
      <c r="F151" s="23">
        <v>2040.0</v>
      </c>
      <c r="G151" s="17">
        <f>334343+316098</f>
        <v>650441</v>
      </c>
      <c r="I151" s="16" t="s">
        <v>178</v>
      </c>
      <c r="J151" s="23">
        <v>2050.0</v>
      </c>
      <c r="K151" s="17">
        <f>356643+337209</f>
        <v>693852</v>
      </c>
    </row>
    <row r="152">
      <c r="A152" s="16" t="s">
        <v>179</v>
      </c>
      <c r="B152" s="23">
        <v>2030.0</v>
      </c>
      <c r="C152" s="17">
        <f>34112+31971</f>
        <v>66083</v>
      </c>
      <c r="E152" s="16" t="s">
        <v>179</v>
      </c>
      <c r="F152" s="23">
        <v>2040.0</v>
      </c>
      <c r="G152" s="17">
        <f>36761+34456</f>
        <v>71217</v>
      </c>
      <c r="I152" s="16" t="s">
        <v>179</v>
      </c>
      <c r="J152" s="23">
        <v>2050.0</v>
      </c>
      <c r="K152" s="17">
        <f>35043+32834</f>
        <v>67877</v>
      </c>
    </row>
    <row r="153">
      <c r="A153" s="16" t="s">
        <v>180</v>
      </c>
      <c r="B153" s="23">
        <v>2030.0</v>
      </c>
      <c r="C153" s="17">
        <f>2070+2196</f>
        <v>4266</v>
      </c>
      <c r="E153" s="16" t="s">
        <v>180</v>
      </c>
      <c r="F153" s="23">
        <v>2040.0</v>
      </c>
      <c r="G153" s="17">
        <f>1926+2041</f>
        <v>3967</v>
      </c>
      <c r="I153" s="16" t="s">
        <v>180</v>
      </c>
      <c r="J153" s="23">
        <v>2050.0</v>
      </c>
      <c r="K153" s="17">
        <f>1819+1927</f>
        <v>3746</v>
      </c>
    </row>
    <row r="154">
      <c r="A154" s="16" t="s">
        <v>181</v>
      </c>
      <c r="B154" s="23">
        <v>2030.0</v>
      </c>
      <c r="C154" s="17">
        <f>26596+28074</f>
        <v>54670</v>
      </c>
      <c r="E154" s="16" t="s">
        <v>181</v>
      </c>
      <c r="F154" s="23">
        <v>2040.0</v>
      </c>
      <c r="G154" s="17">
        <f>30431+32142</f>
        <v>62573</v>
      </c>
      <c r="I154" s="16" t="s">
        <v>181</v>
      </c>
      <c r="J154" s="23">
        <v>2050.0</v>
      </c>
      <c r="K154" s="17">
        <f>28603+30221</f>
        <v>58824</v>
      </c>
    </row>
    <row r="155">
      <c r="A155" s="16" t="s">
        <v>182</v>
      </c>
      <c r="B155" s="23">
        <v>2030.0</v>
      </c>
      <c r="C155" s="17">
        <f>85532+90249</f>
        <v>175781</v>
      </c>
      <c r="E155" s="16" t="s">
        <v>182</v>
      </c>
      <c r="F155" s="23">
        <v>2040.0</v>
      </c>
      <c r="G155" s="17">
        <f>96963+102383</f>
        <v>199346</v>
      </c>
      <c r="I155" s="16" t="s">
        <v>182</v>
      </c>
      <c r="J155" s="23">
        <v>2050.0</v>
      </c>
      <c r="K155" s="17">
        <f>103118+108906</f>
        <v>212024</v>
      </c>
    </row>
    <row r="156">
      <c r="A156" s="16" t="s">
        <v>183</v>
      </c>
      <c r="B156" s="23">
        <v>2030.0</v>
      </c>
      <c r="C156" s="17">
        <f>182304+193090</f>
        <v>375394</v>
      </c>
      <c r="E156" s="16" t="s">
        <v>183</v>
      </c>
      <c r="F156" s="23">
        <v>2040.0</v>
      </c>
      <c r="G156" s="17">
        <f>185852+196842</f>
        <v>382694</v>
      </c>
      <c r="I156" s="16" t="s">
        <v>183</v>
      </c>
      <c r="J156" s="23">
        <v>2050.0</v>
      </c>
      <c r="K156" s="17">
        <f>167797+177730</f>
        <v>345527</v>
      </c>
    </row>
    <row r="157">
      <c r="A157" s="16" t="s">
        <v>184</v>
      </c>
      <c r="B157" s="23">
        <v>2030.0</v>
      </c>
      <c r="C157" s="17">
        <f>3346+3530</f>
        <v>6876</v>
      </c>
      <c r="E157" s="16" t="s">
        <v>184</v>
      </c>
      <c r="F157" s="23">
        <v>2040.0</v>
      </c>
      <c r="G157" s="17">
        <f>3213+3394</f>
        <v>6607</v>
      </c>
      <c r="I157" s="16" t="s">
        <v>184</v>
      </c>
      <c r="J157" s="23">
        <v>2050.0</v>
      </c>
      <c r="K157" s="17">
        <f>3378+3571</f>
        <v>6949</v>
      </c>
    </row>
    <row r="158">
      <c r="A158" s="16" t="s">
        <v>185</v>
      </c>
      <c r="B158" s="23">
        <v>2030.0</v>
      </c>
      <c r="C158" s="17">
        <f>1911+2045</f>
        <v>3956</v>
      </c>
      <c r="E158" s="16" t="s">
        <v>185</v>
      </c>
      <c r="F158" s="23">
        <v>2040.0</v>
      </c>
      <c r="G158" s="17">
        <f>1600+1712</f>
        <v>3312</v>
      </c>
      <c r="I158" s="16" t="s">
        <v>185</v>
      </c>
      <c r="J158" s="23">
        <v>2050.0</v>
      </c>
      <c r="K158" s="17">
        <f>1630+1744</f>
        <v>3374</v>
      </c>
    </row>
    <row r="159">
      <c r="A159" s="16" t="s">
        <v>186</v>
      </c>
      <c r="B159" s="23">
        <v>2030.0</v>
      </c>
      <c r="C159" s="17">
        <f>183+191</f>
        <v>374</v>
      </c>
      <c r="E159" s="16" t="s">
        <v>186</v>
      </c>
      <c r="F159" s="23">
        <v>2040.0</v>
      </c>
      <c r="G159" s="17">
        <f>188+197</f>
        <v>385</v>
      </c>
      <c r="I159" s="16" t="s">
        <v>186</v>
      </c>
      <c r="J159" s="23">
        <v>2050.0</v>
      </c>
      <c r="K159" s="17">
        <f>207+217</f>
        <v>424</v>
      </c>
    </row>
    <row r="160">
      <c r="A160" s="16" t="s">
        <v>187</v>
      </c>
      <c r="B160" s="23">
        <v>2030.0</v>
      </c>
      <c r="C160" s="17">
        <f>88424+93157</f>
        <v>181581</v>
      </c>
      <c r="E160" s="16" t="s">
        <v>187</v>
      </c>
      <c r="F160" s="23">
        <v>2040.0</v>
      </c>
      <c r="G160" s="17">
        <f>84570+89205</f>
        <v>173775</v>
      </c>
      <c r="I160" s="16" t="s">
        <v>187</v>
      </c>
      <c r="J160" s="23">
        <v>2050.0</v>
      </c>
      <c r="K160" s="17">
        <f>80146+84559</f>
        <v>164705</v>
      </c>
    </row>
    <row r="161">
      <c r="A161" s="16" t="s">
        <v>188</v>
      </c>
      <c r="B161" s="23">
        <v>2030.0</v>
      </c>
      <c r="C161" s="17">
        <f>25564+27090</f>
        <v>52654</v>
      </c>
      <c r="E161" s="16" t="s">
        <v>188</v>
      </c>
      <c r="F161" s="23">
        <v>2040.0</v>
      </c>
      <c r="G161" s="17">
        <f>26199+27757</f>
        <v>53956</v>
      </c>
      <c r="I161" s="16" t="s">
        <v>188</v>
      </c>
      <c r="J161" s="23">
        <v>2050.0</v>
      </c>
      <c r="K161" s="17">
        <f>25040+26521</f>
        <v>51561</v>
      </c>
    </row>
    <row r="162">
      <c r="A162" s="16" t="s">
        <v>189</v>
      </c>
      <c r="B162" s="23">
        <v>2030.0</v>
      </c>
      <c r="C162" s="17">
        <f>41322+43697</f>
        <v>85019</v>
      </c>
      <c r="E162" s="16" t="s">
        <v>189</v>
      </c>
      <c r="F162" s="23">
        <v>2040.0</v>
      </c>
      <c r="G162" s="17">
        <f>42411+44942</f>
        <v>87353</v>
      </c>
      <c r="I162" s="16" t="s">
        <v>189</v>
      </c>
      <c r="J162" s="23">
        <v>2050.0</v>
      </c>
      <c r="K162" s="17">
        <f>40348+42774</f>
        <v>83122</v>
      </c>
    </row>
    <row r="163">
      <c r="A163" s="16" t="s">
        <v>190</v>
      </c>
      <c r="B163" s="23">
        <v>2030.0</v>
      </c>
      <c r="C163" s="17">
        <f>100+106</f>
        <v>206</v>
      </c>
      <c r="E163" s="16" t="s">
        <v>190</v>
      </c>
      <c r="F163" s="23">
        <v>2040.0</v>
      </c>
      <c r="G163" s="17">
        <f>120+128</f>
        <v>248</v>
      </c>
      <c r="I163" s="16" t="s">
        <v>190</v>
      </c>
      <c r="J163" s="23">
        <v>2050.0</v>
      </c>
      <c r="K163" s="17">
        <f>116+124</f>
        <v>240</v>
      </c>
    </row>
    <row r="164">
      <c r="A164" s="16" t="s">
        <v>191</v>
      </c>
      <c r="B164" s="23">
        <v>2030.0</v>
      </c>
      <c r="C164" s="17">
        <f>156256+166320</f>
        <v>322576</v>
      </c>
      <c r="E164" s="16" t="s">
        <v>191</v>
      </c>
      <c r="F164" s="23">
        <v>2040.0</v>
      </c>
      <c r="G164" s="17">
        <f>166108+177106</f>
        <v>343214</v>
      </c>
      <c r="I164" s="16" t="s">
        <v>191</v>
      </c>
      <c r="J164" s="23">
        <v>2050.0</v>
      </c>
      <c r="K164" s="17">
        <f>155597+165940</f>
        <v>321537</v>
      </c>
    </row>
    <row r="165">
      <c r="A165" s="16" t="s">
        <v>192</v>
      </c>
      <c r="B165" s="23">
        <v>2030.0</v>
      </c>
      <c r="C165" s="17">
        <f>46243+48787</f>
        <v>95030</v>
      </c>
      <c r="E165" s="16" t="s">
        <v>192</v>
      </c>
      <c r="F165" s="23">
        <v>2040.0</v>
      </c>
      <c r="G165" s="17">
        <f>50689+53429</f>
        <v>104118</v>
      </c>
      <c r="I165" s="16" t="s">
        <v>192</v>
      </c>
      <c r="J165" s="23">
        <v>2050.0</v>
      </c>
      <c r="K165" s="17">
        <f>51546+54327</f>
        <v>105873</v>
      </c>
    </row>
    <row r="166">
      <c r="A166" s="16" t="s">
        <v>193</v>
      </c>
      <c r="B166" s="23">
        <v>2030.0</v>
      </c>
      <c r="C166" s="17">
        <f>37444+39346</f>
        <v>76790</v>
      </c>
      <c r="E166" s="16" t="s">
        <v>193</v>
      </c>
      <c r="F166" s="23">
        <v>2040.0</v>
      </c>
      <c r="G166" s="17">
        <f>37379+39286</f>
        <v>76665</v>
      </c>
      <c r="I166" s="16" t="s">
        <v>193</v>
      </c>
      <c r="J166" s="23">
        <v>2050.0</v>
      </c>
      <c r="K166" s="17">
        <f>40030+42077</f>
        <v>82107</v>
      </c>
    </row>
    <row r="167">
      <c r="A167" s="16" t="s">
        <v>194</v>
      </c>
      <c r="B167" s="23">
        <v>2030.0</v>
      </c>
      <c r="C167" s="17">
        <f>333181+351156</f>
        <v>684337</v>
      </c>
      <c r="E167" s="16" t="s">
        <v>194</v>
      </c>
      <c r="F167" s="23">
        <v>2040.0</v>
      </c>
      <c r="G167" s="17">
        <f>355207+374441</f>
        <v>729648</v>
      </c>
      <c r="I167" s="16" t="s">
        <v>194</v>
      </c>
      <c r="J167" s="23">
        <v>2050.0</v>
      </c>
      <c r="K167" s="17">
        <f>356938+376300</f>
        <v>733238</v>
      </c>
    </row>
    <row r="168">
      <c r="A168" s="16" t="s">
        <v>195</v>
      </c>
      <c r="B168" s="23">
        <v>2030.0</v>
      </c>
      <c r="C168" s="17">
        <f>125319+129860</f>
        <v>255179</v>
      </c>
      <c r="E168" s="16" t="s">
        <v>195</v>
      </c>
      <c r="F168" s="23">
        <v>2040.0</v>
      </c>
      <c r="G168" s="17">
        <f>122917+127248</f>
        <v>250165</v>
      </c>
      <c r="I168" s="16" t="s">
        <v>195</v>
      </c>
      <c r="J168" s="23">
        <v>2050.0</v>
      </c>
      <c r="K168" s="17">
        <f>119224+123421</f>
        <v>242645</v>
      </c>
    </row>
    <row r="169">
      <c r="A169" s="16" t="s">
        <v>196</v>
      </c>
      <c r="B169" s="23">
        <v>2030.0</v>
      </c>
      <c r="C169" s="17">
        <f>128731+134374</f>
        <v>263105</v>
      </c>
      <c r="E169" s="16" t="s">
        <v>196</v>
      </c>
      <c r="F169" s="23">
        <v>2040.0</v>
      </c>
      <c r="G169" s="17">
        <f>122254+127710</f>
        <v>249964</v>
      </c>
      <c r="I169" s="16" t="s">
        <v>196</v>
      </c>
      <c r="J169" s="23">
        <v>2050.0</v>
      </c>
      <c r="K169" s="17">
        <f>111331+116361</f>
        <v>227692</v>
      </c>
    </row>
    <row r="170">
      <c r="A170" s="16" t="s">
        <v>197</v>
      </c>
      <c r="B170" s="23">
        <v>2030.0</v>
      </c>
      <c r="C170" s="17">
        <f>254328+264219</f>
        <v>518547</v>
      </c>
      <c r="E170" s="16" t="s">
        <v>197</v>
      </c>
      <c r="F170" s="23">
        <v>2040.0</v>
      </c>
      <c r="G170" s="17">
        <f>238856+248474</f>
        <v>487330</v>
      </c>
      <c r="I170" s="16" t="s">
        <v>197</v>
      </c>
      <c r="J170" s="23">
        <v>2050.0</v>
      </c>
      <c r="K170" s="17">
        <f>222644+231694</f>
        <v>454338</v>
      </c>
    </row>
    <row r="171">
      <c r="A171" s="16" t="s">
        <v>198</v>
      </c>
      <c r="B171" s="23">
        <v>2030.0</v>
      </c>
      <c r="C171" s="17">
        <f>513+529</f>
        <v>1042</v>
      </c>
      <c r="E171" s="16" t="s">
        <v>198</v>
      </c>
      <c r="F171" s="23">
        <v>2040.0</v>
      </c>
      <c r="G171" s="17">
        <f>448+463</f>
        <v>911</v>
      </c>
      <c r="I171" s="16" t="s">
        <v>198</v>
      </c>
      <c r="J171" s="23">
        <v>2050.0</v>
      </c>
      <c r="K171" s="17">
        <f>404+417</f>
        <v>821</v>
      </c>
    </row>
    <row r="172">
      <c r="A172" s="16" t="s">
        <v>199</v>
      </c>
      <c r="B172" s="23">
        <v>2030.0</v>
      </c>
      <c r="C172" s="17">
        <f>2071+2121</f>
        <v>4192</v>
      </c>
      <c r="E172" s="16" t="s">
        <v>199</v>
      </c>
      <c r="F172" s="23">
        <v>2040.0</v>
      </c>
      <c r="G172" s="17">
        <f>1990+2039</f>
        <v>4029</v>
      </c>
      <c r="I172" s="16" t="s">
        <v>199</v>
      </c>
      <c r="J172" s="23">
        <v>2050.0</v>
      </c>
      <c r="K172" s="17">
        <f>1873+1921</f>
        <v>3794</v>
      </c>
    </row>
    <row r="173">
      <c r="A173" s="16" t="s">
        <v>200</v>
      </c>
      <c r="B173" s="23">
        <v>2030.0</v>
      </c>
      <c r="C173" s="17">
        <f>1475+1522</f>
        <v>2997</v>
      </c>
      <c r="E173" s="16" t="s">
        <v>200</v>
      </c>
      <c r="F173" s="23">
        <v>2040.0</v>
      </c>
      <c r="G173" s="17">
        <f>1340+1383</f>
        <v>2723</v>
      </c>
      <c r="I173" s="16" t="s">
        <v>200</v>
      </c>
      <c r="J173" s="23">
        <v>2050.0</v>
      </c>
      <c r="K173" s="17">
        <f>1216+1257</f>
        <v>2473</v>
      </c>
    </row>
    <row r="174">
      <c r="A174" s="16" t="s">
        <v>201</v>
      </c>
      <c r="B174" s="23">
        <v>2030.0</v>
      </c>
      <c r="C174" s="17">
        <f>3498+3674</f>
        <v>7172</v>
      </c>
      <c r="E174" s="16" t="s">
        <v>201</v>
      </c>
      <c r="F174" s="23">
        <v>2040.0</v>
      </c>
      <c r="G174" s="17">
        <f>3141+3301</f>
        <v>6442</v>
      </c>
      <c r="I174" s="16" t="s">
        <v>201</v>
      </c>
      <c r="J174" s="23">
        <v>2050.0</v>
      </c>
      <c r="K174" s="17">
        <f>2878+3027</f>
        <v>5905</v>
      </c>
    </row>
    <row r="175">
      <c r="A175" s="16" t="s">
        <v>202</v>
      </c>
      <c r="B175" s="23">
        <v>2030.0</v>
      </c>
      <c r="C175" s="17">
        <f>238+247</f>
        <v>485</v>
      </c>
      <c r="E175" s="16" t="s">
        <v>202</v>
      </c>
      <c r="F175" s="23">
        <v>2040.0</v>
      </c>
      <c r="G175" s="17">
        <f>220+229</f>
        <v>449</v>
      </c>
      <c r="I175" s="16" t="s">
        <v>202</v>
      </c>
      <c r="J175" s="23">
        <v>2050.0</v>
      </c>
      <c r="K175" s="17">
        <f>197+205</f>
        <v>402</v>
      </c>
    </row>
    <row r="176">
      <c r="A176" s="16" t="s">
        <v>203</v>
      </c>
      <c r="B176" s="23">
        <v>2030.0</v>
      </c>
      <c r="C176" s="17">
        <f>42665+45578</f>
        <v>88243</v>
      </c>
      <c r="E176" s="16" t="s">
        <v>203</v>
      </c>
      <c r="F176" s="23">
        <v>2040.0</v>
      </c>
      <c r="G176" s="17">
        <f>38125+40690</f>
        <v>78815</v>
      </c>
      <c r="I176" s="16" t="s">
        <v>203</v>
      </c>
      <c r="J176" s="23">
        <v>2050.0</v>
      </c>
      <c r="K176" s="17">
        <f>32674+34867</f>
        <v>67541</v>
      </c>
    </row>
    <row r="177">
      <c r="A177" s="16" t="s">
        <v>204</v>
      </c>
      <c r="B177" s="23">
        <v>2030.0</v>
      </c>
      <c r="C177" s="17">
        <f>316+325</f>
        <v>641</v>
      </c>
      <c r="E177" s="16" t="s">
        <v>204</v>
      </c>
      <c r="F177" s="23">
        <v>2040.0</v>
      </c>
      <c r="G177" s="17">
        <f>305+315</f>
        <v>620</v>
      </c>
      <c r="I177" s="16" t="s">
        <v>204</v>
      </c>
      <c r="J177" s="23">
        <v>2050.0</v>
      </c>
      <c r="K177" s="17">
        <f>288+297</f>
        <v>585</v>
      </c>
    </row>
    <row r="178">
      <c r="A178" s="16" t="s">
        <v>205</v>
      </c>
      <c r="B178" s="23">
        <v>2030.0</v>
      </c>
      <c r="C178" s="17">
        <f>91284+94924</f>
        <v>186208</v>
      </c>
      <c r="E178" s="16" t="s">
        <v>205</v>
      </c>
      <c r="F178" s="23">
        <v>2040.0</v>
      </c>
      <c r="G178" s="17">
        <f>85702+89194</f>
        <v>174896</v>
      </c>
      <c r="I178" s="16" t="s">
        <v>205</v>
      </c>
      <c r="J178" s="23">
        <v>2050.0</v>
      </c>
      <c r="K178" s="17">
        <f>80425+83794</f>
        <v>164219</v>
      </c>
    </row>
    <row r="179">
      <c r="A179" s="16" t="s">
        <v>206</v>
      </c>
      <c r="B179" s="23">
        <v>2030.0</v>
      </c>
      <c r="C179" s="17">
        <f>602+624</f>
        <v>1226</v>
      </c>
      <c r="E179" s="16" t="s">
        <v>206</v>
      </c>
      <c r="F179" s="23">
        <v>2040.0</v>
      </c>
      <c r="G179" s="17">
        <f>536+556</f>
        <v>1092</v>
      </c>
      <c r="I179" s="16" t="s">
        <v>206</v>
      </c>
      <c r="J179" s="23">
        <v>2050.0</v>
      </c>
      <c r="K179" s="17">
        <f>473+491</f>
        <v>964</v>
      </c>
    </row>
    <row r="180">
      <c r="A180" s="16" t="s">
        <v>207</v>
      </c>
      <c r="B180" s="23">
        <v>2030.0</v>
      </c>
      <c r="C180" s="17">
        <f>7489+7715</f>
        <v>15204</v>
      </c>
      <c r="E180" s="16" t="s">
        <v>207</v>
      </c>
      <c r="F180" s="23">
        <v>2040.0</v>
      </c>
      <c r="G180" s="17">
        <f>7178+7394</f>
        <v>14572</v>
      </c>
      <c r="I180" s="16" t="s">
        <v>207</v>
      </c>
      <c r="J180" s="23">
        <v>2050.0</v>
      </c>
      <c r="K180" s="17">
        <f>6742+6953</f>
        <v>13695</v>
      </c>
    </row>
    <row r="181">
      <c r="A181" s="16" t="s">
        <v>208</v>
      </c>
      <c r="B181" s="26">
        <v>2030.0</v>
      </c>
      <c r="C181" s="17">
        <f>121365+123708</f>
        <v>245073</v>
      </c>
      <c r="E181" s="16" t="s">
        <v>208</v>
      </c>
      <c r="F181" s="26">
        <v>2040.0</v>
      </c>
      <c r="G181" s="17">
        <f>117744+119917</f>
        <v>237661</v>
      </c>
      <c r="I181" s="16" t="s">
        <v>208</v>
      </c>
      <c r="J181" s="26">
        <v>2050.0</v>
      </c>
      <c r="K181" s="17">
        <f>112951+115012</f>
        <v>227963</v>
      </c>
    </row>
    <row r="182">
      <c r="A182" s="16" t="s">
        <v>209</v>
      </c>
      <c r="B182" s="26">
        <v>2030.0</v>
      </c>
      <c r="C182" s="17">
        <f>14202+14703</f>
        <v>28905</v>
      </c>
      <c r="E182" s="16" t="s">
        <v>209</v>
      </c>
      <c r="F182" s="26">
        <v>2040.0</v>
      </c>
      <c r="G182" s="17">
        <f>11356+11755</f>
        <v>23111</v>
      </c>
      <c r="I182" s="16" t="s">
        <v>209</v>
      </c>
      <c r="J182" s="26">
        <v>2050.0</v>
      </c>
      <c r="K182" s="17">
        <f>9095+9422</f>
        <v>18517</v>
      </c>
    </row>
    <row r="183">
      <c r="A183" s="16" t="s">
        <v>210</v>
      </c>
      <c r="B183" s="26">
        <v>2030.0</v>
      </c>
      <c r="C183" s="17">
        <f>9131+9598</f>
        <v>18729</v>
      </c>
      <c r="E183" s="16" t="s">
        <v>210</v>
      </c>
      <c r="F183" s="26">
        <v>2040.0</v>
      </c>
      <c r="G183" s="17">
        <f>7464+7845</f>
        <v>15309</v>
      </c>
      <c r="I183" s="16" t="s">
        <v>210</v>
      </c>
      <c r="J183" s="26">
        <v>2050.0</v>
      </c>
      <c r="K183" s="18">
        <f>5169+5434</f>
        <v>10603</v>
      </c>
    </row>
    <row r="184">
      <c r="A184" s="16" t="s">
        <v>211</v>
      </c>
      <c r="B184" s="26">
        <v>2030.0</v>
      </c>
      <c r="C184" s="17">
        <f>242+250</f>
        <v>492</v>
      </c>
      <c r="E184" s="16" t="s">
        <v>211</v>
      </c>
      <c r="F184" s="26">
        <v>2040.0</v>
      </c>
      <c r="G184" s="17">
        <f>216+223</f>
        <v>439</v>
      </c>
      <c r="I184" s="16" t="s">
        <v>211</v>
      </c>
      <c r="J184" s="26">
        <v>2050.0</v>
      </c>
      <c r="K184" s="17">
        <f>195+201</f>
        <v>396</v>
      </c>
    </row>
    <row r="185">
      <c r="A185" s="16" t="s">
        <v>212</v>
      </c>
      <c r="B185" s="26">
        <v>2030.0</v>
      </c>
      <c r="C185" s="17">
        <f>912+938</f>
        <v>1850</v>
      </c>
      <c r="E185" s="16" t="s">
        <v>212</v>
      </c>
      <c r="F185" s="26">
        <v>2040.0</v>
      </c>
      <c r="G185" s="17">
        <f>766+788</f>
        <v>1554</v>
      </c>
      <c r="I185" s="16" t="s">
        <v>212</v>
      </c>
      <c r="J185" s="26">
        <v>2050.0</v>
      </c>
      <c r="K185" s="17">
        <f>679+699</f>
        <v>1378</v>
      </c>
    </row>
    <row r="186">
      <c r="A186" s="16" t="s">
        <v>213</v>
      </c>
      <c r="B186" s="26">
        <v>2030.0</v>
      </c>
      <c r="C186" s="17">
        <f>538+555</f>
        <v>1093</v>
      </c>
      <c r="E186" s="16" t="s">
        <v>213</v>
      </c>
      <c r="F186" s="26">
        <v>2040.0</v>
      </c>
      <c r="G186" s="17">
        <f>516+532</f>
        <v>1048</v>
      </c>
      <c r="I186" s="16" t="s">
        <v>213</v>
      </c>
      <c r="J186" s="26">
        <v>2050.0</v>
      </c>
      <c r="K186" s="17">
        <f>463+478</f>
        <v>941</v>
      </c>
    </row>
    <row r="187">
      <c r="A187" s="16" t="s">
        <v>214</v>
      </c>
      <c r="B187" s="26">
        <v>2030.0</v>
      </c>
      <c r="C187" s="17">
        <f>5194+5383</f>
        <v>10577</v>
      </c>
      <c r="E187" s="16" t="s">
        <v>214</v>
      </c>
      <c r="F187" s="26">
        <v>2040.0</v>
      </c>
      <c r="G187" s="17">
        <f>4938+5118</f>
        <v>10056</v>
      </c>
      <c r="I187" s="16" t="s">
        <v>214</v>
      </c>
      <c r="J187" s="26">
        <v>2050.0</v>
      </c>
      <c r="K187" s="17">
        <f>4602+4772</f>
        <v>9374</v>
      </c>
    </row>
    <row r="188">
      <c r="A188" s="16" t="s">
        <v>215</v>
      </c>
      <c r="B188" s="26">
        <v>2030.0</v>
      </c>
      <c r="C188" s="17">
        <f>7024+7287</f>
        <v>14311</v>
      </c>
      <c r="E188" s="16" t="s">
        <v>215</v>
      </c>
      <c r="F188" s="26">
        <v>2040.0</v>
      </c>
      <c r="G188" s="17">
        <f>6469+6713</f>
        <v>13182</v>
      </c>
      <c r="I188" s="16" t="s">
        <v>215</v>
      </c>
      <c r="J188" s="26">
        <v>2050.0</v>
      </c>
      <c r="K188" s="17">
        <f>5774+5995</f>
        <v>11769</v>
      </c>
    </row>
    <row r="189">
      <c r="A189" s="16" t="s">
        <v>216</v>
      </c>
      <c r="B189" s="26">
        <v>2030.0</v>
      </c>
      <c r="C189" s="17">
        <f>425+441</f>
        <v>866</v>
      </c>
      <c r="E189" s="16" t="s">
        <v>216</v>
      </c>
      <c r="F189" s="26">
        <v>2040.0</v>
      </c>
      <c r="G189" s="17">
        <f>389+404</f>
        <v>793</v>
      </c>
      <c r="I189" s="16" t="s">
        <v>216</v>
      </c>
      <c r="J189" s="26">
        <v>2050.0</v>
      </c>
      <c r="K189" s="17">
        <f>371+385</f>
        <v>756</v>
      </c>
    </row>
    <row r="190">
      <c r="A190" s="16" t="s">
        <v>217</v>
      </c>
      <c r="B190" s="26">
        <v>2030.0</v>
      </c>
      <c r="C190" s="17">
        <f>321996+336006</f>
        <v>658002</v>
      </c>
      <c r="E190" s="16" t="s">
        <v>217</v>
      </c>
      <c r="F190" s="26">
        <v>2040.0</v>
      </c>
      <c r="G190" s="17">
        <f>288968+301870</f>
        <v>590838</v>
      </c>
      <c r="I190" s="16" t="s">
        <v>217</v>
      </c>
      <c r="J190" s="26">
        <v>2050.0</v>
      </c>
      <c r="K190" s="17">
        <f>266317+278402</f>
        <v>544719</v>
      </c>
    </row>
    <row r="191">
      <c r="A191" s="16" t="s">
        <v>218</v>
      </c>
      <c r="B191" s="26">
        <v>2030.0</v>
      </c>
      <c r="C191" s="17">
        <f>23872+24978</f>
        <v>48850</v>
      </c>
      <c r="E191" s="16" t="s">
        <v>218</v>
      </c>
      <c r="F191" s="26">
        <v>2040.0</v>
      </c>
      <c r="G191" s="17">
        <f>22706+23787</f>
        <v>46493</v>
      </c>
      <c r="I191" s="16" t="s">
        <v>218</v>
      </c>
      <c r="J191" s="26">
        <v>2050.0</v>
      </c>
      <c r="K191" s="17">
        <f>20091+21049</f>
        <v>41140</v>
      </c>
    </row>
    <row r="192">
      <c r="A192" s="16" t="s">
        <v>219</v>
      </c>
      <c r="B192" s="28">
        <v>2030.0</v>
      </c>
      <c r="C192" s="17">
        <f>45298+47381</f>
        <v>92679</v>
      </c>
      <c r="E192" s="16" t="s">
        <v>219</v>
      </c>
      <c r="F192" s="28">
        <v>2040.0</v>
      </c>
      <c r="G192" s="17">
        <f>39499+41302</f>
        <v>80801</v>
      </c>
      <c r="I192" s="16" t="s">
        <v>219</v>
      </c>
      <c r="J192" s="28">
        <v>2050.0</v>
      </c>
      <c r="K192" s="17">
        <f>34971+36581</f>
        <v>71552</v>
      </c>
    </row>
    <row r="193">
      <c r="A193" s="16" t="s">
        <v>220</v>
      </c>
      <c r="B193" s="28">
        <v>2030.0</v>
      </c>
      <c r="C193" s="17">
        <f>184308+191090</f>
        <v>375398</v>
      </c>
      <c r="E193" s="16" t="s">
        <v>220</v>
      </c>
      <c r="F193" s="28">
        <v>2040.0</v>
      </c>
      <c r="G193" s="17">
        <f>179648+186389</f>
        <v>366037</v>
      </c>
      <c r="I193" s="16" t="s">
        <v>220</v>
      </c>
      <c r="J193" s="28">
        <v>2050.0</v>
      </c>
      <c r="K193" s="17">
        <f>167337+173739</f>
        <v>341076</v>
      </c>
    </row>
    <row r="194">
      <c r="A194" s="16" t="s">
        <v>221</v>
      </c>
      <c r="B194" s="28">
        <v>2030.0</v>
      </c>
      <c r="C194" s="17">
        <f>112372+117722</f>
        <v>230094</v>
      </c>
      <c r="E194" s="16" t="s">
        <v>221</v>
      </c>
      <c r="F194" s="28">
        <v>2040.0</v>
      </c>
      <c r="G194" s="17">
        <f>108529+113700</f>
        <v>222229</v>
      </c>
      <c r="I194" s="16" t="s">
        <v>221</v>
      </c>
      <c r="J194" s="28">
        <v>2050.0</v>
      </c>
      <c r="K194" s="17">
        <f>105773+110914</f>
        <v>216687</v>
      </c>
    </row>
    <row r="195">
      <c r="A195" s="16" t="s">
        <v>222</v>
      </c>
      <c r="B195" s="28">
        <v>2030.0</v>
      </c>
      <c r="C195" s="17">
        <f>944662+978849</f>
        <v>1923511</v>
      </c>
      <c r="E195" s="16" t="s">
        <v>222</v>
      </c>
      <c r="F195" s="28">
        <v>2040.0</v>
      </c>
      <c r="G195" s="17">
        <f>884354+916919</f>
        <v>1801273</v>
      </c>
      <c r="I195" s="16" t="s">
        <v>222</v>
      </c>
      <c r="J195" s="28">
        <v>2050.0</v>
      </c>
      <c r="K195" s="17">
        <f>805640+835699</f>
        <v>1641339</v>
      </c>
    </row>
    <row r="196">
      <c r="A196" s="16" t="s">
        <v>223</v>
      </c>
      <c r="B196" s="28">
        <v>2030.0</v>
      </c>
      <c r="C196" s="17">
        <f>62742+64829</f>
        <v>127571</v>
      </c>
      <c r="E196" s="16" t="s">
        <v>223</v>
      </c>
      <c r="F196" s="28">
        <v>2040.0</v>
      </c>
      <c r="G196" s="17">
        <f>59725+61763</f>
        <v>121488</v>
      </c>
      <c r="I196" s="16" t="s">
        <v>223</v>
      </c>
      <c r="J196" s="28">
        <v>2050.0</v>
      </c>
      <c r="K196" s="17">
        <f>56064+58005</f>
        <v>114069</v>
      </c>
    </row>
    <row r="197">
      <c r="A197" s="16" t="s">
        <v>224</v>
      </c>
      <c r="B197" s="28">
        <v>2030.0</v>
      </c>
      <c r="C197" s="17">
        <f>34577+36290</f>
        <v>70867</v>
      </c>
      <c r="E197" s="16" t="s">
        <v>224</v>
      </c>
      <c r="F197" s="28">
        <v>2040.0</v>
      </c>
      <c r="G197" s="17">
        <f>34284+35948</f>
        <v>70232</v>
      </c>
      <c r="I197" s="16" t="s">
        <v>224</v>
      </c>
      <c r="J197" s="28">
        <v>2050.0</v>
      </c>
      <c r="K197" s="17">
        <f>32573+34146</f>
        <v>66719</v>
      </c>
    </row>
    <row r="198">
      <c r="A198" s="16" t="s">
        <v>225</v>
      </c>
      <c r="B198" s="28">
        <v>2030.0</v>
      </c>
      <c r="C198" s="17">
        <f>217367+227800</f>
        <v>445167</v>
      </c>
      <c r="E198" s="16" t="s">
        <v>225</v>
      </c>
      <c r="F198" s="28">
        <v>2040.0</v>
      </c>
      <c r="G198" s="17">
        <f>209760+219568</f>
        <v>429328</v>
      </c>
      <c r="I198" s="16" t="s">
        <v>225</v>
      </c>
      <c r="J198" s="28">
        <v>2050.0</v>
      </c>
      <c r="K198" s="17">
        <f>183424+192080</f>
        <v>375504</v>
      </c>
    </row>
    <row r="199">
      <c r="A199" s="16" t="s">
        <v>226</v>
      </c>
      <c r="B199" s="28">
        <v>2030.0</v>
      </c>
      <c r="C199" s="17">
        <f>1162497+1212524</f>
        <v>2375021</v>
      </c>
      <c r="E199" s="16" t="s">
        <v>226</v>
      </c>
      <c r="F199" s="28">
        <v>2040.0</v>
      </c>
      <c r="G199" s="17">
        <f>1073988+1120446</f>
        <v>2194434</v>
      </c>
      <c r="I199" s="16" t="s">
        <v>226</v>
      </c>
      <c r="J199" s="28">
        <v>2050.0</v>
      </c>
      <c r="K199" s="17">
        <f>974901+1017769</f>
        <v>1992670</v>
      </c>
    </row>
    <row r="200">
      <c r="A200" s="16" t="s">
        <v>227</v>
      </c>
      <c r="B200" s="28">
        <v>2030.0</v>
      </c>
      <c r="C200" s="17">
        <f>63385+66333</f>
        <v>129718</v>
      </c>
      <c r="E200" s="16" t="s">
        <v>227</v>
      </c>
      <c r="F200" s="28">
        <v>2040.0</v>
      </c>
      <c r="G200" s="17">
        <f>61345+64231</f>
        <v>125576</v>
      </c>
      <c r="I200" s="16" t="s">
        <v>227</v>
      </c>
      <c r="J200" s="28">
        <v>2050.0</v>
      </c>
      <c r="K200" s="17">
        <f>60108+62981</f>
        <v>123089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5.88"/>
    <col customWidth="1" min="3" max="3" width="17.25"/>
    <col customWidth="1" min="4" max="4" width="17.38"/>
    <col customWidth="1" min="5" max="5" width="13.38"/>
    <col customWidth="1" min="6" max="8" width="13.0"/>
    <col customWidth="1" min="9" max="11" width="13.63"/>
    <col customWidth="1" min="14" max="14" width="15.0"/>
    <col customWidth="1" min="15" max="16" width="17.75"/>
    <col customWidth="1" min="17" max="17" width="17.63"/>
    <col customWidth="1" min="18" max="18" width="17.0"/>
    <col customWidth="1" min="19" max="19" width="18.38"/>
    <col customWidth="1" min="20" max="20" width="17.0"/>
  </cols>
  <sheetData>
    <row r="1">
      <c r="A1" s="2" t="s">
        <v>0</v>
      </c>
      <c r="B1" s="3" t="s">
        <v>228</v>
      </c>
      <c r="C1" s="3" t="s">
        <v>229</v>
      </c>
      <c r="D1" s="3" t="s">
        <v>230</v>
      </c>
      <c r="E1" s="31" t="s">
        <v>231</v>
      </c>
      <c r="F1" s="31" t="s">
        <v>232</v>
      </c>
      <c r="G1" s="31" t="s">
        <v>233</v>
      </c>
      <c r="H1" s="31" t="s">
        <v>234</v>
      </c>
      <c r="I1" s="31" t="s">
        <v>235</v>
      </c>
      <c r="J1" s="31" t="s">
        <v>236</v>
      </c>
      <c r="K1" s="31" t="s">
        <v>237</v>
      </c>
      <c r="L1" s="31" t="s">
        <v>238</v>
      </c>
      <c r="M1" s="31" t="s">
        <v>239</v>
      </c>
      <c r="N1" s="32" t="s">
        <v>240</v>
      </c>
      <c r="O1" s="32" t="s">
        <v>241</v>
      </c>
      <c r="P1" s="32" t="s">
        <v>242</v>
      </c>
      <c r="Q1" s="32" t="s">
        <v>243</v>
      </c>
      <c r="R1" s="32" t="s">
        <v>244</v>
      </c>
      <c r="S1" s="32" t="s">
        <v>245</v>
      </c>
      <c r="T1" s="32" t="s">
        <v>244</v>
      </c>
    </row>
    <row r="2">
      <c r="A2" s="7" t="s">
        <v>24</v>
      </c>
      <c r="B2" s="33">
        <v>180.12141285084883</v>
      </c>
      <c r="C2" s="8">
        <v>135.16357228421182</v>
      </c>
      <c r="D2" s="33">
        <v>239.29173204822908</v>
      </c>
      <c r="E2" s="10">
        <f>(B2/100000)*'Birth Pop per Year'!C2</f>
        <v>2739.8106</v>
      </c>
      <c r="F2" s="8">
        <f>(C2/100000)*'Birth Pop per Year'!C2</f>
        <v>2055.960933</v>
      </c>
      <c r="G2" s="8">
        <f>(D2/100000)*'Birth Pop per Year'!C2</f>
        <v>3639.845</v>
      </c>
      <c r="H2" s="8">
        <f>(B2/100000)*'Birth Pop per Year'!G2</f>
        <v>2978.593955</v>
      </c>
      <c r="I2" s="8">
        <f>(C2/100000)*'Birth Pop per Year'!G2</f>
        <v>2235.144578</v>
      </c>
      <c r="J2" s="8">
        <f>(D2/100000)*'Birth Pop per Year'!G2</f>
        <v>3957.069263</v>
      </c>
      <c r="K2" s="8">
        <f>(B2/100000)*'Birth Pop per Year'!K2</f>
        <v>3190.283446</v>
      </c>
      <c r="L2" s="34">
        <f>(C2/100000)*'Birth Pop per Year'!K2</f>
        <v>2393.996918</v>
      </c>
      <c r="M2" s="34">
        <f>(D2/100000)*'Birth Pop per Year'!K2</f>
        <v>4238.299264</v>
      </c>
      <c r="N2" s="35" t="str">
        <f t="shared" ref="N2:N200" si="1">TEXT(ROUND(B2,0),"#,##0") &amp; " (" &amp; TEXT(ROUND(C2,0),"#,##0") &amp; "-" &amp; TEXT(ROUND(D2,0),"#,##0") &amp; ")"</f>
        <v>180 (135-239)</v>
      </c>
      <c r="O2" s="36">
        <v>1521091.0</v>
      </c>
      <c r="P2" s="35" t="str">
        <f t="shared" ref="P2:P200" si="2">TEXT(ROUND(E2,0),"#,##0") &amp; " (" &amp; TEXT(ROUND(F2,0),"#,##0") &amp; "-" &amp; TEXT(ROUND(G2,0),"#,##0") &amp; ")"</f>
        <v>2,740 (2,056-3,640)</v>
      </c>
      <c r="Q2" s="36">
        <v>1653659.0</v>
      </c>
      <c r="R2" s="35" t="str">
        <f t="shared" ref="R2:R200" si="3">TEXT(ROUND(H2,0),"#,##0") &amp; " (" &amp; TEXT(ROUND(I2,0),"#,##0") &amp; "-" &amp; TEXT(ROUND(J2,0),"#,##0") &amp; ")"</f>
        <v>2,979 (2,235-3,957)</v>
      </c>
      <c r="S2" s="36">
        <v>1771185.0</v>
      </c>
      <c r="T2" s="35" t="str">
        <f t="shared" ref="T2:T200" si="4">TEXT(ROUND(K2,0),"#,##0") &amp; " (" &amp; TEXT(ROUND(L2,0),"#,##0") &amp; "-" &amp; TEXT(ROUND(M2,0),"#,##0") &amp; ")"</f>
        <v>3,190 (2,394-4,238)</v>
      </c>
    </row>
    <row r="3">
      <c r="A3" s="16" t="s">
        <v>30</v>
      </c>
      <c r="B3" s="17">
        <v>140.4355686073344</v>
      </c>
      <c r="C3" s="18">
        <v>104.85855789347637</v>
      </c>
      <c r="D3" s="17">
        <v>189.119899057877</v>
      </c>
      <c r="E3" s="10">
        <f>(B3/100000)*'Birth Pop per Year'!C3</f>
        <v>1076.135293</v>
      </c>
      <c r="F3" s="8">
        <f>(C3/100000)*'Birth Pop per Year'!G3</f>
        <v>860.4777148</v>
      </c>
      <c r="G3" s="8">
        <f>(D3/100000)*'Birth Pop per Year'!C3</f>
        <v>1449.195527</v>
      </c>
      <c r="H3" s="8">
        <f>(B3/100000)*'Birth Pop per Year'!G3</f>
        <v>1152.425511</v>
      </c>
      <c r="I3" s="8">
        <f>(C3/100000)*'Birth Pop per Year'!G3</f>
        <v>860.4777148</v>
      </c>
      <c r="J3" s="8">
        <f>(D3/100000)*'Birth Pop per Year'!G3</f>
        <v>1551.933021</v>
      </c>
      <c r="K3" s="8">
        <f>(B3/100000)*'Birth Pop per Year'!K3</f>
        <v>1204.256066</v>
      </c>
      <c r="L3" s="34">
        <f>(C3/100000)*'Birth Pop per Year'!K3</f>
        <v>899.1778627</v>
      </c>
      <c r="M3" s="34">
        <f>(D3/100000)*'Birth Pop per Year'!K3</f>
        <v>1621.731502</v>
      </c>
      <c r="N3" s="35" t="str">
        <f t="shared" si="1"/>
        <v>140 (105-189)</v>
      </c>
      <c r="O3" s="37">
        <f>374961+391323</f>
        <v>766284</v>
      </c>
      <c r="P3" s="35" t="str">
        <f t="shared" si="2"/>
        <v>1,076 (860-1,449)</v>
      </c>
      <c r="Q3" s="37">
        <f>401278+419330</f>
        <v>820608</v>
      </c>
      <c r="R3" s="35" t="str">
        <f t="shared" si="3"/>
        <v>1,152 (860-1,552)</v>
      </c>
      <c r="S3" s="37">
        <f>419100+438415</f>
        <v>857515</v>
      </c>
      <c r="T3" s="35" t="str">
        <f t="shared" si="4"/>
        <v>1,204 (899-1,622)</v>
      </c>
    </row>
    <row r="4">
      <c r="A4" s="16" t="s">
        <v>31</v>
      </c>
      <c r="B4" s="17">
        <v>133.39826634099717</v>
      </c>
      <c r="C4" s="18">
        <v>99.8490017522434</v>
      </c>
      <c r="D4" s="17">
        <v>178.92941114002022</v>
      </c>
      <c r="E4" s="10">
        <f>(B4/100000)*'Birth Pop per Year'!C4</f>
        <v>28.04831948</v>
      </c>
      <c r="F4" s="8">
        <f>(C4/100000)*'Birth Pop per Year'!G4</f>
        <v>23.32372832</v>
      </c>
      <c r="G4" s="8">
        <f>(D4/100000)*'Birth Pop per Year'!C4</f>
        <v>37.62169799</v>
      </c>
      <c r="H4" s="8">
        <f>(B4/100000)*'Birth Pop per Year'!G4</f>
        <v>31.16050103</v>
      </c>
      <c r="I4" s="8">
        <f>(C4/100000)*'Birth Pop per Year'!G4</f>
        <v>23.32372832</v>
      </c>
      <c r="J4" s="8">
        <f>(D4/100000)*'Birth Pop per Year'!G4</f>
        <v>41.79612115</v>
      </c>
      <c r="K4" s="8">
        <f>(B4/100000)*'Birth Pop per Year'!K4</f>
        <v>32.44646032</v>
      </c>
      <c r="L4" s="34">
        <f>(C4/100000)*'Birth Pop per Year'!K4</f>
        <v>24.2862727</v>
      </c>
      <c r="M4" s="34">
        <f>(D4/100000)*'Birth Pop per Year'!K4</f>
        <v>43.52100067</v>
      </c>
      <c r="N4" s="35" t="str">
        <f t="shared" si="1"/>
        <v>133 (100-179)</v>
      </c>
      <c r="O4" s="37">
        <f>10331+10695</f>
        <v>21026</v>
      </c>
      <c r="P4" s="35" t="str">
        <f t="shared" si="2"/>
        <v>28 (23-38)</v>
      </c>
      <c r="Q4" s="37">
        <f>11484+11875</f>
        <v>23359</v>
      </c>
      <c r="R4" s="35" t="str">
        <f t="shared" si="3"/>
        <v>31 (23-42)</v>
      </c>
      <c r="S4" s="37">
        <f>11965+12358</f>
        <v>24323</v>
      </c>
      <c r="T4" s="35" t="str">
        <f t="shared" si="4"/>
        <v>32 (24-44)</v>
      </c>
    </row>
    <row r="5">
      <c r="A5" s="16" t="s">
        <v>32</v>
      </c>
      <c r="B5" s="17">
        <v>162.39144424930407</v>
      </c>
      <c r="C5" s="18">
        <v>124.51588873926231</v>
      </c>
      <c r="D5" s="17">
        <v>217.3109997388646</v>
      </c>
      <c r="E5" s="10">
        <f>(B5/100000)*'Birth Pop per Year'!C5</f>
        <v>4046.031551</v>
      </c>
      <c r="F5" s="8">
        <f>(C5/100000)*'Birth Pop per Year'!G5</f>
        <v>3395.599337</v>
      </c>
      <c r="G5" s="8">
        <f>(D5/100000)*'Birth Pop per Year'!C5</f>
        <v>5414.368752</v>
      </c>
      <c r="H5" s="8">
        <f>(B5/100000)*'Birth Pop per Year'!G5</f>
        <v>4428.481265</v>
      </c>
      <c r="I5" s="8">
        <f>(C5/100000)*'Birth Pop per Year'!G5</f>
        <v>3395.599337</v>
      </c>
      <c r="J5" s="8">
        <f>(D5/100000)*'Birth Pop per Year'!G5</f>
        <v>5926.16006</v>
      </c>
      <c r="K5" s="8">
        <f>(B5/100000)*'Birth Pop per Year'!K5</f>
        <v>4174.749505</v>
      </c>
      <c r="L5" s="34">
        <f>(C5/100000)*'Birth Pop per Year'!K5</f>
        <v>3201.046997</v>
      </c>
      <c r="M5" s="34">
        <f>(D5/100000)*'Birth Pop per Year'!K5</f>
        <v>5586.618143</v>
      </c>
      <c r="N5" s="35" t="str">
        <f t="shared" si="1"/>
        <v>162 (125-217)</v>
      </c>
      <c r="O5" s="37">
        <f>1213206+1278324</f>
        <v>2491530</v>
      </c>
      <c r="P5" s="35" t="str">
        <f t="shared" si="2"/>
        <v>4,046 (3,396-5,414)</v>
      </c>
      <c r="Q5" s="37">
        <f>1327238+1399803</f>
        <v>2727041</v>
      </c>
      <c r="R5" s="35" t="str">
        <f t="shared" si="3"/>
        <v>4,428 (3,396-5,926)</v>
      </c>
      <c r="S5" s="37">
        <f>1250892+1319902</f>
        <v>2570794</v>
      </c>
      <c r="T5" s="35" t="str">
        <f t="shared" si="4"/>
        <v>4,175 (3,201-5,587)</v>
      </c>
    </row>
    <row r="6">
      <c r="A6" s="16" t="s">
        <v>33</v>
      </c>
      <c r="B6" s="17">
        <v>108.2333837430987</v>
      </c>
      <c r="C6" s="18">
        <v>81.90634445423686</v>
      </c>
      <c r="D6" s="17">
        <v>148.4552493233043</v>
      </c>
      <c r="E6" s="10">
        <f>(B6/100000)*'Birth Pop per Year'!C6</f>
        <v>1121.883398</v>
      </c>
      <c r="F6" s="8">
        <f>(C6/100000)*'Birth Pop per Year'!G6</f>
        <v>853.1839895</v>
      </c>
      <c r="G6" s="8">
        <f>(D6/100000)*'Birth Pop per Year'!C6</f>
        <v>1538.799526</v>
      </c>
      <c r="H6" s="8">
        <f>(B6/100000)*'Birth Pop per Year'!G6</f>
        <v>1127.4217</v>
      </c>
      <c r="I6" s="8">
        <f>(C6/100000)*'Birth Pop per Year'!G6</f>
        <v>853.1839895</v>
      </c>
      <c r="J6" s="8">
        <f>(D6/100000)*'Birth Pop per Year'!G6</f>
        <v>1546.395981</v>
      </c>
      <c r="K6" s="8">
        <f>(B6/100000)*'Birth Pop per Year'!K6</f>
        <v>1069.969256</v>
      </c>
      <c r="L6" s="34">
        <f>(C6/100000)*'Birth Pop per Year'!K6</f>
        <v>809.7064638</v>
      </c>
      <c r="M6" s="34">
        <f>(D6/100000)*'Birth Pop per Year'!K6</f>
        <v>1467.592966</v>
      </c>
      <c r="N6" s="35" t="str">
        <f t="shared" si="1"/>
        <v>108 (82-148)</v>
      </c>
      <c r="O6" s="37">
        <f>505962+530579</f>
        <v>1036541</v>
      </c>
      <c r="P6" s="35" t="str">
        <f t="shared" si="2"/>
        <v>1,122 (853-1,539)</v>
      </c>
      <c r="Q6" s="37">
        <f>508605+533053</f>
        <v>1041658</v>
      </c>
      <c r="R6" s="35" t="str">
        <f t="shared" si="3"/>
        <v>1,127 (853-1,546)</v>
      </c>
      <c r="S6" s="37">
        <f>482638+505938</f>
        <v>988576</v>
      </c>
      <c r="T6" s="35" t="str">
        <f t="shared" si="4"/>
        <v>1,070 (810-1,468)</v>
      </c>
    </row>
    <row r="7">
      <c r="A7" s="16" t="s">
        <v>34</v>
      </c>
      <c r="B7" s="17">
        <v>136.42819152176983</v>
      </c>
      <c r="C7" s="18">
        <v>100.87183565773918</v>
      </c>
      <c r="D7" s="17">
        <v>188.2167968019884</v>
      </c>
      <c r="E7" s="10">
        <f>(B7/100000)*'Birth Pop per Year'!C7</f>
        <v>1671.040704</v>
      </c>
      <c r="F7" s="8">
        <f>(C7/100000)*'Birth Pop per Year'!G7</f>
        <v>1334.228744</v>
      </c>
      <c r="G7" s="8">
        <f>(D7/100000)*'Birth Pop per Year'!C7</f>
        <v>2305.373436</v>
      </c>
      <c r="H7" s="8">
        <f>(B7/100000)*'Birth Pop per Year'!G7</f>
        <v>1804.531596</v>
      </c>
      <c r="I7" s="8">
        <f>(C7/100000)*'Birth Pop per Year'!G7</f>
        <v>1334.228744</v>
      </c>
      <c r="J7" s="8">
        <f>(D7/100000)*'Birth Pop per Year'!G7</f>
        <v>2489.537925</v>
      </c>
      <c r="K7" s="8">
        <f>(B7/100000)*'Birth Pop per Year'!K7</f>
        <v>1803.564321</v>
      </c>
      <c r="L7" s="34">
        <f>(C7/100000)*'Birth Pop per Year'!K7</f>
        <v>1333.513563</v>
      </c>
      <c r="M7" s="34">
        <f>(D7/100000)*'Birth Pop per Year'!K7</f>
        <v>2488.203468</v>
      </c>
      <c r="N7" s="35" t="str">
        <f t="shared" si="1"/>
        <v>136 (101-188)</v>
      </c>
      <c r="O7" s="37">
        <f>597042+627808</f>
        <v>1224850</v>
      </c>
      <c r="P7" s="35" t="str">
        <f t="shared" si="2"/>
        <v>1,671 (1,334-2,305)</v>
      </c>
      <c r="Q7" s="37">
        <f>644831+677866</f>
        <v>1322697</v>
      </c>
      <c r="R7" s="35" t="str">
        <f t="shared" si="3"/>
        <v>1,805 (1,334-2,490)</v>
      </c>
      <c r="S7" s="37">
        <f>644321+677667</f>
        <v>1321988</v>
      </c>
      <c r="T7" s="35" t="str">
        <f t="shared" si="4"/>
        <v>1,804 (1,334-2,488)</v>
      </c>
    </row>
    <row r="8">
      <c r="A8" s="16" t="s">
        <v>35</v>
      </c>
      <c r="B8" s="17">
        <v>165.03748237063763</v>
      </c>
      <c r="C8" s="18">
        <v>121.8811292219939</v>
      </c>
      <c r="D8" s="17">
        <v>221.47271341117178</v>
      </c>
      <c r="E8" s="10">
        <f>(B8/100000)*'Birth Pop per Year'!C8</f>
        <v>380.6886598</v>
      </c>
      <c r="F8" s="8">
        <f>(C8/100000)*'Birth Pop per Year'!G8</f>
        <v>306.6285449</v>
      </c>
      <c r="G8" s="8">
        <f>(D8/100000)*'Birth Pop per Year'!C8</f>
        <v>510.8666786</v>
      </c>
      <c r="H8" s="8">
        <f>(B8/100000)*'Birth Pop per Year'!G8</f>
        <v>415.2012981</v>
      </c>
      <c r="I8" s="8">
        <f>(C8/100000)*'Birth Pop per Year'!G8</f>
        <v>306.6285449</v>
      </c>
      <c r="J8" s="8">
        <f>(D8/100000)*'Birth Pop per Year'!G8</f>
        <v>557.1810524</v>
      </c>
      <c r="K8" s="8">
        <f>(B8/100000)*'Birth Pop per Year'!K8</f>
        <v>395.0287667</v>
      </c>
      <c r="L8" s="34">
        <f>(C8/100000)*'Birth Pop per Year'!K8</f>
        <v>291.7310145</v>
      </c>
      <c r="M8" s="34">
        <f>(D8/100000)*'Birth Pop per Year'!K8</f>
        <v>530.1104426</v>
      </c>
      <c r="N8" s="35" t="str">
        <f t="shared" si="1"/>
        <v>165 (122-221)</v>
      </c>
      <c r="O8" s="37">
        <f>112693+117975</f>
        <v>230668</v>
      </c>
      <c r="P8" s="35" t="str">
        <f t="shared" si="2"/>
        <v>381 (307-511)</v>
      </c>
      <c r="Q8" s="37">
        <f>122859+128721</f>
        <v>251580</v>
      </c>
      <c r="R8" s="35" t="str">
        <f t="shared" si="3"/>
        <v>415 (307-557)</v>
      </c>
      <c r="S8" s="37">
        <f>116857+122500</f>
        <v>239357</v>
      </c>
      <c r="T8" s="35" t="str">
        <f t="shared" si="4"/>
        <v>395 (292-530)</v>
      </c>
    </row>
    <row r="9">
      <c r="A9" s="16" t="s">
        <v>36</v>
      </c>
      <c r="B9" s="17">
        <v>129.78058322899085</v>
      </c>
      <c r="C9" s="18">
        <v>94.96140236267624</v>
      </c>
      <c r="D9" s="17">
        <v>186.7574246465966</v>
      </c>
      <c r="E9" s="10">
        <f>(B9/100000)*'Birth Pop per Year'!C9</f>
        <v>69.43001642</v>
      </c>
      <c r="F9" s="8">
        <f>(C9/100000)*'Birth Pop per Year'!G9</f>
        <v>58.36707635</v>
      </c>
      <c r="G9" s="8">
        <f>(D9/100000)*'Birth Pop per Year'!C9</f>
        <v>99.91148704</v>
      </c>
      <c r="H9" s="8">
        <f>(B9/100000)*'Birth Pop per Year'!G9</f>
        <v>79.76833768</v>
      </c>
      <c r="I9" s="8">
        <f>(C9/100000)*'Birth Pop per Year'!G9</f>
        <v>58.36707635</v>
      </c>
      <c r="J9" s="8">
        <f>(D9/100000)*'Birth Pop per Year'!G9</f>
        <v>114.7885835</v>
      </c>
      <c r="K9" s="8">
        <f>(B9/100000)*'Birth Pop per Year'!K9</f>
        <v>84.24057657</v>
      </c>
      <c r="L9" s="34">
        <f>(C9/100000)*'Birth Pop per Year'!K9</f>
        <v>61.63944627</v>
      </c>
      <c r="M9" s="34">
        <f>(D9/100000)*'Birth Pop per Year'!K9</f>
        <v>121.2242443</v>
      </c>
      <c r="N9" s="35" t="str">
        <f t="shared" si="1"/>
        <v>130 (95-187)</v>
      </c>
      <c r="O9" s="37">
        <f>26186+27312</f>
        <v>53498</v>
      </c>
      <c r="P9" s="35" t="str">
        <f t="shared" si="2"/>
        <v>69 (58-100)</v>
      </c>
      <c r="Q9" s="38">
        <f>30100+31364</f>
        <v>61464</v>
      </c>
      <c r="R9" s="35" t="str">
        <f t="shared" si="3"/>
        <v>80 (58-115)</v>
      </c>
      <c r="S9" s="37">
        <f>31797+33113</f>
        <v>64910</v>
      </c>
      <c r="T9" s="35" t="str">
        <f t="shared" si="4"/>
        <v>84 (62-121)</v>
      </c>
    </row>
    <row r="10">
      <c r="A10" s="16" t="s">
        <v>37</v>
      </c>
      <c r="B10" s="17">
        <v>122.67897595183962</v>
      </c>
      <c r="C10" s="18">
        <v>94.60319041062262</v>
      </c>
      <c r="D10" s="17">
        <v>166.62368375548368</v>
      </c>
      <c r="E10" s="10">
        <f>(B10/100000)*'Birth Pop per Year'!C10</f>
        <v>114.4140933</v>
      </c>
      <c r="F10" s="8">
        <f>(C10/100000)*'Birth Pop per Year'!G10</f>
        <v>92.38001544</v>
      </c>
      <c r="G10" s="8">
        <f>(D10/100000)*'Birth Pop per Year'!C10</f>
        <v>155.3982462</v>
      </c>
      <c r="H10" s="8">
        <f>(B10/100000)*'Birth Pop per Year'!G10</f>
        <v>119.79602</v>
      </c>
      <c r="I10" s="8">
        <f>(C10/100000)*'Birth Pop per Year'!G10</f>
        <v>92.38001544</v>
      </c>
      <c r="J10" s="8">
        <f>(D10/100000)*'Birth Pop per Year'!G10</f>
        <v>162.7080272</v>
      </c>
      <c r="K10" s="8">
        <f>(B10/100000)*'Birth Pop per Year'!K10</f>
        <v>105.9762334</v>
      </c>
      <c r="L10" s="34">
        <f>(C10/100000)*'Birth Pop per Year'!K10</f>
        <v>81.72296604</v>
      </c>
      <c r="M10" s="34">
        <f>(D10/100000)*'Birth Pop per Year'!K10</f>
        <v>143.9378692</v>
      </c>
      <c r="N10" s="35" t="str">
        <f t="shared" si="1"/>
        <v>123 (95-167)</v>
      </c>
      <c r="O10" s="37">
        <f>45471+47792</f>
        <v>93263</v>
      </c>
      <c r="P10" s="35" t="str">
        <f t="shared" si="2"/>
        <v>114 (92-155)</v>
      </c>
      <c r="Q10" s="37">
        <f>47586+50064</f>
        <v>97650</v>
      </c>
      <c r="R10" s="35" t="str">
        <f t="shared" si="3"/>
        <v>120 (92-163)</v>
      </c>
      <c r="S10" s="37">
        <f>42076+44309</f>
        <v>86385</v>
      </c>
      <c r="T10" s="35" t="str">
        <f t="shared" si="4"/>
        <v>106 (82-144)</v>
      </c>
    </row>
    <row r="11">
      <c r="A11" s="16" t="s">
        <v>38</v>
      </c>
      <c r="B11" s="17">
        <v>82.46755123033715</v>
      </c>
      <c r="C11" s="18">
        <v>63.22512260992513</v>
      </c>
      <c r="D11" s="17">
        <v>108.85716762404503</v>
      </c>
      <c r="E11" s="10">
        <f>(B11/100000)*'Birth Pop per Year'!C11</f>
        <v>96.88452854</v>
      </c>
      <c r="F11" s="8">
        <f>(C11/100000)*'Birth Pop per Year'!G11</f>
        <v>77.51842608</v>
      </c>
      <c r="G11" s="8">
        <f>(D11/100000)*'Birth Pop per Year'!C11</f>
        <v>127.8875777</v>
      </c>
      <c r="H11" s="8">
        <f>(B11/100000)*'Birth Pop per Year'!G11</f>
        <v>101.1109905</v>
      </c>
      <c r="I11" s="8">
        <f>(C11/100000)*'Birth Pop per Year'!G11</f>
        <v>77.51842608</v>
      </c>
      <c r="J11" s="8">
        <f>(D11/100000)*'Birth Pop per Year'!G11</f>
        <v>133.4665075</v>
      </c>
      <c r="K11" s="8">
        <f>(B11/100000)*'Birth Pop per Year'!K11</f>
        <v>96.35921024</v>
      </c>
      <c r="L11" s="34">
        <f>(C11/100000)*'Birth Pop per Year'!K11</f>
        <v>73.87539451</v>
      </c>
      <c r="M11" s="34">
        <f>(D11/100000)*'Birth Pop per Year'!K11</f>
        <v>127.1941575</v>
      </c>
      <c r="N11" s="35" t="str">
        <f t="shared" si="1"/>
        <v>82 (63-109)</v>
      </c>
      <c r="O11" s="37">
        <f>57121+60361</f>
        <v>117482</v>
      </c>
      <c r="P11" s="35" t="str">
        <f t="shared" si="2"/>
        <v>97 (78-128)</v>
      </c>
      <c r="Q11" s="37">
        <f>59613+62994</f>
        <v>122607</v>
      </c>
      <c r="R11" s="35" t="str">
        <f t="shared" si="3"/>
        <v>101 (78-133)</v>
      </c>
      <c r="S11" s="37">
        <f>56799+60046</f>
        <v>116845</v>
      </c>
      <c r="T11" s="35" t="str">
        <f t="shared" si="4"/>
        <v>96 (74-127)</v>
      </c>
    </row>
    <row r="12">
      <c r="A12" s="16" t="s">
        <v>39</v>
      </c>
      <c r="B12" s="17">
        <v>133.5493758135169</v>
      </c>
      <c r="C12" s="18">
        <v>102.90817703379224</v>
      </c>
      <c r="D12" s="17">
        <v>176.90956276595745</v>
      </c>
      <c r="E12" s="10">
        <f>(B12/100000)*'Birth Pop per Year'!C12</f>
        <v>790.2463795</v>
      </c>
      <c r="F12" s="8">
        <f>(C12/100000)*'Birth Pop per Year'!G12</f>
        <v>584.0481552</v>
      </c>
      <c r="G12" s="8">
        <f>(D12/100000)*'Birth Pop per Year'!C12</f>
        <v>1046.819879</v>
      </c>
      <c r="H12" s="8">
        <f>(B12/100000)*'Birth Pop per Year'!G12</f>
        <v>757.950134</v>
      </c>
      <c r="I12" s="8">
        <f>(C12/100000)*'Birth Pop per Year'!G12</f>
        <v>584.0481552</v>
      </c>
      <c r="J12" s="8">
        <f>(D12/100000)*'Birth Pop per Year'!G12</f>
        <v>1004.03784</v>
      </c>
      <c r="K12" s="8">
        <f>(B12/100000)*'Birth Pop per Year'!K12</f>
        <v>704.9403802</v>
      </c>
      <c r="L12" s="34">
        <f>(C12/100000)*'Birth Pop per Year'!K12</f>
        <v>543.2008125</v>
      </c>
      <c r="M12" s="34">
        <f>(D12/100000)*'Birth Pop per Year'!K12</f>
        <v>933.8171271</v>
      </c>
      <c r="N12" s="35" t="str">
        <f t="shared" si="1"/>
        <v>134 (103-177)</v>
      </c>
      <c r="O12" s="37">
        <f>289365+302361</f>
        <v>591726</v>
      </c>
      <c r="P12" s="35" t="str">
        <f t="shared" si="2"/>
        <v>790 (584-1,047)</v>
      </c>
      <c r="Q12" s="37">
        <f>277438+290105</f>
        <v>567543</v>
      </c>
      <c r="R12" s="35" t="str">
        <f t="shared" si="3"/>
        <v>758 (584-1,004)</v>
      </c>
      <c r="S12" s="37">
        <f>257893+269957</f>
        <v>527850</v>
      </c>
      <c r="T12" s="35" t="str">
        <f t="shared" si="4"/>
        <v>705 (543-934)</v>
      </c>
    </row>
    <row r="13">
      <c r="A13" s="16" t="s">
        <v>40</v>
      </c>
      <c r="B13" s="17">
        <v>163.8848388292442</v>
      </c>
      <c r="C13" s="18">
        <v>119.98711414283947</v>
      </c>
      <c r="D13" s="17">
        <v>231.77998634421678</v>
      </c>
      <c r="E13" s="10">
        <f>(B13/100000)*'Birth Pop per Year'!C13</f>
        <v>146.6818473</v>
      </c>
      <c r="F13" s="8">
        <f>(C13/100000)*'Birth Pop per Year'!G13</f>
        <v>111.7080033</v>
      </c>
      <c r="G13" s="8">
        <f>(D13/100000)*'Birth Pop per Year'!C13</f>
        <v>207.4500412</v>
      </c>
      <c r="H13" s="8">
        <f>(B13/100000)*'Birth Pop per Year'!G13</f>
        <v>152.576785</v>
      </c>
      <c r="I13" s="8">
        <f>(C13/100000)*'Birth Pop per Year'!G13</f>
        <v>111.7080033</v>
      </c>
      <c r="J13" s="8">
        <f>(D13/100000)*'Birth Pop per Year'!G13</f>
        <v>215.7871673</v>
      </c>
      <c r="K13" s="8">
        <f>(B13/100000)*'Birth Pop per Year'!K13</f>
        <v>171.1170768</v>
      </c>
      <c r="L13" s="34">
        <f>(C13/100000)*'Birth Pop per Year'!K13</f>
        <v>125.2821455</v>
      </c>
      <c r="M13" s="34">
        <f>(D13/100000)*'Birth Pop per Year'!K13</f>
        <v>242.0084371</v>
      </c>
      <c r="N13" s="35" t="str">
        <f t="shared" si="1"/>
        <v>164 (120-232)</v>
      </c>
      <c r="O13" s="37">
        <f>43819+45684</f>
        <v>89503</v>
      </c>
      <c r="P13" s="35" t="str">
        <f t="shared" si="2"/>
        <v>147 (112-207)</v>
      </c>
      <c r="Q13" s="37">
        <f>45562+47538</f>
        <v>93100</v>
      </c>
      <c r="R13" s="35" t="str">
        <f t="shared" si="3"/>
        <v>153 (112-216)</v>
      </c>
      <c r="S13" s="37">
        <f>51089+53324</f>
        <v>104413</v>
      </c>
      <c r="T13" s="35" t="str">
        <f t="shared" si="4"/>
        <v>171 (125-242)</v>
      </c>
    </row>
    <row r="14">
      <c r="A14" s="16" t="s">
        <v>41</v>
      </c>
      <c r="B14" s="17">
        <v>245.89421468087977</v>
      </c>
      <c r="C14" s="18">
        <v>176.6044359735528</v>
      </c>
      <c r="D14" s="17">
        <v>350.6738800431791</v>
      </c>
      <c r="E14" s="10">
        <f>(B14/100000)*'Birth Pop per Year'!C14</f>
        <v>84.86055243</v>
      </c>
      <c r="F14" s="8">
        <f>(C14/100000)*'Birth Pop per Year'!G14</f>
        <v>76.62866477</v>
      </c>
      <c r="G14" s="8">
        <f>(D14/100000)*'Birth Pop per Year'!C14</f>
        <v>121.0210627</v>
      </c>
      <c r="H14" s="8">
        <f>(B14/100000)*'Birth Pop per Year'!G14</f>
        <v>106.6934998</v>
      </c>
      <c r="I14" s="8">
        <f>(C14/100000)*'Birth Pop per Year'!G14</f>
        <v>76.62866477</v>
      </c>
      <c r="J14" s="8">
        <f>(D14/100000)*'Birth Pop per Year'!G14</f>
        <v>152.1573966</v>
      </c>
      <c r="K14" s="8">
        <f>(B14/100000)*'Birth Pop per Year'!K14</f>
        <v>122.2659804</v>
      </c>
      <c r="L14" s="34">
        <f>(C14/100000)*'Birth Pop per Year'!K14</f>
        <v>87.8130237</v>
      </c>
      <c r="M14" s="34">
        <f>(D14/100000)*'Birth Pop per Year'!K14</f>
        <v>174.3655734</v>
      </c>
      <c r="N14" s="35" t="str">
        <f t="shared" si="1"/>
        <v>246 (177-351)</v>
      </c>
      <c r="O14" s="37">
        <f>16972+17539</f>
        <v>34511</v>
      </c>
      <c r="P14" s="35" t="str">
        <f t="shared" si="2"/>
        <v>85 (77-121)</v>
      </c>
      <c r="Q14" s="37">
        <f>21321+22069</f>
        <v>43390</v>
      </c>
      <c r="R14" s="35" t="str">
        <f t="shared" si="3"/>
        <v>107 (77-152)</v>
      </c>
      <c r="S14" s="37">
        <f>24429+25294</f>
        <v>49723</v>
      </c>
      <c r="T14" s="35" t="str">
        <f t="shared" si="4"/>
        <v>122 (88-174)</v>
      </c>
    </row>
    <row r="15">
      <c r="A15" s="16" t="s">
        <v>42</v>
      </c>
      <c r="B15" s="17">
        <v>125.8976889520731</v>
      </c>
      <c r="C15" s="18">
        <v>91.72545909365323</v>
      </c>
      <c r="D15" s="17">
        <v>173.85871331476758</v>
      </c>
      <c r="E15" s="10">
        <f>(B15/100000)*'Birth Pop per Year'!C15</f>
        <v>727.0037587</v>
      </c>
      <c r="F15" s="8">
        <f>(C15/100000)*'Birth Pop per Year'!G15</f>
        <v>547.897264</v>
      </c>
      <c r="G15" s="8">
        <f>(D15/100000)*'Birth Pop per Year'!C15</f>
        <v>1003.957572</v>
      </c>
      <c r="H15" s="8">
        <f>(B15/100000)*'Birth Pop per Year'!G15</f>
        <v>752.0158526</v>
      </c>
      <c r="I15" s="8">
        <f>(C15/100000)*'Birth Pop per Year'!G15</f>
        <v>547.897264</v>
      </c>
      <c r="J15" s="8">
        <f>(D15/100000)*'Birth Pop per Year'!G15</f>
        <v>1038.498082</v>
      </c>
      <c r="K15" s="8">
        <f>(B15/100000)*'Birth Pop per Year'!K15</f>
        <v>779.122884</v>
      </c>
      <c r="L15" s="34">
        <f>(C15/100000)*'Birth Pop per Year'!K15</f>
        <v>567.6466726</v>
      </c>
      <c r="M15" s="34">
        <f>(D15/100000)*'Birth Pop per Year'!K15</f>
        <v>1075.931602</v>
      </c>
      <c r="N15" s="35" t="str">
        <f t="shared" si="1"/>
        <v>126 (92-174)</v>
      </c>
      <c r="O15" s="37">
        <f>281853+295603</f>
        <v>577456</v>
      </c>
      <c r="P15" s="35" t="str">
        <f t="shared" si="2"/>
        <v>727 (548-1,004)</v>
      </c>
      <c r="Q15" s="37">
        <f>291532+305791</f>
        <v>597323</v>
      </c>
      <c r="R15" s="35" t="str">
        <f t="shared" si="3"/>
        <v>752 (548-1,038)</v>
      </c>
      <c r="S15" s="37">
        <f>302075+316779</f>
        <v>618854</v>
      </c>
      <c r="T15" s="35" t="str">
        <f t="shared" si="4"/>
        <v>779 (568-1,076)</v>
      </c>
    </row>
    <row r="16">
      <c r="A16" s="16" t="s">
        <v>43</v>
      </c>
      <c r="B16" s="17">
        <v>118.26624144659135</v>
      </c>
      <c r="C16" s="18">
        <v>88.85287569821631</v>
      </c>
      <c r="D16" s="17">
        <v>154.11378095242347</v>
      </c>
      <c r="E16" s="10">
        <f>(B16/100000)*'Birth Pop per Year'!C16</f>
        <v>2010.549758</v>
      </c>
      <c r="F16" s="8">
        <f>(C16/100000)*'Birth Pop per Year'!G16</f>
        <v>1590.980045</v>
      </c>
      <c r="G16" s="8">
        <f>(D16/100000)*'Birth Pop per Year'!C16</f>
        <v>2619.965099</v>
      </c>
      <c r="H16" s="8">
        <f>(B16/100000)*'Birth Pop per Year'!G16</f>
        <v>2117.649301</v>
      </c>
      <c r="I16" s="8">
        <f>(C16/100000)*'Birth Pop per Year'!G16</f>
        <v>1590.980045</v>
      </c>
      <c r="J16" s="8">
        <f>(D16/100000)*'Birth Pop per Year'!G16</f>
        <v>2759.527457</v>
      </c>
      <c r="K16" s="8">
        <f>(B16/100000)*'Birth Pop per Year'!K16</f>
        <v>2278.64277</v>
      </c>
      <c r="L16" s="34">
        <f>(C16/100000)*'Birth Pop per Year'!K16</f>
        <v>1711.933687</v>
      </c>
      <c r="M16" s="34">
        <f>(D16/100000)*'Birth Pop per Year'!K16</f>
        <v>2969.319464</v>
      </c>
      <c r="N16" s="35" t="str">
        <f t="shared" si="1"/>
        <v>118 (89-154)</v>
      </c>
      <c r="O16" s="37">
        <f>837133+862887</f>
        <v>1700020</v>
      </c>
      <c r="P16" s="35" t="str">
        <f t="shared" si="2"/>
        <v>2,011 (1,591-2,620)</v>
      </c>
      <c r="Q16" s="37">
        <f>882132+908446</f>
        <v>1790578</v>
      </c>
      <c r="R16" s="35" t="str">
        <f t="shared" si="3"/>
        <v>2,118 (1,591-2,760)</v>
      </c>
      <c r="S16" s="37">
        <f>949347+977359</f>
        <v>1926706</v>
      </c>
      <c r="T16" s="35" t="str">
        <f t="shared" si="4"/>
        <v>2,279 (1,712-2,969)</v>
      </c>
    </row>
    <row r="17">
      <c r="A17" s="16" t="s">
        <v>44</v>
      </c>
      <c r="B17" s="17">
        <v>205.95758850949537</v>
      </c>
      <c r="C17" s="18">
        <v>158.262146959928</v>
      </c>
      <c r="D17" s="17">
        <v>277.50075083384644</v>
      </c>
      <c r="E17" s="10">
        <f>(B17/100000)*'Birth Pop per Year'!C17</f>
        <v>1380.768507</v>
      </c>
      <c r="F17" s="8">
        <f>(C17/100000)*'Birth Pop per Year'!G17</f>
        <v>927.3734504</v>
      </c>
      <c r="G17" s="8">
        <f>(D17/100000)*'Birth Pop per Year'!C17</f>
        <v>1860.403884</v>
      </c>
      <c r="H17" s="8">
        <f>(B17/100000)*'Birth Pop per Year'!G17</f>
        <v>1206.85586</v>
      </c>
      <c r="I17" s="8">
        <f>(C17/100000)*'Birth Pop per Year'!G17</f>
        <v>927.3734504</v>
      </c>
      <c r="J17" s="8">
        <f>(D17/100000)*'Birth Pop per Year'!G17</f>
        <v>1626.079475</v>
      </c>
      <c r="K17" s="8">
        <f>(B17/100000)*'Birth Pop per Year'!K17</f>
        <v>1098.839343</v>
      </c>
      <c r="L17" s="34">
        <f>(C17/100000)*'Birth Pop per Year'!K17</f>
        <v>844.3712848</v>
      </c>
      <c r="M17" s="34">
        <f>(D17/100000)*'Birth Pop per Year'!K17</f>
        <v>1480.541431</v>
      </c>
      <c r="N17" s="35" t="str">
        <f t="shared" si="1"/>
        <v>206 (158-278)</v>
      </c>
      <c r="O17" s="37">
        <f>327245+343169</f>
        <v>670414</v>
      </c>
      <c r="P17" s="35" t="str">
        <f t="shared" si="2"/>
        <v>1,381 (927-1,860)</v>
      </c>
      <c r="Q17" s="37">
        <f>285980+299993</f>
        <v>585973</v>
      </c>
      <c r="R17" s="35" t="str">
        <f t="shared" si="3"/>
        <v>1,207 (927-1,626)</v>
      </c>
      <c r="S17" s="37">
        <f>260257+273270</f>
        <v>533527</v>
      </c>
      <c r="T17" s="35" t="str">
        <f t="shared" si="4"/>
        <v>1,099 (844-1,481)</v>
      </c>
    </row>
    <row r="18">
      <c r="A18" s="16" t="s">
        <v>45</v>
      </c>
      <c r="B18" s="17">
        <v>131.37020767188292</v>
      </c>
      <c r="C18" s="18">
        <v>100.73984837014858</v>
      </c>
      <c r="D18" s="17">
        <v>175.61405999661037</v>
      </c>
      <c r="E18" s="10">
        <f>(B18/100000)*'Birth Pop per Year'!C18</f>
        <v>191.633663</v>
      </c>
      <c r="F18" s="8">
        <f>(C18/100000)*'Birth Pop per Year'!G18</f>
        <v>149.6278894</v>
      </c>
      <c r="G18" s="8">
        <f>(D18/100000)*'Birth Pop per Year'!C18</f>
        <v>256.1734977</v>
      </c>
      <c r="H18" s="8">
        <f>(B18/100000)*'Birth Pop per Year'!G18</f>
        <v>195.1228558</v>
      </c>
      <c r="I18" s="8">
        <f>(C18/100000)*'Birth Pop per Year'!G18</f>
        <v>149.6278894</v>
      </c>
      <c r="J18" s="8">
        <f>(D18/100000)*'Birth Pop per Year'!G18</f>
        <v>260.8378072</v>
      </c>
      <c r="K18" s="8">
        <f>(B18/100000)*'Birth Pop per Year'!K18</f>
        <v>192.5296079</v>
      </c>
      <c r="L18" s="34">
        <f>(C18/100000)*'Birth Pop per Year'!K18</f>
        <v>147.6392848</v>
      </c>
      <c r="M18" s="34">
        <f>(D18/100000)*'Birth Pop per Year'!K18</f>
        <v>257.3711856</v>
      </c>
      <c r="N18" s="35" t="str">
        <f t="shared" si="1"/>
        <v>131 (101-176)</v>
      </c>
      <c r="O18" s="37">
        <f>71326+74547</f>
        <v>145873</v>
      </c>
      <c r="P18" s="35" t="str">
        <f t="shared" si="2"/>
        <v>192 (150-256)</v>
      </c>
      <c r="Q18" s="37">
        <f>72652+75877</f>
        <v>148529</v>
      </c>
      <c r="R18" s="35" t="str">
        <f t="shared" si="3"/>
        <v>195 (150-261)</v>
      </c>
      <c r="S18" s="37">
        <f>71659+74896</f>
        <v>146555</v>
      </c>
      <c r="T18" s="35" t="str">
        <f t="shared" si="4"/>
        <v>193 (148-257)</v>
      </c>
    </row>
    <row r="19">
      <c r="A19" s="16" t="s">
        <v>46</v>
      </c>
      <c r="B19" s="17">
        <v>147.13407435385156</v>
      </c>
      <c r="C19" s="18">
        <v>120.31653370807567</v>
      </c>
      <c r="D19" s="17">
        <v>222.5131075203568</v>
      </c>
      <c r="E19" s="10">
        <f>(B19/100000)*'Birth Pop per Year'!C19</f>
        <v>1476.924482</v>
      </c>
      <c r="F19" s="8">
        <f>(C19/100000)*'Birth Pop per Year'!G19</f>
        <v>1127.92058</v>
      </c>
      <c r="G19" s="8">
        <f>(D19/100000)*'Birth Pop per Year'!C19</f>
        <v>2233.575448</v>
      </c>
      <c r="H19" s="8">
        <f>(B19/100000)*'Birth Pop per Year'!G19</f>
        <v>1379.324565</v>
      </c>
      <c r="I19" s="8">
        <f>(C19/100000)*'Birth Pop per Year'!G19</f>
        <v>1127.92058</v>
      </c>
      <c r="J19" s="8">
        <f>(D19/100000)*'Birth Pop per Year'!G19</f>
        <v>2085.973603</v>
      </c>
      <c r="K19" s="8">
        <f>(B19/100000)*'Birth Pop per Year'!K19</f>
        <v>1252.384642</v>
      </c>
      <c r="L19" s="34">
        <f>(C19/100000)*'Birth Pop per Year'!K19</f>
        <v>1024.117491</v>
      </c>
      <c r="M19" s="34">
        <f>(D19/100000)*'Birth Pop per Year'!K19</f>
        <v>1894.000419</v>
      </c>
      <c r="N19" s="35" t="str">
        <f t="shared" si="1"/>
        <v>147 (120-223)</v>
      </c>
      <c r="O19" s="37">
        <f>490176+513619</f>
        <v>1003795</v>
      </c>
      <c r="P19" s="35" t="str">
        <f t="shared" si="2"/>
        <v>1,477 (1,128-2,234)</v>
      </c>
      <c r="Q19" s="37">
        <f>457839+479622</f>
        <v>937461</v>
      </c>
      <c r="R19" s="35" t="str">
        <f t="shared" si="3"/>
        <v>1,379 (1,128-2,086)</v>
      </c>
      <c r="S19" s="37">
        <f>415696+435490</f>
        <v>851186</v>
      </c>
      <c r="T19" s="35" t="str">
        <f t="shared" si="4"/>
        <v>1,252 (1,024-1,894)</v>
      </c>
    </row>
    <row r="20">
      <c r="A20" s="16" t="s">
        <v>47</v>
      </c>
      <c r="B20" s="17">
        <v>92.79686773143125</v>
      </c>
      <c r="C20" s="18">
        <v>65.88577608931617</v>
      </c>
      <c r="D20" s="17">
        <v>135.4834268878896</v>
      </c>
      <c r="E20" s="10">
        <f>(B20/100000)*'Birth Pop per Year'!C20</f>
        <v>128.6025391</v>
      </c>
      <c r="F20" s="8">
        <f>(C20/100000)*'Birth Pop per Year'!G20</f>
        <v>109.7854687</v>
      </c>
      <c r="G20" s="8">
        <f>(D20/100000)*'Birth Pop per Year'!C20</f>
        <v>187.7597072</v>
      </c>
      <c r="H20" s="8">
        <f>(B20/100000)*'Birth Pop per Year'!G20</f>
        <v>154.6274207</v>
      </c>
      <c r="I20" s="8">
        <f>(C20/100000)*'Birth Pop per Year'!G20</f>
        <v>109.7854687</v>
      </c>
      <c r="J20" s="8">
        <f>(D20/100000)*'Birth Pop per Year'!G20</f>
        <v>225.7560342</v>
      </c>
      <c r="K20" s="8">
        <f>(B20/100000)*'Birth Pop per Year'!K20</f>
        <v>166.6000726</v>
      </c>
      <c r="L20" s="34">
        <f>(C20/100000)*'Birth Pop per Year'!K20</f>
        <v>118.2860515</v>
      </c>
      <c r="M20" s="34">
        <f>(D20/100000)*'Birth Pop per Year'!K20</f>
        <v>243.236106</v>
      </c>
      <c r="N20" s="35" t="str">
        <f t="shared" si="1"/>
        <v>93 (66-135)</v>
      </c>
      <c r="O20" s="37">
        <f>68352+70233</f>
        <v>138585</v>
      </c>
      <c r="P20" s="35" t="str">
        <f t="shared" si="2"/>
        <v>129 (110-188)</v>
      </c>
      <c r="Q20" s="37">
        <f>82150+84480</f>
        <v>166630</v>
      </c>
      <c r="R20" s="35" t="str">
        <f t="shared" si="3"/>
        <v>155 (110-226)</v>
      </c>
      <c r="S20" s="37">
        <f>88542+90990</f>
        <v>179532</v>
      </c>
      <c r="T20" s="35" t="str">
        <f t="shared" si="4"/>
        <v>167 (118-243)</v>
      </c>
    </row>
    <row r="21">
      <c r="A21" s="16" t="s">
        <v>48</v>
      </c>
      <c r="B21" s="17">
        <v>118.62760946098503</v>
      </c>
      <c r="C21" s="18">
        <v>91.1621038222348</v>
      </c>
      <c r="D21" s="17">
        <v>155.15088823591884</v>
      </c>
      <c r="E21" s="10">
        <f>(B21/100000)*'Birth Pop per Year'!C21</f>
        <v>1632.950564</v>
      </c>
      <c r="F21" s="8">
        <f>(C21/100000)*'Birth Pop per Year'!G21</f>
        <v>1317.085462</v>
      </c>
      <c r="G21" s="8">
        <f>(D21/100000)*'Birth Pop per Year'!C21</f>
        <v>2135.706279</v>
      </c>
      <c r="H21" s="8">
        <f>(B21/100000)*'Birth Pop per Year'!G21</f>
        <v>1713.899672</v>
      </c>
      <c r="I21" s="8">
        <f>(C21/100000)*'Birth Pop per Year'!G21</f>
        <v>1317.085462</v>
      </c>
      <c r="J21" s="8">
        <f>(D21/100000)*'Birth Pop per Year'!G21</f>
        <v>2241.578142</v>
      </c>
      <c r="K21" s="8">
        <f>(B21/100000)*'Birth Pop per Year'!K21</f>
        <v>1856.022666</v>
      </c>
      <c r="L21" s="34">
        <f>(C21/100000)*'Birth Pop per Year'!K21</f>
        <v>1426.303132</v>
      </c>
      <c r="M21" s="34">
        <f>(D21/100000)*'Birth Pop per Year'!K21</f>
        <v>2427.458216</v>
      </c>
      <c r="N21" s="35" t="str">
        <f t="shared" si="1"/>
        <v>119 (91-155)</v>
      </c>
      <c r="O21" s="37">
        <f>670735+705800</f>
        <v>1376535</v>
      </c>
      <c r="P21" s="35" t="str">
        <f t="shared" si="2"/>
        <v>1,633 (1,317-2,136)</v>
      </c>
      <c r="Q21" s="37">
        <f>704209+740564</f>
        <v>1444773</v>
      </c>
      <c r="R21" s="35" t="str">
        <f t="shared" si="3"/>
        <v>1,714 (1,317-2,242)</v>
      </c>
      <c r="S21" s="37">
        <f>762677+801902</f>
        <v>1564579</v>
      </c>
      <c r="T21" s="35" t="str">
        <f t="shared" si="4"/>
        <v>1,856 (1,426-2,427)</v>
      </c>
    </row>
    <row r="22">
      <c r="A22" s="16" t="s">
        <v>49</v>
      </c>
      <c r="B22" s="17">
        <v>196.53498181770334</v>
      </c>
      <c r="C22" s="18">
        <v>136.87257662304341</v>
      </c>
      <c r="D22" s="17">
        <v>270.23559999934207</v>
      </c>
      <c r="E22" s="10">
        <f>(B22/100000)*'Birth Pop per Year'!C22</f>
        <v>6356.002238</v>
      </c>
      <c r="F22" s="8">
        <f>(C22/100000)*'Birth Pop per Year'!G22</f>
        <v>3875.312955</v>
      </c>
      <c r="G22" s="8">
        <f>(D22/100000)*'Birth Pop per Year'!C22</f>
        <v>8739.503077</v>
      </c>
      <c r="H22" s="8">
        <f>(B22/100000)*'Birth Pop per Year'!G22</f>
        <v>5564.551935</v>
      </c>
      <c r="I22" s="8">
        <f>(C22/100000)*'Birth Pop per Year'!G22</f>
        <v>3875.312955</v>
      </c>
      <c r="J22" s="8">
        <f>(D22/100000)*'Birth Pop per Year'!G22</f>
        <v>7651.258911</v>
      </c>
      <c r="K22" s="8">
        <f>(B22/100000)*'Birth Pop per Year'!K22</f>
        <v>5340.765413</v>
      </c>
      <c r="L22" s="34">
        <f>(C22/100000)*'Birth Pop per Year'!K22</f>
        <v>3719.461627</v>
      </c>
      <c r="M22" s="34">
        <f>(D22/100000)*'Birth Pop per Year'!K22</f>
        <v>7343.552443</v>
      </c>
      <c r="N22" s="35" t="str">
        <f t="shared" si="1"/>
        <v>197 (137-270)</v>
      </c>
      <c r="O22" s="37">
        <f>1580072+1653959</f>
        <v>3234031</v>
      </c>
      <c r="P22" s="35" t="str">
        <f t="shared" si="2"/>
        <v>6,356 (3,875-8,740)</v>
      </c>
      <c r="Q22" s="37">
        <f>1383470+1447859</f>
        <v>2831329</v>
      </c>
      <c r="R22" s="35" t="str">
        <f t="shared" si="3"/>
        <v>5,565 (3,875-7,651)</v>
      </c>
      <c r="S22" s="37">
        <f>1327424+1390039</f>
        <v>2717463</v>
      </c>
      <c r="T22" s="35" t="str">
        <f t="shared" si="4"/>
        <v>5,341 (3,719-7,344)</v>
      </c>
    </row>
    <row r="23">
      <c r="A23" s="16" t="s">
        <v>50</v>
      </c>
      <c r="B23" s="17">
        <v>362.32650071413997</v>
      </c>
      <c r="C23" s="18">
        <v>253.94499285860027</v>
      </c>
      <c r="D23" s="17">
        <v>509.4721975107122</v>
      </c>
      <c r="E23" s="10">
        <f>(B23/100000)*'Birth Pop per Year'!C23</f>
        <v>34.48261307</v>
      </c>
      <c r="F23" s="8">
        <f>(C23/100000)*'Birth Pop per Year'!G23</f>
        <v>22.90075946</v>
      </c>
      <c r="G23" s="8">
        <f>(D23/100000)*'Birth Pop per Year'!C23</f>
        <v>48.48646904</v>
      </c>
      <c r="H23" s="8">
        <f>(B23/100000)*'Birth Pop per Year'!G23</f>
        <v>32.67460383</v>
      </c>
      <c r="I23" s="8">
        <f>(C23/100000)*'Birth Pop per Year'!G23</f>
        <v>22.90075946</v>
      </c>
      <c r="J23" s="8">
        <f>(D23/100000)*'Birth Pop per Year'!G23</f>
        <v>45.94420277</v>
      </c>
      <c r="K23" s="8">
        <f>(B23/100000)*'Birth Pop per Year'!K23</f>
        <v>28.02595483</v>
      </c>
      <c r="L23" s="34">
        <f>(C23/100000)*'Birth Pop per Year'!K23</f>
        <v>19.6426452</v>
      </c>
      <c r="M23" s="34">
        <f>(D23/100000)*'Birth Pop per Year'!K23</f>
        <v>39.40767448</v>
      </c>
      <c r="N23" s="35" t="str">
        <f t="shared" si="1"/>
        <v>362 (254-509)</v>
      </c>
      <c r="O23" s="38">
        <f>4652+4865</f>
        <v>9517</v>
      </c>
      <c r="P23" s="35" t="str">
        <f t="shared" si="2"/>
        <v>34 (23-48)</v>
      </c>
      <c r="Q23" s="37">
        <f>4406+4612</f>
        <v>9018</v>
      </c>
      <c r="R23" s="35" t="str">
        <f t="shared" si="3"/>
        <v>33 (23-46)</v>
      </c>
      <c r="S23" s="37">
        <f>3776+3959</f>
        <v>7735</v>
      </c>
      <c r="T23" s="35" t="str">
        <f t="shared" si="4"/>
        <v>28 (20-39)</v>
      </c>
    </row>
    <row r="24">
      <c r="A24" s="16" t="s">
        <v>51</v>
      </c>
      <c r="B24" s="17">
        <v>152.7070011497998</v>
      </c>
      <c r="C24" s="18">
        <v>111.28445427920634</v>
      </c>
      <c r="D24" s="17">
        <v>208.34922828940296</v>
      </c>
      <c r="E24" s="10">
        <f>(B24/100000)*'Birth Pop per Year'!C24</f>
        <v>33939.05312</v>
      </c>
      <c r="F24" s="8">
        <f>(C24/100000)*'Birth Pop per Year'!G24</f>
        <v>22930.84843</v>
      </c>
      <c r="G24" s="8">
        <f>(D24/100000)*'Birth Pop per Year'!C24</f>
        <v>46305.50973</v>
      </c>
      <c r="H24" s="8">
        <f>(B24/100000)*'Birth Pop per Year'!G24</f>
        <v>31466.21979</v>
      </c>
      <c r="I24" s="8">
        <f>(C24/100000)*'Birth Pop per Year'!G24</f>
        <v>22930.84843</v>
      </c>
      <c r="J24" s="8">
        <f>(D24/100000)*'Birth Pop per Year'!G24</f>
        <v>42931.644</v>
      </c>
      <c r="K24" s="8">
        <f>(B24/100000)*'Birth Pop per Year'!K24</f>
        <v>28811.36276</v>
      </c>
      <c r="L24" s="34">
        <f>(C24/100000)*'Birth Pop per Year'!K24</f>
        <v>20996.13481</v>
      </c>
      <c r="M24" s="34">
        <f>(D24/100000)*'Birth Pop per Year'!K24</f>
        <v>39309.43017</v>
      </c>
      <c r="N24" s="35" t="str">
        <f t="shared" si="1"/>
        <v>153 (111-208)</v>
      </c>
      <c r="O24" s="37">
        <f>10792760+11432189</f>
        <v>22224949</v>
      </c>
      <c r="P24" s="35" t="str">
        <f t="shared" si="2"/>
        <v>33,939 (22,931-46,306)</v>
      </c>
      <c r="Q24" s="37">
        <f>10043329+10562288</f>
        <v>20605617</v>
      </c>
      <c r="R24" s="35" t="str">
        <f t="shared" si="3"/>
        <v>31,466 (22,931-42,932)</v>
      </c>
      <c r="S24" s="37">
        <f>9200381+9666706</f>
        <v>18867087</v>
      </c>
      <c r="T24" s="35" t="str">
        <f t="shared" si="4"/>
        <v>28,811 (20,996-39,309)</v>
      </c>
    </row>
    <row r="25">
      <c r="A25" s="16" t="s">
        <v>52</v>
      </c>
      <c r="B25" s="17">
        <v>233.07785551077112</v>
      </c>
      <c r="C25" s="18">
        <v>167.00444557803016</v>
      </c>
      <c r="D25" s="17">
        <v>323.083366678993</v>
      </c>
      <c r="E25" s="10">
        <f>(B25/100000)*'Birth Pop per Year'!C25</f>
        <v>1194.144093</v>
      </c>
      <c r="F25" s="8">
        <f>(C25/100000)*'Birth Pop per Year'!G25</f>
        <v>776.5656618</v>
      </c>
      <c r="G25" s="8">
        <f>(D25/100000)*'Birth Pop per Year'!C25</f>
        <v>1655.275628</v>
      </c>
      <c r="H25" s="8">
        <f>(B25/100000)*'Birth Pop per Year'!G25</f>
        <v>1083.805036</v>
      </c>
      <c r="I25" s="8">
        <f>(C25/100000)*'Birth Pop per Year'!G25</f>
        <v>776.5656618</v>
      </c>
      <c r="J25" s="8">
        <f>(D25/100000)*'Birth Pop per Year'!G25</f>
        <v>1502.327963</v>
      </c>
      <c r="K25" s="8">
        <f>(B25/100000)*'Birth Pop per Year'!K25</f>
        <v>1002.992282</v>
      </c>
      <c r="L25" s="34">
        <f>(C25/100000)*'Birth Pop per Year'!K25</f>
        <v>718.6618804</v>
      </c>
      <c r="M25" s="34">
        <f>(D25/100000)*'Birth Pop per Year'!K25</f>
        <v>1390.308498</v>
      </c>
      <c r="N25" s="35" t="str">
        <f t="shared" si="1"/>
        <v>233 (167-323)</v>
      </c>
      <c r="O25" s="37">
        <f>250788+261549</f>
        <v>512337</v>
      </c>
      <c r="P25" s="35" t="str">
        <f t="shared" si="2"/>
        <v>1,194 (777-1,655)</v>
      </c>
      <c r="Q25" s="37">
        <f>227694+237303</f>
        <v>464997</v>
      </c>
      <c r="R25" s="35" t="str">
        <f t="shared" si="3"/>
        <v>1,084 (777-1,502)</v>
      </c>
      <c r="S25" s="37">
        <f>210639+219686</f>
        <v>430325</v>
      </c>
      <c r="T25" s="35" t="str">
        <f t="shared" si="4"/>
        <v>1,003 (719-1,390)</v>
      </c>
    </row>
    <row r="26">
      <c r="A26" s="16" t="s">
        <v>53</v>
      </c>
      <c r="B26" s="17">
        <v>222.53525866490895</v>
      </c>
      <c r="C26" s="18">
        <v>169.21566257880764</v>
      </c>
      <c r="D26" s="17">
        <v>298.0713531202192</v>
      </c>
      <c r="E26" s="10">
        <f>(B26/100000)*'Birth Pop per Year'!C26</f>
        <v>15220.30569</v>
      </c>
      <c r="F26" s="8">
        <f>(C26/100000)*'Birth Pop per Year'!G26</f>
        <v>12377.38117</v>
      </c>
      <c r="G26" s="8">
        <f>(D26/100000)*'Birth Pop per Year'!C26</f>
        <v>20386.59914</v>
      </c>
      <c r="H26" s="8">
        <f>(B26/100000)*'Birth Pop per Year'!G26</f>
        <v>16277.47502</v>
      </c>
      <c r="I26" s="8">
        <f>(C26/100000)*'Birth Pop per Year'!G26</f>
        <v>12377.38117</v>
      </c>
      <c r="J26" s="8">
        <f>(D26/100000)*'Birth Pop per Year'!G26</f>
        <v>21802.60797</v>
      </c>
      <c r="K26" s="8">
        <f>(B26/100000)*'Birth Pop per Year'!K26</f>
        <v>16265.55158</v>
      </c>
      <c r="L26" s="34">
        <f>(C26/100000)*'Birth Pop per Year'!K26</f>
        <v>12368.31459</v>
      </c>
      <c r="M26" s="34">
        <f>(D26/100000)*'Birth Pop per Year'!K26</f>
        <v>21786.6373</v>
      </c>
      <c r="N26" s="35" t="str">
        <f t="shared" si="1"/>
        <v>223 (169-298)</v>
      </c>
      <c r="O26" s="37">
        <f>3342220+3497283</f>
        <v>6839503</v>
      </c>
      <c r="P26" s="35" t="str">
        <f t="shared" si="2"/>
        <v>15,220 (12,377-20,387)</v>
      </c>
      <c r="Q26" s="37">
        <f>3575948+3738612</f>
        <v>7314560</v>
      </c>
      <c r="R26" s="35" t="str">
        <f t="shared" si="3"/>
        <v>16,277 (12,377-21,803)</v>
      </c>
      <c r="S26" s="37">
        <f>3574115+3735087</f>
        <v>7309202</v>
      </c>
      <c r="T26" s="35" t="str">
        <f t="shared" si="4"/>
        <v>16,266 (12,368-21,787)</v>
      </c>
    </row>
    <row r="27">
      <c r="A27" s="16" t="s">
        <v>54</v>
      </c>
      <c r="B27" s="17">
        <v>106.95730925532077</v>
      </c>
      <c r="C27" s="18">
        <v>80.21798194149058</v>
      </c>
      <c r="D27" s="17">
        <v>136.24323917046812</v>
      </c>
      <c r="E27" s="10">
        <f>(B27/100000)*'Birth Pop per Year'!C27</f>
        <v>8913.144044</v>
      </c>
      <c r="F27" s="8">
        <f>(C27/100000)*'Birth Pop per Year'!G27</f>
        <v>6922.136406</v>
      </c>
      <c r="G27" s="8">
        <f>(D27/100000)*'Birth Pop per Year'!C27</f>
        <v>11353.64777</v>
      </c>
      <c r="H27" s="8">
        <f>(B27/100000)*'Birth Pop per Year'!G27</f>
        <v>9229.515208</v>
      </c>
      <c r="I27" s="8">
        <f>(C27/100000)*'Birth Pop per Year'!G27</f>
        <v>6922.136406</v>
      </c>
      <c r="J27" s="8">
        <f>(D27/100000)*'Birth Pop per Year'!G27</f>
        <v>11756.64437</v>
      </c>
      <c r="K27" s="8">
        <f>(B27/100000)*'Birth Pop per Year'!K27</f>
        <v>8019.148862</v>
      </c>
      <c r="L27" s="34">
        <f>(C27/100000)*'Birth Pop per Year'!K27</f>
        <v>6014.361646</v>
      </c>
      <c r="M27" s="34">
        <f>(D27/100000)*'Birth Pop per Year'!K27</f>
        <v>10214.86819</v>
      </c>
      <c r="N27" s="35" t="str">
        <f t="shared" si="1"/>
        <v>107 (80-136)</v>
      </c>
      <c r="O27" s="37">
        <f>4011462+4321904</f>
        <v>8333366</v>
      </c>
      <c r="P27" s="35" t="str">
        <f t="shared" si="2"/>
        <v>8,913 (6,922-11,354)</v>
      </c>
      <c r="Q27" s="37">
        <f>4181810+4447348</f>
        <v>8629158</v>
      </c>
      <c r="R27" s="35" t="str">
        <f t="shared" si="3"/>
        <v>9,230 (6,922-11,757)</v>
      </c>
      <c r="S27" s="37">
        <f>3636989+3860534</f>
        <v>7497523</v>
      </c>
      <c r="T27" s="35" t="str">
        <f t="shared" si="4"/>
        <v>8,019 (6,014-10,215)</v>
      </c>
    </row>
    <row r="28">
      <c r="A28" s="16" t="s">
        <v>55</v>
      </c>
      <c r="B28" s="17">
        <v>97.42562293811964</v>
      </c>
      <c r="C28" s="18">
        <v>69.26352880756946</v>
      </c>
      <c r="D28" s="17">
        <v>129.39340546469018</v>
      </c>
      <c r="E28" s="10">
        <f>(B28/100000)*'Birth Pop per Year'!C28</f>
        <v>293.0504283</v>
      </c>
      <c r="F28" s="8">
        <f>(C28/100000)*'Birth Pop per Year'!G28</f>
        <v>180.3054329</v>
      </c>
      <c r="G28" s="8">
        <f>(D28/100000)*'Birth Pop per Year'!C28</f>
        <v>389.2076</v>
      </c>
      <c r="H28" s="8">
        <f>(B28/100000)*'Birth Pop per Year'!G28</f>
        <v>253.6164331</v>
      </c>
      <c r="I28" s="8">
        <f>(C28/100000)*'Birth Pop per Year'!G28</f>
        <v>180.3054329</v>
      </c>
      <c r="J28" s="8">
        <f>(D28/100000)*'Birth Pop per Year'!G28</f>
        <v>336.8343252</v>
      </c>
      <c r="K28" s="8">
        <f>(B28/100000)*'Birth Pop per Year'!K28</f>
        <v>256.4690554</v>
      </c>
      <c r="L28" s="34">
        <f>(C28/100000)*'Birth Pop per Year'!K28</f>
        <v>182.333469</v>
      </c>
      <c r="M28" s="34">
        <f>(D28/100000)*'Birth Pop per Year'!K28</f>
        <v>340.6229641</v>
      </c>
      <c r="N28" s="35" t="str">
        <f t="shared" si="1"/>
        <v>97 (69-129)</v>
      </c>
      <c r="O28" s="37">
        <f>146125+154669</f>
        <v>300794</v>
      </c>
      <c r="P28" s="35" t="str">
        <f t="shared" si="2"/>
        <v>293 (180-389)</v>
      </c>
      <c r="Q28" s="37">
        <f>126473+133845</f>
        <v>260318</v>
      </c>
      <c r="R28" s="35" t="str">
        <f t="shared" si="3"/>
        <v>254 (180-337)</v>
      </c>
      <c r="S28" s="37">
        <f>127887+135359</f>
        <v>263246</v>
      </c>
      <c r="T28" s="35" t="str">
        <f t="shared" si="4"/>
        <v>256 (182-341)</v>
      </c>
    </row>
    <row r="29">
      <c r="A29" s="16" t="s">
        <v>56</v>
      </c>
      <c r="B29" s="17">
        <v>64.68462549277267</v>
      </c>
      <c r="C29" s="18">
        <v>43.33869908015769</v>
      </c>
      <c r="D29" s="17">
        <v>94.43955321944809</v>
      </c>
      <c r="E29" s="10">
        <f>(B29/100000)*'Birth Pop per Year'!C29</f>
        <v>0.3777582129</v>
      </c>
      <c r="F29" s="8">
        <f>(C29/100000)*'Birth Pop per Year'!G29</f>
        <v>0.2535313896</v>
      </c>
      <c r="G29" s="8">
        <f>(D29/100000)*'Birth Pop per Year'!C29</f>
        <v>0.5515269908</v>
      </c>
      <c r="H29" s="8">
        <f>(B29/100000)*'Birth Pop per Year'!G29</f>
        <v>0.3784050591</v>
      </c>
      <c r="I29" s="8">
        <f>(C29/100000)*'Birth Pop per Year'!G29</f>
        <v>0.2535313896</v>
      </c>
      <c r="J29" s="8">
        <f>(D29/100000)*'Birth Pop per Year'!G29</f>
        <v>0.5524713863</v>
      </c>
      <c r="K29" s="8">
        <f>(B29/100000)*'Birth Pop per Year'!K29</f>
        <v>0.3305384363</v>
      </c>
      <c r="L29" s="34">
        <f>(C29/100000)*'Birth Pop per Year'!K29</f>
        <v>0.2214607523</v>
      </c>
      <c r="M29" s="34">
        <f>(D29/100000)*'Birth Pop per Year'!K29</f>
        <v>0.482586117</v>
      </c>
      <c r="N29" s="35" t="str">
        <f t="shared" si="1"/>
        <v>65 (43-94)</v>
      </c>
      <c r="O29" s="37">
        <f>284+300</f>
        <v>584</v>
      </c>
      <c r="P29" s="35" t="str">
        <f t="shared" si="2"/>
        <v>0 (0-1)</v>
      </c>
      <c r="Q29" s="37">
        <f>284+301</f>
        <v>585</v>
      </c>
      <c r="R29" s="35" t="str">
        <f t="shared" si="3"/>
        <v>0 (0-1)</v>
      </c>
      <c r="S29" s="37">
        <f>248+263</f>
        <v>511</v>
      </c>
      <c r="T29" s="35" t="str">
        <f t="shared" si="4"/>
        <v>0 (0-0)</v>
      </c>
    </row>
    <row r="30">
      <c r="A30" s="16" t="s">
        <v>57</v>
      </c>
      <c r="B30" s="17">
        <v>61.28917860553964</v>
      </c>
      <c r="C30" s="18">
        <v>42.683535100286534</v>
      </c>
      <c r="D30" s="17">
        <v>89.19764386341929</v>
      </c>
      <c r="E30" s="10">
        <f>(B30/100000)*'Birth Pop per Year'!C30</f>
        <v>9.674496843</v>
      </c>
      <c r="F30" s="8">
        <f>(C30/100000)*'Birth Pop per Year'!G30</f>
        <v>6.478506958</v>
      </c>
      <c r="G30" s="8">
        <f>(D30/100000)*'Birth Pop per Year'!C30</f>
        <v>14.07984808</v>
      </c>
      <c r="H30" s="8">
        <f>(B30/100000)*'Birth Pop per Year'!G30</f>
        <v>9.302471529</v>
      </c>
      <c r="I30" s="8">
        <f>(C30/100000)*'Birth Pop per Year'!G30</f>
        <v>6.478506958</v>
      </c>
      <c r="J30" s="8">
        <f>(D30/100000)*'Birth Pop per Year'!G30</f>
        <v>13.53841839</v>
      </c>
      <c r="K30" s="8">
        <f>(B30/100000)*'Birth Pop per Year'!K30</f>
        <v>8.48977702</v>
      </c>
      <c r="L30" s="34">
        <f>(C30/100000)*'Birth Pop per Year'!K30</f>
        <v>5.912523282</v>
      </c>
      <c r="M30" s="34">
        <f>(D30/100000)*'Birth Pop per Year'!K30</f>
        <v>12.35565763</v>
      </c>
      <c r="N30" s="35" t="str">
        <f t="shared" si="1"/>
        <v>61 (43-89)</v>
      </c>
      <c r="O30" s="37">
        <f>7640+8145</f>
        <v>15785</v>
      </c>
      <c r="P30" s="35" t="str">
        <f t="shared" si="2"/>
        <v>10 (6-14)</v>
      </c>
      <c r="Q30" s="37">
        <f>7350+7828</f>
        <v>15178</v>
      </c>
      <c r="R30" s="35" t="str">
        <f t="shared" si="3"/>
        <v>9 (6-14)</v>
      </c>
      <c r="S30" s="38">
        <f>6709+7143</f>
        <v>13852</v>
      </c>
      <c r="T30" s="35" t="str">
        <f t="shared" si="4"/>
        <v>8 (6-12)</v>
      </c>
    </row>
    <row r="31">
      <c r="A31" s="16" t="s">
        <v>58</v>
      </c>
      <c r="B31" s="17">
        <v>69.9418432559704</v>
      </c>
      <c r="C31" s="18">
        <v>45.710023545240496</v>
      </c>
      <c r="D31" s="17">
        <v>105.18812647157753</v>
      </c>
      <c r="E31" s="10">
        <f>(B31/100000)*'Birth Pop per Year'!C31</f>
        <v>1.916406505</v>
      </c>
      <c r="F31" s="8">
        <f>(C31/100000)*'Birth Pop per Year'!G31</f>
        <v>1.246969442</v>
      </c>
      <c r="G31" s="8">
        <f>(D31/100000)*'Birth Pop per Year'!C31</f>
        <v>2.882154665</v>
      </c>
      <c r="H31" s="8">
        <f>(B31/100000)*'Birth Pop per Year'!G31</f>
        <v>1.908013484</v>
      </c>
      <c r="I31" s="8">
        <f>(C31/100000)*'Birth Pop per Year'!G31</f>
        <v>1.246969442</v>
      </c>
      <c r="J31" s="8">
        <f>(D31/100000)*'Birth Pop per Year'!G31</f>
        <v>2.86953209</v>
      </c>
      <c r="K31" s="8">
        <f>(B31/100000)*'Birth Pop per Year'!K31</f>
        <v>1.935290803</v>
      </c>
      <c r="L31" s="34">
        <f>(C31/100000)*'Birth Pop per Year'!K31</f>
        <v>1.264796351</v>
      </c>
      <c r="M31" s="34">
        <f>(D31/100000)*'Birth Pop per Year'!K31</f>
        <v>2.910555459</v>
      </c>
      <c r="N31" s="35" t="str">
        <f t="shared" si="1"/>
        <v>70 (46-105)</v>
      </c>
      <c r="O31" s="37">
        <f>1325+1415</f>
        <v>2740</v>
      </c>
      <c r="P31" s="35" t="str">
        <f t="shared" si="2"/>
        <v>2 (1-3)</v>
      </c>
      <c r="Q31" s="37">
        <f>1319+1409</f>
        <v>2728</v>
      </c>
      <c r="R31" s="35" t="str">
        <f t="shared" si="3"/>
        <v>2 (1-3)</v>
      </c>
      <c r="S31" s="37">
        <f>1337+1430</f>
        <v>2767</v>
      </c>
      <c r="T31" s="35" t="str">
        <f t="shared" si="4"/>
        <v>2 (1-3)</v>
      </c>
    </row>
    <row r="32">
      <c r="A32" s="16" t="s">
        <v>59</v>
      </c>
      <c r="B32" s="17">
        <v>58.3356214264219</v>
      </c>
      <c r="C32" s="18">
        <v>41.7234908215468</v>
      </c>
      <c r="D32" s="17">
        <v>84.60596749924768</v>
      </c>
      <c r="E32" s="10">
        <f>(B32/100000)*'Birth Pop per Year'!C32</f>
        <v>1.896491053</v>
      </c>
      <c r="F32" s="8">
        <f>(C32/100000)*'Birth Pop per Year'!G32</f>
        <v>1.419015923</v>
      </c>
      <c r="G32" s="8">
        <f>(D32/100000)*'Birth Pop per Year'!C32</f>
        <v>2.750540003</v>
      </c>
      <c r="H32" s="8">
        <f>(B32/100000)*'Birth Pop per Year'!G32</f>
        <v>1.983994485</v>
      </c>
      <c r="I32" s="8">
        <f>(C32/100000)*'Birth Pop per Year'!G32</f>
        <v>1.419015923</v>
      </c>
      <c r="J32" s="8">
        <f>(D32/100000)*'Birth Pop per Year'!G32</f>
        <v>2.877448955</v>
      </c>
      <c r="K32" s="8">
        <f>(B32/100000)*'Birth Pop per Year'!K32</f>
        <v>2.006162021</v>
      </c>
      <c r="L32" s="34">
        <f>(C32/100000)*'Birth Pop per Year'!K32</f>
        <v>1.434870849</v>
      </c>
      <c r="M32" s="34">
        <f>(D32/100000)*'Birth Pop per Year'!K32</f>
        <v>2.909599222</v>
      </c>
      <c r="N32" s="35" t="str">
        <f t="shared" si="1"/>
        <v>58 (42-85)</v>
      </c>
      <c r="O32" s="37">
        <f>1577+1674</f>
        <v>3251</v>
      </c>
      <c r="P32" s="35" t="str">
        <f t="shared" si="2"/>
        <v>2 (1-3)</v>
      </c>
      <c r="Q32" s="37">
        <f>1651+1750</f>
        <v>3401</v>
      </c>
      <c r="R32" s="35" t="str">
        <f t="shared" si="3"/>
        <v>2 (1-3)</v>
      </c>
      <c r="S32" s="37">
        <f>1670+1769</f>
        <v>3439</v>
      </c>
      <c r="T32" s="35" t="str">
        <f t="shared" si="4"/>
        <v>2 (1-3)</v>
      </c>
    </row>
    <row r="33">
      <c r="A33" s="16" t="s">
        <v>60</v>
      </c>
      <c r="B33" s="17">
        <v>61.25156652360515</v>
      </c>
      <c r="C33" s="18">
        <v>43.05363733905579</v>
      </c>
      <c r="D33" s="17">
        <v>87.88268240343348</v>
      </c>
      <c r="E33" s="10">
        <f>(B33/100000)*'Birth Pop per Year'!C33</f>
        <v>0.3577091485</v>
      </c>
      <c r="F33" s="8">
        <f>(C33/100000)*'Birth Pop per Year'!G33</f>
        <v>0.2479889511</v>
      </c>
      <c r="G33" s="8">
        <f>(D33/100000)*'Birth Pop per Year'!C33</f>
        <v>0.5132348652</v>
      </c>
      <c r="H33" s="8">
        <f>(B33/100000)*'Birth Pop per Year'!G33</f>
        <v>0.3528090232</v>
      </c>
      <c r="I33" s="8">
        <f>(C33/100000)*'Birth Pop per Year'!G33</f>
        <v>0.2479889511</v>
      </c>
      <c r="J33" s="8">
        <f>(D33/100000)*'Birth Pop per Year'!G33</f>
        <v>0.5062042506</v>
      </c>
      <c r="K33" s="8">
        <f>(B33/100000)*'Birth Pop per Year'!K33</f>
        <v>0.265219283</v>
      </c>
      <c r="L33" s="34">
        <f>(C33/100000)*'Birth Pop per Year'!K33</f>
        <v>0.1864222497</v>
      </c>
      <c r="M33" s="34">
        <f>(D33/100000)*'Birth Pop per Year'!K33</f>
        <v>0.3805320148</v>
      </c>
      <c r="N33" s="35" t="str">
        <f t="shared" si="1"/>
        <v>61 (43-88)</v>
      </c>
      <c r="O33" s="37">
        <f>283+301</f>
        <v>584</v>
      </c>
      <c r="P33" s="35" t="str">
        <f t="shared" si="2"/>
        <v>0 (0-1)</v>
      </c>
      <c r="Q33" s="37">
        <f>279+297</f>
        <v>576</v>
      </c>
      <c r="R33" s="35" t="str">
        <f t="shared" si="3"/>
        <v>0 (0-1)</v>
      </c>
      <c r="S33" s="37">
        <f>210+223</f>
        <v>433</v>
      </c>
      <c r="T33" s="35" t="str">
        <f t="shared" si="4"/>
        <v>0 (0-0)</v>
      </c>
    </row>
    <row r="34">
      <c r="A34" s="16" t="s">
        <v>61</v>
      </c>
      <c r="B34" s="17">
        <v>51.211985383678424</v>
      </c>
      <c r="C34" s="18">
        <v>36.25627283800244</v>
      </c>
      <c r="D34" s="17">
        <v>72.51254567600488</v>
      </c>
      <c r="E34" s="10">
        <f>(B34/100000)*'Birth Pop per Year'!C34</f>
        <v>1.240354286</v>
      </c>
      <c r="F34" s="8">
        <f>(C34/100000)*'Birth Pop per Year'!G34</f>
        <v>0.8077897588</v>
      </c>
      <c r="G34" s="8">
        <f>(D34/100000)*'Birth Pop per Year'!C34</f>
        <v>1.756253856</v>
      </c>
      <c r="H34" s="8">
        <f>(B34/100000)*'Birth Pop per Year'!G34</f>
        <v>1.141003034</v>
      </c>
      <c r="I34" s="8">
        <f>(C34/100000)*'Birth Pop per Year'!G34</f>
        <v>0.8077897588</v>
      </c>
      <c r="J34" s="8">
        <f>(D34/100000)*'Birth Pop per Year'!G34</f>
        <v>1.615579518</v>
      </c>
      <c r="K34" s="8">
        <f>(B34/100000)*'Birth Pop per Year'!K34</f>
        <v>1.045748742</v>
      </c>
      <c r="L34" s="34">
        <f>(C34/100000)*'Birth Pop per Year'!K34</f>
        <v>0.7403530914</v>
      </c>
      <c r="M34" s="34">
        <f>(D34/100000)*'Birth Pop per Year'!K34</f>
        <v>1.480706183</v>
      </c>
      <c r="N34" s="35" t="str">
        <f t="shared" si="1"/>
        <v>51 (36-73)</v>
      </c>
      <c r="O34" s="37">
        <f>1173+1249</f>
        <v>2422</v>
      </c>
      <c r="P34" s="35" t="str">
        <f t="shared" si="2"/>
        <v>1 (1-2)</v>
      </c>
      <c r="Q34" s="37">
        <f>1080+1148</f>
        <v>2228</v>
      </c>
      <c r="R34" s="35" t="str">
        <f t="shared" si="3"/>
        <v>1 (1-2)</v>
      </c>
      <c r="S34" s="37">
        <f>990+1052</f>
        <v>2042</v>
      </c>
      <c r="T34" s="35" t="str">
        <f t="shared" si="4"/>
        <v>1 (1-1)</v>
      </c>
    </row>
    <row r="35">
      <c r="A35" s="16" t="s">
        <v>62</v>
      </c>
      <c r="B35" s="17">
        <v>78.31468189233277</v>
      </c>
      <c r="C35" s="18">
        <v>53.48319738988581</v>
      </c>
      <c r="D35" s="17">
        <v>110.78662316476345</v>
      </c>
      <c r="E35" s="10">
        <f>(B35/100000)*'Birth Pop per Year'!C35</f>
        <v>0.2231968434</v>
      </c>
      <c r="F35" s="8">
        <f>(C35/100000)*'Birth Pop per Year'!G35</f>
        <v>0.1716810636</v>
      </c>
      <c r="G35" s="8">
        <f>(D35/100000)*'Birth Pop per Year'!C35</f>
        <v>0.315741876</v>
      </c>
      <c r="H35" s="8">
        <f>(B35/100000)*'Birth Pop per Year'!G35</f>
        <v>0.2513901289</v>
      </c>
      <c r="I35" s="8">
        <f>(C35/100000)*'Birth Pop per Year'!G35</f>
        <v>0.1716810636</v>
      </c>
      <c r="J35" s="8">
        <f>(D35/100000)*'Birth Pop per Year'!G35</f>
        <v>0.3556250604</v>
      </c>
      <c r="K35" s="8">
        <f>(B35/100000)*'Birth Pop per Year'!K35</f>
        <v>0.2474743948</v>
      </c>
      <c r="L35" s="34">
        <f>(C35/100000)*'Birth Pop per Year'!K35</f>
        <v>0.1690069038</v>
      </c>
      <c r="M35" s="34">
        <f>(D35/100000)*'Birth Pop per Year'!K35</f>
        <v>0.3500857292</v>
      </c>
      <c r="N35" s="35" t="str">
        <f t="shared" si="1"/>
        <v>78 (53-111)</v>
      </c>
      <c r="O35" s="37">
        <f>138+147</f>
        <v>285</v>
      </c>
      <c r="P35" s="35" t="str">
        <f t="shared" si="2"/>
        <v>0 (0-0)</v>
      </c>
      <c r="Q35" s="37">
        <f>155+166</f>
        <v>321</v>
      </c>
      <c r="R35" s="35" t="str">
        <f t="shared" si="3"/>
        <v>0 (0-0)</v>
      </c>
      <c r="S35" s="37">
        <f>153+163</f>
        <v>316</v>
      </c>
      <c r="T35" s="35" t="str">
        <f t="shared" si="4"/>
        <v>0 (0-0)</v>
      </c>
    </row>
    <row r="36">
      <c r="A36" s="16" t="s">
        <v>63</v>
      </c>
      <c r="B36" s="17">
        <v>56.02380747126436</v>
      </c>
      <c r="C36" s="18">
        <v>37.124209770114945</v>
      </c>
      <c r="D36" s="17">
        <v>83.6982183908046</v>
      </c>
      <c r="E36" s="10">
        <f>(B36/100000)*'Birth Pop per Year'!C36</f>
        <v>0.2392216579</v>
      </c>
      <c r="F36" s="8">
        <f>(C36/100000)*'Birth Pop per Year'!G36</f>
        <v>0.2078955747</v>
      </c>
      <c r="G36" s="8">
        <f>(D36/100000)*'Birth Pop per Year'!C36</f>
        <v>0.3573913925</v>
      </c>
      <c r="H36" s="8">
        <f>(B36/100000)*'Birth Pop per Year'!G36</f>
        <v>0.3137333218</v>
      </c>
      <c r="I36" s="8">
        <f>(C36/100000)*'Birth Pop per Year'!G36</f>
        <v>0.2078955747</v>
      </c>
      <c r="J36" s="8">
        <f>(D36/100000)*'Birth Pop per Year'!G36</f>
        <v>0.468710023</v>
      </c>
      <c r="K36" s="8">
        <f>(B36/100000)*'Birth Pop per Year'!K36</f>
        <v>0.2677937997</v>
      </c>
      <c r="L36" s="34">
        <f>(C36/100000)*'Birth Pop per Year'!K36</f>
        <v>0.1774537227</v>
      </c>
      <c r="M36" s="34">
        <f>(D36/100000)*'Birth Pop per Year'!K36</f>
        <v>0.4000774839</v>
      </c>
      <c r="N36" s="35" t="str">
        <f t="shared" si="1"/>
        <v>56 (37-84)</v>
      </c>
      <c r="O36" s="37">
        <f>198+229</f>
        <v>427</v>
      </c>
      <c r="P36" s="35" t="str">
        <f t="shared" si="2"/>
        <v>0 (0-0)</v>
      </c>
      <c r="Q36" s="37">
        <f>260+300</f>
        <v>560</v>
      </c>
      <c r="R36" s="35" t="str">
        <f t="shared" si="3"/>
        <v>0 (0-0)</v>
      </c>
      <c r="S36" s="37">
        <f>222+256</f>
        <v>478</v>
      </c>
      <c r="T36" s="35" t="str">
        <f t="shared" si="4"/>
        <v>0 (0-0)</v>
      </c>
    </row>
    <row r="37">
      <c r="A37" s="16" t="s">
        <v>64</v>
      </c>
      <c r="B37" s="17">
        <v>60.16139303482587</v>
      </c>
      <c r="C37" s="18">
        <v>40.69741293532338</v>
      </c>
      <c r="D37" s="17">
        <v>84.93373134328358</v>
      </c>
      <c r="E37" s="10">
        <f>(B37/100000)*'Birth Pop per Year'!C37</f>
        <v>0.1070872796</v>
      </c>
      <c r="F37" s="8">
        <f>(C37/100000)*'Birth Pop per Year'!G37</f>
        <v>0.07162744677</v>
      </c>
      <c r="G37" s="8">
        <f>(D37/100000)*'Birth Pop per Year'!C37</f>
        <v>0.1511820418</v>
      </c>
      <c r="H37" s="8">
        <f>(B37/100000)*'Birth Pop per Year'!G37</f>
        <v>0.1058840517</v>
      </c>
      <c r="I37" s="8">
        <f>(C37/100000)*'Birth Pop per Year'!G37</f>
        <v>0.07162744677</v>
      </c>
      <c r="J37" s="8">
        <f>(D37/100000)*'Birth Pop per Year'!G37</f>
        <v>0.1494833672</v>
      </c>
      <c r="K37" s="8">
        <f>(B37/100000)*'Birth Pop per Year'!K37</f>
        <v>0.09385177313</v>
      </c>
      <c r="L37" s="34">
        <f>(C37/100000)*'Birth Pop per Year'!K37</f>
        <v>0.06348796418</v>
      </c>
      <c r="M37" s="34">
        <f>(D37/100000)*'Birth Pop per Year'!K37</f>
        <v>0.1324966209</v>
      </c>
      <c r="N37" s="35" t="str">
        <f t="shared" si="1"/>
        <v>60 (41-85)</v>
      </c>
      <c r="O37" s="37">
        <f>86+92</f>
        <v>178</v>
      </c>
      <c r="P37" s="35" t="str">
        <f t="shared" si="2"/>
        <v>0 (0-0)</v>
      </c>
      <c r="Q37" s="37">
        <f>85+91</f>
        <v>176</v>
      </c>
      <c r="R37" s="35" t="str">
        <f t="shared" si="3"/>
        <v>0 (0-0)</v>
      </c>
      <c r="S37" s="37">
        <f>75+81</f>
        <v>156</v>
      </c>
      <c r="T37" s="35" t="str">
        <f t="shared" si="4"/>
        <v>0 (0-0)</v>
      </c>
    </row>
    <row r="38">
      <c r="A38" s="16" t="s">
        <v>65</v>
      </c>
      <c r="B38" s="17">
        <v>93.35339475201788</v>
      </c>
      <c r="C38" s="18">
        <v>65.58880751973669</v>
      </c>
      <c r="D38" s="17">
        <v>134.7990829393362</v>
      </c>
      <c r="E38" s="10">
        <f>(B38/100000)*'Birth Pop per Year'!C38</f>
        <v>235.778935</v>
      </c>
      <c r="F38" s="8">
        <f>(C38/100000)*'Birth Pop per Year'!G38</f>
        <v>170.7899753</v>
      </c>
      <c r="G38" s="8">
        <f>(D38/100000)*'Birth Pop per Year'!C38</f>
        <v>340.4566518</v>
      </c>
      <c r="H38" s="8">
        <f>(B38/100000)*'Birth Pop per Year'!G38</f>
        <v>243.0875723</v>
      </c>
      <c r="I38" s="8">
        <f>(C38/100000)*'Birth Pop per Year'!G38</f>
        <v>170.7899753</v>
      </c>
      <c r="J38" s="8">
        <f>(D38/100000)*'Birth Pop per Year'!G38</f>
        <v>351.010072</v>
      </c>
      <c r="K38" s="8">
        <f>(B38/100000)*'Birth Pop per Year'!K38</f>
        <v>246.4538957</v>
      </c>
      <c r="L38" s="34">
        <f>(C38/100000)*'Birth Pop per Year'!K38</f>
        <v>173.1551077</v>
      </c>
      <c r="M38" s="34">
        <f>(D38/100000)*'Birth Pop per Year'!K38</f>
        <v>355.870927</v>
      </c>
      <c r="N38" s="35" t="str">
        <f t="shared" si="1"/>
        <v>93 (66-135)</v>
      </c>
      <c r="O38" s="37">
        <f>122019+130547</f>
        <v>252566</v>
      </c>
      <c r="P38" s="35" t="str">
        <f t="shared" si="2"/>
        <v>236 (171-340)</v>
      </c>
      <c r="Q38" s="37">
        <f>125842+134553</f>
        <v>260395</v>
      </c>
      <c r="R38" s="35" t="str">
        <f t="shared" si="3"/>
        <v>243 (171-351)</v>
      </c>
      <c r="S38" s="37">
        <f>127601+136400</f>
        <v>264001</v>
      </c>
      <c r="T38" s="35" t="str">
        <f t="shared" si="4"/>
        <v>246 (173-356)</v>
      </c>
    </row>
    <row r="39">
      <c r="A39" s="16" t="s">
        <v>66</v>
      </c>
      <c r="B39" s="17">
        <v>77.22906282722512</v>
      </c>
      <c r="C39" s="18">
        <v>54.09765270506108</v>
      </c>
      <c r="D39" s="17">
        <v>109.31456719022688</v>
      </c>
      <c r="E39" s="10">
        <f>(B39/100000)*'Birth Pop per Year'!C39</f>
        <v>4.148745255</v>
      </c>
      <c r="F39" s="8">
        <f>(C39/100000)*'Birth Pop per Year'!G39</f>
        <v>3.385431106</v>
      </c>
      <c r="G39" s="8">
        <f>(D39/100000)*'Birth Pop per Year'!C39</f>
        <v>5.872378549</v>
      </c>
      <c r="H39" s="8">
        <f>(B39/100000)*'Birth Pop per Year'!G39</f>
        <v>4.832994752</v>
      </c>
      <c r="I39" s="8">
        <f>(C39/100000)*'Birth Pop per Year'!G39</f>
        <v>3.385431106</v>
      </c>
      <c r="J39" s="8">
        <f>(D39/100000)*'Birth Pop per Year'!G39</f>
        <v>6.840905615</v>
      </c>
      <c r="K39" s="8">
        <f>(B39/100000)*'Birth Pop per Year'!K39</f>
        <v>4.601307563</v>
      </c>
      <c r="L39" s="34">
        <f>(C39/100000)*'Birth Pop per Year'!K39</f>
        <v>3.223138148</v>
      </c>
      <c r="M39" s="34">
        <f>(D39/100000)*'Birth Pop per Year'!K39</f>
        <v>6.512961913</v>
      </c>
      <c r="N39" s="35" t="str">
        <f t="shared" si="1"/>
        <v>77 (54-109)</v>
      </c>
      <c r="O39" s="37">
        <f>2591+2781</f>
        <v>5372</v>
      </c>
      <c r="P39" s="35" t="str">
        <f t="shared" si="2"/>
        <v>4 (3-6)</v>
      </c>
      <c r="Q39" s="37">
        <f>3019+3239</f>
        <v>6258</v>
      </c>
      <c r="R39" s="35" t="str">
        <f t="shared" si="3"/>
        <v>5 (3-7)</v>
      </c>
      <c r="S39" s="37">
        <f>2873+3085</f>
        <v>5958</v>
      </c>
      <c r="T39" s="35" t="str">
        <f t="shared" si="4"/>
        <v>5 (3-7)</v>
      </c>
    </row>
    <row r="40">
      <c r="A40" s="16" t="s">
        <v>67</v>
      </c>
      <c r="B40" s="17">
        <v>69.64301369863013</v>
      </c>
      <c r="C40" s="18">
        <v>49.37652823077481</v>
      </c>
      <c r="D40" s="17">
        <v>100.59546423135464</v>
      </c>
      <c r="E40" s="10">
        <f>(B40/100000)*'Birth Pop per Year'!C40</f>
        <v>16.13976842</v>
      </c>
      <c r="F40" s="8">
        <f>(C40/100000)*'Birth Pop per Year'!G40</f>
        <v>12.48041128</v>
      </c>
      <c r="G40" s="8">
        <f>(D40/100000)*'Birth Pop per Year'!C40</f>
        <v>23.31299884</v>
      </c>
      <c r="H40" s="8">
        <f>(B40/100000)*'Birth Pop per Year'!G40</f>
        <v>17.60296814</v>
      </c>
      <c r="I40" s="8">
        <f>(C40/100000)*'Birth Pop per Year'!G40</f>
        <v>12.48041128</v>
      </c>
      <c r="J40" s="8">
        <f>(D40/100000)*'Birth Pop per Year'!G40</f>
        <v>25.42650954</v>
      </c>
      <c r="K40" s="8">
        <f>(B40/100000)*'Birth Pop per Year'!K40</f>
        <v>17.80980789</v>
      </c>
      <c r="L40" s="34">
        <f>(C40/100000)*'Birth Pop per Year'!K40</f>
        <v>12.62705956</v>
      </c>
      <c r="M40" s="34">
        <f>(D40/100000)*'Birth Pop per Year'!K40</f>
        <v>25.72527807</v>
      </c>
      <c r="N40" s="35" t="str">
        <f t="shared" si="1"/>
        <v>70 (49-101)</v>
      </c>
      <c r="O40" s="37">
        <f>11215+11960</f>
        <v>23175</v>
      </c>
      <c r="P40" s="35" t="str">
        <f t="shared" si="2"/>
        <v>16 (12-23)</v>
      </c>
      <c r="Q40" s="37">
        <f>12233+13043</f>
        <v>25276</v>
      </c>
      <c r="R40" s="35" t="str">
        <f t="shared" si="3"/>
        <v>18 (12-25)</v>
      </c>
      <c r="S40" s="37">
        <f>12376+13197</f>
        <v>25573</v>
      </c>
      <c r="T40" s="35" t="str">
        <f t="shared" si="4"/>
        <v>18 (13-26)</v>
      </c>
    </row>
    <row r="41">
      <c r="A41" s="16" t="s">
        <v>68</v>
      </c>
      <c r="B41" s="17">
        <v>83.7083090984628</v>
      </c>
      <c r="C41" s="18">
        <v>57.85076859160781</v>
      </c>
      <c r="D41" s="17">
        <v>123.5902783547985</v>
      </c>
      <c r="E41" s="10">
        <f>(B41/100000)*'Birth Pop per Year'!C41</f>
        <v>1.858324462</v>
      </c>
      <c r="F41" s="8">
        <f>(C41/100000)*'Birth Pop per Year'!G41</f>
        <v>1.291807663</v>
      </c>
      <c r="G41" s="8">
        <f>(D41/100000)*'Birth Pop per Year'!C41</f>
        <v>2.743704179</v>
      </c>
      <c r="H41" s="8">
        <f>(B41/100000)*'Birth Pop per Year'!G41</f>
        <v>1.869206542</v>
      </c>
      <c r="I41" s="8">
        <f>(C41/100000)*'Birth Pop per Year'!G41</f>
        <v>1.291807663</v>
      </c>
      <c r="J41" s="8">
        <f>(D41/100000)*'Birth Pop per Year'!G41</f>
        <v>2.759770916</v>
      </c>
      <c r="K41" s="8">
        <f>(B41/100000)*'Birth Pop per Year'!K41</f>
        <v>1.628963695</v>
      </c>
      <c r="L41" s="34">
        <f>(C41/100000)*'Birth Pop per Year'!K41</f>
        <v>1.125775957</v>
      </c>
      <c r="M41" s="34">
        <f>(D41/100000)*'Birth Pop per Year'!K41</f>
        <v>2.405066817</v>
      </c>
      <c r="N41" s="35" t="str">
        <f t="shared" si="1"/>
        <v>84 (58-124)</v>
      </c>
      <c r="O41" s="37">
        <f>1067+1153</f>
        <v>2220</v>
      </c>
      <c r="P41" s="35" t="str">
        <f t="shared" si="2"/>
        <v>2 (1-3)</v>
      </c>
      <c r="Q41" s="37">
        <f>1073+1160</f>
        <v>2233</v>
      </c>
      <c r="R41" s="35" t="str">
        <f t="shared" si="3"/>
        <v>2 (1-3)</v>
      </c>
      <c r="S41" s="37">
        <f>935+1011</f>
        <v>1946</v>
      </c>
      <c r="T41" s="35" t="str">
        <f t="shared" si="4"/>
        <v>2 (1-2)</v>
      </c>
    </row>
    <row r="42">
      <c r="A42" s="16" t="s">
        <v>69</v>
      </c>
      <c r="B42" s="17">
        <v>67.03537414965986</v>
      </c>
      <c r="C42" s="18">
        <v>47.15591836734694</v>
      </c>
      <c r="D42" s="17">
        <v>98.47265306122449</v>
      </c>
      <c r="E42" s="10">
        <f>(B42/100000)*'Birth Pop per Year'!C42</f>
        <v>0.1119490748</v>
      </c>
      <c r="F42" s="8">
        <f>(C42/100000)*'Birth Pop per Year'!G42</f>
        <v>0.0867668898</v>
      </c>
      <c r="G42" s="8">
        <f>(D42/100000)*'Birth Pop per Year'!C42</f>
        <v>0.1644493306</v>
      </c>
      <c r="H42" s="8">
        <f>(B42/100000)*'Birth Pop per Year'!G42</f>
        <v>0.1233450884</v>
      </c>
      <c r="I42" s="8">
        <f>(C42/100000)*'Birth Pop per Year'!G42</f>
        <v>0.0867668898</v>
      </c>
      <c r="J42" s="8">
        <f>(D42/100000)*'Birth Pop per Year'!G42</f>
        <v>0.1811896816</v>
      </c>
      <c r="K42" s="8">
        <f>(B42/100000)*'Birth Pop per Year'!K42</f>
        <v>0.1246857959</v>
      </c>
      <c r="L42" s="34">
        <f>(C42/100000)*'Birth Pop per Year'!K42</f>
        <v>0.08771000816</v>
      </c>
      <c r="M42" s="34">
        <f>(D42/100000)*'Birth Pop per Year'!K42</f>
        <v>0.1831591347</v>
      </c>
      <c r="N42" s="35" t="str">
        <f t="shared" si="1"/>
        <v>67 (47-98)</v>
      </c>
      <c r="O42" s="37">
        <f>81+86</f>
        <v>167</v>
      </c>
      <c r="P42" s="35" t="str">
        <f t="shared" si="2"/>
        <v>0 (0-0)</v>
      </c>
      <c r="Q42" s="37">
        <f>89+95</f>
        <v>184</v>
      </c>
      <c r="R42" s="35" t="str">
        <f t="shared" si="3"/>
        <v>0 (0-0)</v>
      </c>
      <c r="S42" s="37">
        <f>90+96</f>
        <v>186</v>
      </c>
      <c r="T42" s="35" t="str">
        <f t="shared" si="4"/>
        <v>0 (0-0)</v>
      </c>
    </row>
    <row r="43">
      <c r="A43" s="16" t="s">
        <v>70</v>
      </c>
      <c r="B43" s="17">
        <v>63.71167940227543</v>
      </c>
      <c r="C43" s="18">
        <v>45.706204788588906</v>
      </c>
      <c r="D43" s="17">
        <v>90.37363219561894</v>
      </c>
      <c r="E43" s="10">
        <f>(B43/100000)*'Birth Pop per Year'!C43</f>
        <v>6.0016402</v>
      </c>
      <c r="F43" s="8">
        <f>(C43/100000)*'Birth Pop per Year'!G43</f>
        <v>4.944040172</v>
      </c>
      <c r="G43" s="8">
        <f>(D43/100000)*'Birth Pop per Year'!C43</f>
        <v>8.513196153</v>
      </c>
      <c r="H43" s="8">
        <f>(B43/100000)*'Birth Pop per Year'!G43</f>
        <v>6.891692361</v>
      </c>
      <c r="I43" s="8">
        <f>(C43/100000)*'Birth Pop per Year'!G43</f>
        <v>4.944040172</v>
      </c>
      <c r="J43" s="8">
        <f>(D43/100000)*'Birth Pop per Year'!G43</f>
        <v>9.775715795</v>
      </c>
      <c r="K43" s="8">
        <f>(B43/100000)*'Birth Pop per Year'!K43</f>
        <v>7.295624408</v>
      </c>
      <c r="L43" s="34">
        <f>(C43/100000)*'Birth Pop per Year'!K43</f>
        <v>5.23381751</v>
      </c>
      <c r="M43" s="34">
        <f>(D43/100000)*'Birth Pop per Year'!K43</f>
        <v>10.34868462</v>
      </c>
      <c r="N43" s="35" t="str">
        <f t="shared" si="1"/>
        <v>64 (46-90)</v>
      </c>
      <c r="O43" s="37">
        <f>4557+4863</f>
        <v>9420</v>
      </c>
      <c r="P43" s="35" t="str">
        <f t="shared" si="2"/>
        <v>6 (5-9)</v>
      </c>
      <c r="Q43" s="37">
        <f>5233+5584</f>
        <v>10817</v>
      </c>
      <c r="R43" s="35" t="str">
        <f t="shared" si="3"/>
        <v>7 (5-10)</v>
      </c>
      <c r="S43" s="37">
        <f>5538+5913</f>
        <v>11451</v>
      </c>
      <c r="T43" s="35" t="str">
        <f t="shared" si="4"/>
        <v>7 (5-10)</v>
      </c>
    </row>
    <row r="44">
      <c r="A44" s="16" t="s">
        <v>71</v>
      </c>
      <c r="B44" s="17">
        <v>139.0546219634743</v>
      </c>
      <c r="C44" s="18">
        <v>98.26526618752186</v>
      </c>
      <c r="D44" s="17">
        <v>184.94264721142085</v>
      </c>
      <c r="E44" s="10">
        <f>(B44/100000)*'Birth Pop per Year'!C44</f>
        <v>473.7980323</v>
      </c>
      <c r="F44" s="8">
        <f>(C44/100000)*'Birth Pop per Year'!G44</f>
        <v>332.0717446</v>
      </c>
      <c r="G44" s="8">
        <f>(D44/100000)*'Birth Pop per Year'!C44</f>
        <v>630.151383</v>
      </c>
      <c r="H44" s="8">
        <f>(B44/100000)*'Birth Pop per Year'!G44</f>
        <v>469.9128462</v>
      </c>
      <c r="I44" s="8">
        <f>(C44/100000)*'Birth Pop per Year'!G44</f>
        <v>332.0717446</v>
      </c>
      <c r="J44" s="8">
        <f>(D44/100000)*'Birth Pop per Year'!G44</f>
        <v>624.9840854</v>
      </c>
      <c r="K44" s="8">
        <f>(B44/100000)*'Birth Pop per Year'!K44</f>
        <v>453.1442493</v>
      </c>
      <c r="L44" s="34">
        <f>(C44/100000)*'Birth Pop per Year'!K44</f>
        <v>320.2219362</v>
      </c>
      <c r="M44" s="34">
        <f>(D44/100000)*'Birth Pop per Year'!K44</f>
        <v>602.6818516</v>
      </c>
      <c r="N44" s="35" t="str">
        <f t="shared" si="1"/>
        <v>139 (98-185)</v>
      </c>
      <c r="O44" s="37">
        <f>166409+174319</f>
        <v>340728</v>
      </c>
      <c r="P44" s="35" t="str">
        <f t="shared" si="2"/>
        <v>474 (332-630)</v>
      </c>
      <c r="Q44" s="37">
        <f>165065+172869</f>
        <v>337934</v>
      </c>
      <c r="R44" s="35" t="str">
        <f t="shared" si="3"/>
        <v>470 (332-625)</v>
      </c>
      <c r="S44" s="37">
        <f>159119+166756</f>
        <v>325875</v>
      </c>
      <c r="T44" s="35" t="str">
        <f t="shared" si="4"/>
        <v>453 (320-603)</v>
      </c>
    </row>
    <row r="45">
      <c r="A45" s="16" t="s">
        <v>72</v>
      </c>
      <c r="B45" s="17">
        <v>123.9782717483722</v>
      </c>
      <c r="C45" s="18">
        <v>86.96983242049991</v>
      </c>
      <c r="D45" s="17">
        <v>164.68755500903177</v>
      </c>
      <c r="E45" s="10">
        <f>(B45/100000)*'Birth Pop per Year'!C45</f>
        <v>5325.548652</v>
      </c>
      <c r="F45" s="8">
        <f>(C45/100000)*'Birth Pop per Year'!G45</f>
        <v>3670.454804</v>
      </c>
      <c r="G45" s="8">
        <f>(D45/100000)*'Birth Pop per Year'!C45</f>
        <v>7074.236269</v>
      </c>
      <c r="H45" s="8">
        <f>(B45/100000)*'Birth Pop per Year'!G45</f>
        <v>5232.350466</v>
      </c>
      <c r="I45" s="8">
        <f>(C45/100000)*'Birth Pop per Year'!G45</f>
        <v>3670.454804</v>
      </c>
      <c r="J45" s="8">
        <f>(D45/100000)*'Birth Pop per Year'!G45</f>
        <v>6950.435693</v>
      </c>
      <c r="K45" s="8">
        <f>(B45/100000)*'Birth Pop per Year'!K45</f>
        <v>4857.021126</v>
      </c>
      <c r="L45" s="34">
        <f>(C45/100000)*'Birth Pop per Year'!K45</f>
        <v>3407.164073</v>
      </c>
      <c r="M45" s="34">
        <f>(D45/100000)*'Birth Pop per Year'!K45</f>
        <v>6451.863883</v>
      </c>
      <c r="N45" s="35" t="str">
        <f t="shared" si="1"/>
        <v>124 (87-165)</v>
      </c>
      <c r="O45" s="37">
        <f>2088480+2207070</f>
        <v>4295550</v>
      </c>
      <c r="P45" s="35" t="str">
        <f t="shared" si="2"/>
        <v>5,326 (3,670-7,074)</v>
      </c>
      <c r="Q45" s="37">
        <f>2051654+2168723</f>
        <v>4220377</v>
      </c>
      <c r="R45" s="35" t="str">
        <f t="shared" si="3"/>
        <v>5,232 (3,670-6,950)</v>
      </c>
      <c r="S45" s="37">
        <f>1903823+2013816</f>
        <v>3917639</v>
      </c>
      <c r="T45" s="35" t="str">
        <f t="shared" si="4"/>
        <v>4,857 (3,407-6,452)</v>
      </c>
    </row>
    <row r="46">
      <c r="A46" s="16" t="s">
        <v>73</v>
      </c>
      <c r="B46" s="17">
        <v>183.32642935203958</v>
      </c>
      <c r="C46" s="18">
        <v>131.3452645737397</v>
      </c>
      <c r="D46" s="17">
        <v>245.98229761159737</v>
      </c>
      <c r="E46" s="10">
        <f>(B46/100000)*'Birth Pop per Year'!C46</f>
        <v>278.6213406</v>
      </c>
      <c r="F46" s="8">
        <f>(C46/100000)*'Birth Pop per Year'!G46</f>
        <v>189.9160584</v>
      </c>
      <c r="G46" s="8">
        <f>(D46/100000)*'Birth Pop per Year'!C46</f>
        <v>373.8463557</v>
      </c>
      <c r="H46" s="8">
        <f>(B46/100000)*'Birth Pop per Year'!G46</f>
        <v>265.077184</v>
      </c>
      <c r="I46" s="8">
        <f>(C46/100000)*'Birth Pop per Year'!G46</f>
        <v>189.9160584</v>
      </c>
      <c r="J46" s="8">
        <f>(D46/100000)*'Birth Pop per Year'!G46</f>
        <v>355.6731836</v>
      </c>
      <c r="K46" s="8">
        <f>(B46/100000)*'Birth Pop per Year'!K46</f>
        <v>246.2092279</v>
      </c>
      <c r="L46" s="34">
        <f>(C46/100000)*'Birth Pop per Year'!K46</f>
        <v>176.3980038</v>
      </c>
      <c r="M46" s="34">
        <f>(D46/100000)*'Birth Pop per Year'!K46</f>
        <v>330.3566855</v>
      </c>
      <c r="N46" s="35" t="str">
        <f t="shared" si="1"/>
        <v>183 (131-246)</v>
      </c>
      <c r="O46" s="37">
        <f>74289+77692</f>
        <v>151981</v>
      </c>
      <c r="P46" s="35" t="str">
        <f t="shared" si="2"/>
        <v>279 (190-374)</v>
      </c>
      <c r="Q46" s="37">
        <f>70674+73919</f>
        <v>144593</v>
      </c>
      <c r="R46" s="35" t="str">
        <f t="shared" si="3"/>
        <v>265 (190-356)</v>
      </c>
      <c r="S46" s="37">
        <f>65617+68684</f>
        <v>134301</v>
      </c>
      <c r="T46" s="35" t="str">
        <f t="shared" si="4"/>
        <v>246 (176-330)</v>
      </c>
    </row>
    <row r="47">
      <c r="A47" s="16" t="s">
        <v>74</v>
      </c>
      <c r="B47" s="17">
        <v>202.13066264119635</v>
      </c>
      <c r="C47" s="18">
        <v>146.2051828590472</v>
      </c>
      <c r="D47" s="17">
        <v>260.4529486997234</v>
      </c>
      <c r="E47" s="10">
        <f>(B47/100000)*'Birth Pop per Year'!C47</f>
        <v>909.1635075</v>
      </c>
      <c r="F47" s="8">
        <f>(C47/100000)*'Birth Pop per Year'!G47</f>
        <v>684.1715393</v>
      </c>
      <c r="G47" s="8">
        <f>(D47/100000)*'Birth Pop per Year'!C47</f>
        <v>1171.491318</v>
      </c>
      <c r="H47" s="8">
        <f>(B47/100000)*'Birth Pop per Year'!G47</f>
        <v>945.8764997</v>
      </c>
      <c r="I47" s="8">
        <f>(C47/100000)*'Birth Pop per Year'!G47</f>
        <v>684.1715393</v>
      </c>
      <c r="J47" s="8">
        <f>(D47/100000)*'Birth Pop per Year'!G47</f>
        <v>1218.797387</v>
      </c>
      <c r="K47" s="8">
        <f>(B47/100000)*'Birth Pop per Year'!K47</f>
        <v>903.3785279</v>
      </c>
      <c r="L47" s="34">
        <f>(C47/100000)*'Birth Pop per Year'!K47</f>
        <v>653.4318996</v>
      </c>
      <c r="M47" s="34">
        <f>(D47/100000)*'Birth Pop per Year'!K47</f>
        <v>1164.037155</v>
      </c>
      <c r="N47" s="35" t="str">
        <f t="shared" si="1"/>
        <v>202 (146-260)</v>
      </c>
      <c r="O47" s="37">
        <f>218041+231749</f>
        <v>449790</v>
      </c>
      <c r="P47" s="35" t="str">
        <f t="shared" si="2"/>
        <v>909 (684-1,171)</v>
      </c>
      <c r="Q47" s="37">
        <f>226893+241060</f>
        <v>467953</v>
      </c>
      <c r="R47" s="35" t="str">
        <f t="shared" si="3"/>
        <v>946 (684-1,219)</v>
      </c>
      <c r="S47" s="37">
        <f>216713+230215</f>
        <v>446928</v>
      </c>
      <c r="T47" s="35" t="str">
        <f t="shared" si="4"/>
        <v>903 (653-1,164)</v>
      </c>
    </row>
    <row r="48">
      <c r="A48" s="16" t="s">
        <v>75</v>
      </c>
      <c r="B48" s="17">
        <v>137.70865373598494</v>
      </c>
      <c r="C48" s="18">
        <v>93.7770586791063</v>
      </c>
      <c r="D48" s="17">
        <v>187.5541173582126</v>
      </c>
      <c r="E48" s="10">
        <f>(B48/100000)*'Birth Pop per Year'!C48</f>
        <v>6.598998687</v>
      </c>
      <c r="F48" s="8">
        <f>(C48/100000)*'Birth Pop per Year'!G48</f>
        <v>4.745119169</v>
      </c>
      <c r="G48" s="8">
        <f>(D48/100000)*'Birth Pop per Year'!C48</f>
        <v>8.987593304</v>
      </c>
      <c r="H48" s="8">
        <f>(B48/100000)*'Birth Pop per Year'!G48</f>
        <v>6.968057879</v>
      </c>
      <c r="I48" s="8">
        <f>(C48/100000)*'Birth Pop per Year'!G48</f>
        <v>4.745119169</v>
      </c>
      <c r="J48" s="8">
        <f>(D48/100000)*'Birth Pop per Year'!G48</f>
        <v>9.490238338</v>
      </c>
      <c r="K48" s="8">
        <f>(B48/100000)*'Birth Pop per Year'!K48</f>
        <v>7.297181561</v>
      </c>
      <c r="L48" s="34">
        <f>(C48/100000)*'Birth Pop per Year'!K48</f>
        <v>4.969246339</v>
      </c>
      <c r="M48" s="34">
        <f>(D48/100000)*'Birth Pop per Year'!K48</f>
        <v>9.938492679</v>
      </c>
      <c r="N48" s="35" t="str">
        <f t="shared" si="1"/>
        <v>138 (94-188)</v>
      </c>
      <c r="O48" s="37">
        <f>2341+2451</f>
        <v>4792</v>
      </c>
      <c r="P48" s="35" t="str">
        <f t="shared" si="2"/>
        <v>7 (5-9)</v>
      </c>
      <c r="Q48" s="37">
        <f>2468+2592</f>
        <v>5060</v>
      </c>
      <c r="R48" s="35" t="str">
        <f t="shared" si="3"/>
        <v>7 (5-9)</v>
      </c>
      <c r="S48" s="37">
        <f>2584+2715</f>
        <v>5299</v>
      </c>
      <c r="T48" s="35" t="str">
        <f t="shared" si="4"/>
        <v>7 (5-10)</v>
      </c>
    </row>
    <row r="49">
      <c r="A49" s="16" t="s">
        <v>76</v>
      </c>
      <c r="B49" s="17">
        <v>101.64825814737519</v>
      </c>
      <c r="C49" s="18">
        <v>64.03840263284636</v>
      </c>
      <c r="D49" s="17">
        <v>152.47238722106277</v>
      </c>
      <c r="E49" s="10">
        <f>(B49/100000)*'Birth Pop per Year'!C49</f>
        <v>10.82147356</v>
      </c>
      <c r="F49" s="8">
        <f>(C49/100000)*'Birth Pop per Year'!G49</f>
        <v>5.933158004</v>
      </c>
      <c r="G49" s="8">
        <f>(D49/100000)*'Birth Pop per Year'!C49</f>
        <v>16.23221034</v>
      </c>
      <c r="H49" s="8">
        <f>(B49/100000)*'Birth Pop per Year'!G49</f>
        <v>9.417711117</v>
      </c>
      <c r="I49" s="8">
        <f>(C49/100000)*'Birth Pop per Year'!G49</f>
        <v>5.933158004</v>
      </c>
      <c r="J49" s="8">
        <f>(D49/100000)*'Birth Pop per Year'!G49</f>
        <v>14.12656668</v>
      </c>
      <c r="K49" s="8">
        <f>(B49/100000)*'Birth Pop per Year'!K49</f>
        <v>7.465048078</v>
      </c>
      <c r="L49" s="34">
        <f>(C49/100000)*'Birth Pop per Year'!K49</f>
        <v>4.702980289</v>
      </c>
      <c r="M49" s="34">
        <f>(D49/100000)*'Birth Pop per Year'!K49</f>
        <v>11.19757212</v>
      </c>
      <c r="N49" s="35" t="str">
        <f t="shared" si="1"/>
        <v>102 (64-152)</v>
      </c>
      <c r="O49" s="37">
        <f>5236+5410</f>
        <v>10646</v>
      </c>
      <c r="P49" s="35" t="str">
        <f t="shared" si="2"/>
        <v>11 (6-16)</v>
      </c>
      <c r="Q49" s="37">
        <f>4555+4710</f>
        <v>9265</v>
      </c>
      <c r="R49" s="35" t="str">
        <f t="shared" si="3"/>
        <v>9 (6-14)</v>
      </c>
      <c r="S49" s="37">
        <f>3610+3734</f>
        <v>7344</v>
      </c>
      <c r="T49" s="35" t="str">
        <f t="shared" si="4"/>
        <v>7 (5-11)</v>
      </c>
    </row>
    <row r="50">
      <c r="A50" s="16" t="s">
        <v>77</v>
      </c>
      <c r="B50" s="17">
        <v>182.12701873497008</v>
      </c>
      <c r="C50" s="18">
        <v>127.78748199765116</v>
      </c>
      <c r="D50" s="17">
        <v>240.64651983669822</v>
      </c>
      <c r="E50" s="10">
        <f>(B50/100000)*'Birth Pop per Year'!C50</f>
        <v>1512.096824</v>
      </c>
      <c r="F50" s="8">
        <f>(C50/100000)*'Birth Pop per Year'!G50</f>
        <v>989.0342187</v>
      </c>
      <c r="G50" s="8">
        <f>(D50/100000)*'Birth Pop per Year'!C50</f>
        <v>1997.950886</v>
      </c>
      <c r="H50" s="8">
        <f>(B50/100000)*'Birth Pop per Year'!G50</f>
        <v>1409.604844</v>
      </c>
      <c r="I50" s="8">
        <f>(C50/100000)*'Birth Pop per Year'!G50</f>
        <v>989.0342187</v>
      </c>
      <c r="J50" s="8">
        <f>(D50/100000)*'Birth Pop per Year'!G50</f>
        <v>1862.527057</v>
      </c>
      <c r="K50" s="8">
        <f>(B50/100000)*'Birth Pop per Year'!K50</f>
        <v>1317.226378</v>
      </c>
      <c r="L50" s="34">
        <f>(C50/100000)*'Birth Pop per Year'!K50</f>
        <v>924.217852</v>
      </c>
      <c r="M50" s="34">
        <f>(D50/100000)*'Birth Pop per Year'!K50</f>
        <v>1740.466329</v>
      </c>
      <c r="N50" s="35" t="str">
        <f t="shared" si="1"/>
        <v>182 (128-241)</v>
      </c>
      <c r="O50" s="37">
        <f>403697+426546</f>
        <v>830243</v>
      </c>
      <c r="P50" s="35" t="str">
        <f t="shared" si="2"/>
        <v>1,512 (989-1,998)</v>
      </c>
      <c r="Q50" s="37">
        <f>376481+397487</f>
        <v>773968</v>
      </c>
      <c r="R50" s="35" t="str">
        <f t="shared" si="3"/>
        <v>1,410 (989-1,863)</v>
      </c>
      <c r="S50" s="37">
        <f>351761+371485</f>
        <v>723246</v>
      </c>
      <c r="T50" s="35" t="str">
        <f t="shared" si="4"/>
        <v>1,317 (924-1,740)</v>
      </c>
    </row>
    <row r="51">
      <c r="A51" s="16" t="s">
        <v>78</v>
      </c>
      <c r="B51" s="17">
        <v>160.1939952023524</v>
      </c>
      <c r="C51" s="18">
        <v>118.13534009131007</v>
      </c>
      <c r="D51" s="17">
        <v>207.20072738528205</v>
      </c>
      <c r="E51" s="10">
        <f>(B51/100000)*'Birth Pop per Year'!C51</f>
        <v>2957.818724</v>
      </c>
      <c r="F51" s="8">
        <f>(C51/100000)*'Birth Pop per Year'!G51</f>
        <v>2181.92311</v>
      </c>
      <c r="G51" s="8">
        <f>(D51/100000)*'Birth Pop per Year'!C51</f>
        <v>3825.750086</v>
      </c>
      <c r="H51" s="8">
        <f>(B51/100000)*'Birth Pop per Year'!G51</f>
        <v>2958.733431</v>
      </c>
      <c r="I51" s="8">
        <f>(C51/100000)*'Birth Pop per Year'!G51</f>
        <v>2181.92311</v>
      </c>
      <c r="J51" s="8">
        <f>(D51/100000)*'Birth Pop per Year'!G51</f>
        <v>3826.933203</v>
      </c>
      <c r="K51" s="8">
        <f>(B51/100000)*'Birth Pop per Year'!K51</f>
        <v>2600.42592</v>
      </c>
      <c r="L51" s="34">
        <f>(C51/100000)*'Birth Pop per Year'!K51</f>
        <v>1917.688613</v>
      </c>
      <c r="M51" s="34">
        <f>(D51/100000)*'Birth Pop per Year'!K51</f>
        <v>3363.485264</v>
      </c>
      <c r="N51" s="35" t="str">
        <f t="shared" si="1"/>
        <v>160 (118-207)</v>
      </c>
      <c r="O51" s="37">
        <f>891055+955343</f>
        <v>1846398</v>
      </c>
      <c r="P51" s="35" t="str">
        <f t="shared" si="2"/>
        <v>2,958 (2,182-3,826)</v>
      </c>
      <c r="Q51" s="37">
        <f>891920+955049</f>
        <v>1846969</v>
      </c>
      <c r="R51" s="35" t="str">
        <f t="shared" si="3"/>
        <v>2,959 (2,182-3,827)</v>
      </c>
      <c r="S51" s="37">
        <f>783838+839460</f>
        <v>1623298</v>
      </c>
      <c r="T51" s="35" t="str">
        <f t="shared" si="4"/>
        <v>2,600 (1,918-3,363)</v>
      </c>
    </row>
    <row r="52">
      <c r="A52" s="16" t="s">
        <v>79</v>
      </c>
      <c r="B52" s="17">
        <v>132.4548408710218</v>
      </c>
      <c r="C52" s="18">
        <v>94.76894472361809</v>
      </c>
      <c r="D52" s="17">
        <v>170.69494137353433</v>
      </c>
      <c r="E52" s="10">
        <f>(B52/100000)*'Birth Pop per Year'!C52</f>
        <v>2.341801587</v>
      </c>
      <c r="F52" s="8">
        <f>(C52/100000)*'Birth Pop per Year'!G52</f>
        <v>1.480290917</v>
      </c>
      <c r="G52" s="8">
        <f>(D52/100000)*'Birth Pop per Year'!C52</f>
        <v>3.017886563</v>
      </c>
      <c r="H52" s="8">
        <f>(B52/100000)*'Birth Pop per Year'!G52</f>
        <v>2.068944614</v>
      </c>
      <c r="I52" s="8">
        <f>(C52/100000)*'Birth Pop per Year'!G52</f>
        <v>1.480290917</v>
      </c>
      <c r="J52" s="8">
        <f>(D52/100000)*'Birth Pop per Year'!G52</f>
        <v>2.666254984</v>
      </c>
      <c r="K52" s="8">
        <f>(B52/100000)*'Birth Pop per Year'!K52</f>
        <v>2.015962678</v>
      </c>
      <c r="L52" s="34">
        <f>(C52/100000)*'Birth Pop per Year'!K52</f>
        <v>1.442383339</v>
      </c>
      <c r="M52" s="34">
        <f>(D52/100000)*'Birth Pop per Year'!K52</f>
        <v>2.597977008</v>
      </c>
      <c r="N52" s="35" t="str">
        <f t="shared" si="1"/>
        <v>132 (95-171)</v>
      </c>
      <c r="O52" s="37">
        <f>869+899</f>
        <v>1768</v>
      </c>
      <c r="P52" s="35" t="str">
        <f t="shared" si="2"/>
        <v>2 (1-3)</v>
      </c>
      <c r="Q52" s="37">
        <f>768+794</f>
        <v>1562</v>
      </c>
      <c r="R52" s="35" t="str">
        <f t="shared" si="3"/>
        <v>2 (1-3)</v>
      </c>
      <c r="S52" s="37">
        <f>748+774</f>
        <v>1522</v>
      </c>
      <c r="T52" s="35" t="str">
        <f t="shared" si="4"/>
        <v>2 (1-3)</v>
      </c>
    </row>
    <row r="53">
      <c r="A53" s="16" t="s">
        <v>80</v>
      </c>
      <c r="B53" s="17">
        <v>123.0250480519877</v>
      </c>
      <c r="C53" s="18">
        <v>84.4952253104311</v>
      </c>
      <c r="D53" s="17">
        <v>168.31448881837878</v>
      </c>
      <c r="E53" s="10">
        <f>(B53/100000)*'Birth Pop per Year'!C53</f>
        <v>380.9249168</v>
      </c>
      <c r="F53" s="8">
        <f>(C53/100000)*'Birth Pop per Year'!G53</f>
        <v>252.4244159</v>
      </c>
      <c r="G53" s="8">
        <f>(D53/100000)*'Birth Pop per Year'!C53</f>
        <v>521.155518</v>
      </c>
      <c r="H53" s="8">
        <f>(B53/100000)*'Birth Pop per Year'!G53</f>
        <v>367.5299496</v>
      </c>
      <c r="I53" s="8">
        <f>(C53/100000)*'Birth Pop per Year'!G53</f>
        <v>252.4244159</v>
      </c>
      <c r="J53" s="8">
        <f>(D53/100000)*'Birth Pop per Year'!G53</f>
        <v>502.8294365</v>
      </c>
      <c r="K53" s="8">
        <f>(B53/100000)*'Birth Pop per Year'!K53</f>
        <v>332.0187694</v>
      </c>
      <c r="L53" s="34">
        <f>(C53/100000)*'Birth Pop per Year'!K53</f>
        <v>228.0348691</v>
      </c>
      <c r="M53" s="34">
        <f>(D53/100000)*'Birth Pop per Year'!K53</f>
        <v>454.2454593</v>
      </c>
      <c r="N53" s="35" t="str">
        <f t="shared" si="1"/>
        <v>123 (84-168)</v>
      </c>
      <c r="O53" s="37">
        <f>151535+158097</f>
        <v>309632</v>
      </c>
      <c r="P53" s="35" t="str">
        <f t="shared" si="2"/>
        <v>381 (252-521)</v>
      </c>
      <c r="Q53" s="37">
        <f>146180+152564</f>
        <v>298744</v>
      </c>
      <c r="R53" s="35" t="str">
        <f t="shared" si="3"/>
        <v>368 (252-503)</v>
      </c>
      <c r="S53" s="37">
        <f>132035+137844</f>
        <v>269879</v>
      </c>
      <c r="T53" s="35" t="str">
        <f t="shared" si="4"/>
        <v>332 (228-454)</v>
      </c>
    </row>
    <row r="54">
      <c r="A54" s="16" t="s">
        <v>81</v>
      </c>
      <c r="B54" s="17">
        <v>160.1735307082129</v>
      </c>
      <c r="C54" s="18">
        <v>112.5857425992511</v>
      </c>
      <c r="D54" s="17">
        <v>219.36809640472634</v>
      </c>
      <c r="E54" s="10">
        <f>(B54/100000)*'Birth Pop per Year'!C54</f>
        <v>882.9421724</v>
      </c>
      <c r="F54" s="8">
        <f>(C54/100000)*'Birth Pop per Year'!G54</f>
        <v>585.7442137</v>
      </c>
      <c r="G54" s="8">
        <f>(D54/100000)*'Birth Pop per Year'!C54</f>
        <v>1209.246888</v>
      </c>
      <c r="H54" s="8">
        <f>(B54/100000)*'Birth Pop per Year'!G54</f>
        <v>833.3268195</v>
      </c>
      <c r="I54" s="8">
        <f>(C54/100000)*'Birth Pop per Year'!G54</f>
        <v>585.7442137</v>
      </c>
      <c r="J54" s="8">
        <f>(D54/100000)*'Birth Pop per Year'!G54</f>
        <v>1141.295427</v>
      </c>
      <c r="K54" s="8">
        <f>(B54/100000)*'Birth Pop per Year'!K54</f>
        <v>743.7577812</v>
      </c>
      <c r="L54" s="34">
        <f>(C54/100000)*'Birth Pop per Year'!K54</f>
        <v>522.7862665</v>
      </c>
      <c r="M54" s="34">
        <f>(D54/100000)*'Birth Pop per Year'!K54</f>
        <v>1018.624787</v>
      </c>
      <c r="N54" s="35" t="str">
        <f t="shared" si="1"/>
        <v>160 (113-219)</v>
      </c>
      <c r="O54" s="37">
        <f>267201+284040</f>
        <v>551241</v>
      </c>
      <c r="P54" s="35" t="str">
        <f t="shared" si="2"/>
        <v>883 (586-1,209)</v>
      </c>
      <c r="Q54" s="37">
        <f>252144+268121</f>
        <v>520265</v>
      </c>
      <c r="R54" s="35" t="str">
        <f t="shared" si="3"/>
        <v>833 (586-1,141)</v>
      </c>
      <c r="S54" s="37">
        <f>225017+239328</f>
        <v>464345</v>
      </c>
      <c r="T54" s="35" t="str">
        <f t="shared" si="4"/>
        <v>744 (523-1,019)</v>
      </c>
    </row>
    <row r="55">
      <c r="A55" s="16" t="s">
        <v>82</v>
      </c>
      <c r="B55" s="17">
        <v>191.40930535821414</v>
      </c>
      <c r="C55" s="18">
        <v>136.41643143569826</v>
      </c>
      <c r="D55" s="17">
        <v>257.05971298664394</v>
      </c>
      <c r="E55" s="10">
        <f>(B55/100000)*'Birth Pop per Year'!C55</f>
        <v>58.49659781</v>
      </c>
      <c r="F55" s="8">
        <f>(C55/100000)*'Birth Pop per Year'!G55</f>
        <v>41.19776229</v>
      </c>
      <c r="G55" s="8">
        <f>(D55/100000)*'Birth Pop per Year'!C55</f>
        <v>78.56001889</v>
      </c>
      <c r="H55" s="8">
        <f>(B55/100000)*'Birth Pop per Year'!G55</f>
        <v>57.80561022</v>
      </c>
      <c r="I55" s="8">
        <f>(C55/100000)*'Birth Pop per Year'!G55</f>
        <v>41.19776229</v>
      </c>
      <c r="J55" s="8">
        <f>(D55/100000)*'Birth Pop per Year'!G55</f>
        <v>77.63203332</v>
      </c>
      <c r="K55" s="8">
        <f>(B55/100000)*'Birth Pop per Year'!K55</f>
        <v>52.63947307</v>
      </c>
      <c r="L55" s="34">
        <f>(C55/100000)*'Birth Pop per Year'!K55</f>
        <v>37.51588281</v>
      </c>
      <c r="M55" s="34">
        <f>(D55/100000)*'Birth Pop per Year'!K55</f>
        <v>70.69399167</v>
      </c>
      <c r="N55" s="35" t="str">
        <f t="shared" si="1"/>
        <v>191 (136-257)</v>
      </c>
      <c r="O55" s="37">
        <f>14810+15751</f>
        <v>30561</v>
      </c>
      <c r="P55" s="35" t="str">
        <f t="shared" si="2"/>
        <v>58 (41-79)</v>
      </c>
      <c r="Q55" s="37">
        <f>14638+15562</f>
        <v>30200</v>
      </c>
      <c r="R55" s="35" t="str">
        <f t="shared" si="3"/>
        <v>58 (41-78)</v>
      </c>
      <c r="S55" s="37">
        <f>13328+14173</f>
        <v>27501</v>
      </c>
      <c r="T55" s="35" t="str">
        <f t="shared" si="4"/>
        <v>53 (38-71)</v>
      </c>
    </row>
    <row r="56">
      <c r="A56" s="16" t="s">
        <v>83</v>
      </c>
      <c r="B56" s="17">
        <v>89.75006295834825</v>
      </c>
      <c r="C56" s="18">
        <v>65.95269777999833</v>
      </c>
      <c r="D56" s="17">
        <v>115.58720229484244</v>
      </c>
      <c r="E56" s="10">
        <f>(B56/100000)*'Birth Pop per Year'!C56</f>
        <v>1130.585133</v>
      </c>
      <c r="F56" s="8">
        <f>(C56/100000)*'Birth Pop per Year'!G56</f>
        <v>858.3987641</v>
      </c>
      <c r="G56" s="8">
        <f>(D56/100000)*'Birth Pop per Year'!C56</f>
        <v>1456.056611</v>
      </c>
      <c r="H56" s="8">
        <f>(B56/100000)*'Birth Pop per Year'!G56</f>
        <v>1168.130277</v>
      </c>
      <c r="I56" s="8">
        <f>(C56/100000)*'Birth Pop per Year'!G56</f>
        <v>858.3987641</v>
      </c>
      <c r="J56" s="8">
        <f>(D56/100000)*'Birth Pop per Year'!G56</f>
        <v>1504.410205</v>
      </c>
      <c r="K56" s="8">
        <f>(B56/100000)*'Birth Pop per Year'!K56</f>
        <v>1029.349755</v>
      </c>
      <c r="L56" s="34">
        <f>(C56/100000)*'Birth Pop per Year'!K56</f>
        <v>756.4161075</v>
      </c>
      <c r="M56" s="34">
        <f>(D56/100000)*'Birth Pop per Year'!K56</f>
        <v>1325.677714</v>
      </c>
      <c r="N56" s="35" t="str">
        <f t="shared" si="1"/>
        <v>90 (66-116)</v>
      </c>
      <c r="O56" s="37">
        <f>603734+655970</f>
        <v>1259704</v>
      </c>
      <c r="P56" s="35" t="str">
        <f t="shared" si="2"/>
        <v>1,131 (858-1,456)</v>
      </c>
      <c r="Q56" s="37">
        <f>629160+672377</f>
        <v>1301537</v>
      </c>
      <c r="R56" s="35" t="str">
        <f t="shared" si="3"/>
        <v>1,168 (858-1,504)</v>
      </c>
      <c r="S56" s="37">
        <f>555770+591137</f>
        <v>1146907</v>
      </c>
      <c r="T56" s="35" t="str">
        <f t="shared" si="4"/>
        <v>1,029 (756-1,326)</v>
      </c>
    </row>
    <row r="57">
      <c r="A57" s="16" t="s">
        <v>84</v>
      </c>
      <c r="B57" s="17">
        <v>119.20807421459686</v>
      </c>
      <c r="C57" s="18">
        <v>81.92153045341017</v>
      </c>
      <c r="D57" s="17">
        <v>162.21007358881215</v>
      </c>
      <c r="E57" s="10">
        <f>(B57/100000)*'Birth Pop per Year'!C57</f>
        <v>1794.832528</v>
      </c>
      <c r="F57" s="8">
        <f>(C57/100000)*'Birth Pop per Year'!G57</f>
        <v>1436.343301</v>
      </c>
      <c r="G57" s="8">
        <f>(D57/100000)*'Birth Pop per Year'!C57</f>
        <v>2442.283531</v>
      </c>
      <c r="H57" s="8">
        <f>(B57/100000)*'Birth Pop per Year'!G57</f>
        <v>2090.094238</v>
      </c>
      <c r="I57" s="8">
        <f>(C57/100000)*'Birth Pop per Year'!G57</f>
        <v>1436.343301</v>
      </c>
      <c r="J57" s="8">
        <f>(D57/100000)*'Birth Pop per Year'!G57</f>
        <v>2844.055174</v>
      </c>
      <c r="K57" s="8">
        <f>(B57/100000)*'Birth Pop per Year'!K57</f>
        <v>2322.840851</v>
      </c>
      <c r="L57" s="34">
        <f>(C57/100000)*'Birth Pop per Year'!K57</f>
        <v>1596.290174</v>
      </c>
      <c r="M57" s="34">
        <f>(D57/100000)*'Birth Pop per Year'!K57</f>
        <v>3160.76061</v>
      </c>
      <c r="N57" s="35" t="str">
        <f t="shared" si="1"/>
        <v>119 (82-162)</v>
      </c>
      <c r="O57" s="37">
        <f>745835+759795</f>
        <v>1505630</v>
      </c>
      <c r="P57" s="35" t="str">
        <f t="shared" si="2"/>
        <v>1,795 (1,436-2,442)</v>
      </c>
      <c r="Q57" s="37">
        <f>868538+884778</f>
        <v>1753316</v>
      </c>
      <c r="R57" s="35" t="str">
        <f t="shared" si="3"/>
        <v>2,090 (1,436-2,844)</v>
      </c>
      <c r="S57" s="37">
        <f>965453+983107</f>
        <v>1948560</v>
      </c>
      <c r="T57" s="35" t="str">
        <f t="shared" si="4"/>
        <v>2,323 (1,596-3,161)</v>
      </c>
    </row>
    <row r="58">
      <c r="A58" s="16" t="s">
        <v>85</v>
      </c>
      <c r="B58" s="17">
        <v>89.07125080348756</v>
      </c>
      <c r="C58" s="18">
        <v>63.072074893280366</v>
      </c>
      <c r="D58" s="17">
        <v>120.60728825012772</v>
      </c>
      <c r="E58" s="10">
        <f>(B58/100000)*'Birth Pop per Year'!C58</f>
        <v>230.6036869</v>
      </c>
      <c r="F58" s="8">
        <f>(C58/100000)*'Birth Pop per Year'!G58</f>
        <v>172.5595204</v>
      </c>
      <c r="G58" s="8">
        <f>(D58/100000)*'Birth Pop per Year'!C58</f>
        <v>312.2498571</v>
      </c>
      <c r="H58" s="8">
        <f>(B58/100000)*'Birth Pop per Year'!G58</f>
        <v>243.6909258</v>
      </c>
      <c r="I58" s="8">
        <f>(C58/100000)*'Birth Pop per Year'!G58</f>
        <v>172.5595204</v>
      </c>
      <c r="J58" s="8">
        <f>(D58/100000)*'Birth Pop per Year'!G58</f>
        <v>329.970686</v>
      </c>
      <c r="K58" s="8">
        <f>(B58/100000)*'Birth Pop per Year'!K58</f>
        <v>260.2448177</v>
      </c>
      <c r="L58" s="34">
        <f>(C58/100000)*'Birth Pop per Year'!K58</f>
        <v>184.2814655</v>
      </c>
      <c r="M58" s="34">
        <f>(D58/100000)*'Birth Pop per Year'!K58</f>
        <v>352.3855505</v>
      </c>
      <c r="N58" s="35" t="str">
        <f t="shared" si="1"/>
        <v>89 (63-121)</v>
      </c>
      <c r="O58" s="37">
        <f>127994+130904</f>
        <v>258898</v>
      </c>
      <c r="P58" s="35" t="str">
        <f t="shared" si="2"/>
        <v>231 (173-312)</v>
      </c>
      <c r="Q58" s="37">
        <f>135262+138329</f>
        <v>273591</v>
      </c>
      <c r="R58" s="35" t="str">
        <f t="shared" si="3"/>
        <v>244 (173-330)</v>
      </c>
      <c r="S58" s="37">
        <f>144435+147741</f>
        <v>292176</v>
      </c>
      <c r="T58" s="35" t="str">
        <f t="shared" si="4"/>
        <v>260 (184-352)</v>
      </c>
    </row>
    <row r="59">
      <c r="A59" s="16" t="s">
        <v>86</v>
      </c>
      <c r="B59" s="17">
        <v>80.41101452517717</v>
      </c>
      <c r="C59" s="18">
        <v>54.7058541441779</v>
      </c>
      <c r="D59" s="17">
        <v>108.75260161191991</v>
      </c>
      <c r="E59" s="10">
        <f>(B59/100000)*'Birth Pop per Year'!C59</f>
        <v>166.7354551</v>
      </c>
      <c r="F59" s="8">
        <f>(C59/100000)*'Birth Pop per Year'!G59</f>
        <v>131.126103</v>
      </c>
      <c r="G59" s="8">
        <f>(D59/100000)*'Birth Pop per Year'!C59</f>
        <v>225.5028695</v>
      </c>
      <c r="H59" s="8">
        <f>(B59/100000)*'Birth Pop per Year'!G59</f>
        <v>192.739573</v>
      </c>
      <c r="I59" s="8">
        <f>(C59/100000)*'Birth Pop per Year'!G59</f>
        <v>131.126103</v>
      </c>
      <c r="J59" s="8">
        <f>(D59/100000)*'Birth Pop per Year'!G59</f>
        <v>260.6723734</v>
      </c>
      <c r="K59" s="8">
        <f>(B59/100000)*'Birth Pop per Year'!K59</f>
        <v>207.5142929</v>
      </c>
      <c r="L59" s="34">
        <f>(C59/100000)*'Birth Pop per Year'!K59</f>
        <v>141.1777566</v>
      </c>
      <c r="M59" s="34">
        <f>(D59/100000)*'Birth Pop per Year'!K59</f>
        <v>280.6545764</v>
      </c>
      <c r="N59" s="35" t="str">
        <f t="shared" si="1"/>
        <v>80 (55-109)</v>
      </c>
      <c r="O59" s="37">
        <f>102661+104693</f>
        <v>207354</v>
      </c>
      <c r="P59" s="35" t="str">
        <f t="shared" si="2"/>
        <v>167 (131-226)</v>
      </c>
      <c r="Q59" s="37">
        <f>118693+121000</f>
        <v>239693</v>
      </c>
      <c r="R59" s="35" t="str">
        <f t="shared" si="3"/>
        <v>193 (131-261)</v>
      </c>
      <c r="S59" s="37">
        <f>127799+130268</f>
        <v>258067</v>
      </c>
      <c r="T59" s="35" t="str">
        <f t="shared" si="4"/>
        <v>208 (141-281)</v>
      </c>
    </row>
    <row r="60">
      <c r="A60" s="16" t="s">
        <v>87</v>
      </c>
      <c r="B60" s="17">
        <v>73.15555312437506</v>
      </c>
      <c r="C60" s="18">
        <v>51.713408243092715</v>
      </c>
      <c r="D60" s="17">
        <v>99.13838750992896</v>
      </c>
      <c r="E60" s="10">
        <f>(B60/100000)*'Birth Pop per Year'!C60</f>
        <v>3461.583973</v>
      </c>
      <c r="F60" s="8">
        <f>(C60/100000)*'Birth Pop per Year'!G60</f>
        <v>2776.779381</v>
      </c>
      <c r="G60" s="8">
        <f>(D60/100000)*'Birth Pop per Year'!C60</f>
        <v>4691.043108</v>
      </c>
      <c r="H60" s="8">
        <f>(B60/100000)*'Birth Pop per Year'!G60</f>
        <v>3928.126929</v>
      </c>
      <c r="I60" s="8">
        <f>(C60/100000)*'Birth Pop per Year'!G60</f>
        <v>2776.779381</v>
      </c>
      <c r="J60" s="8">
        <f>(D60/100000)*'Birth Pop per Year'!G60</f>
        <v>5323.289252</v>
      </c>
      <c r="K60" s="8">
        <f>(B60/100000)*'Birth Pop per Year'!K60</f>
        <v>4435.849877</v>
      </c>
      <c r="L60" s="34">
        <f>(C60/100000)*'Birth Pop per Year'!K60</f>
        <v>3135.686982</v>
      </c>
      <c r="M60" s="34">
        <f>(D60/100000)*'Birth Pop per Year'!K60</f>
        <v>6011.341386</v>
      </c>
      <c r="N60" s="35" t="str">
        <f t="shared" si="1"/>
        <v>73 (52-99)</v>
      </c>
      <c r="O60" s="37">
        <f>2347532+2384281</f>
        <v>4731813</v>
      </c>
      <c r="P60" s="35" t="str">
        <f t="shared" si="2"/>
        <v>3,462 (2,777-4,691)</v>
      </c>
      <c r="Q60" s="37">
        <f>2664274+2705280</f>
        <v>5369554</v>
      </c>
      <c r="R60" s="35" t="str">
        <f t="shared" si="3"/>
        <v>3,928 (2,777-5,323)</v>
      </c>
      <c r="S60" s="37">
        <f>3009396+3054190</f>
        <v>6063586</v>
      </c>
      <c r="T60" s="35" t="str">
        <f t="shared" si="4"/>
        <v>4,436 (3,136-6,011)</v>
      </c>
    </row>
    <row r="61">
      <c r="A61" s="16" t="s">
        <v>88</v>
      </c>
      <c r="B61" s="17">
        <v>105.96327896164276</v>
      </c>
      <c r="C61" s="18">
        <v>71.21004920573422</v>
      </c>
      <c r="D61" s="17">
        <v>145.48655986051915</v>
      </c>
      <c r="E61" s="10">
        <f>(B61/100000)*'Birth Pop per Year'!C61</f>
        <v>61.35485778</v>
      </c>
      <c r="F61" s="8">
        <f>(C61/100000)*'Birth Pop per Year'!G61</f>
        <v>45.94329955</v>
      </c>
      <c r="G61" s="8">
        <f>(D61/100000)*'Birth Pop per Year'!C61</f>
        <v>84.23962789</v>
      </c>
      <c r="H61" s="8">
        <f>(B61/100000)*'Birth Pop per Year'!G61</f>
        <v>68.36538832</v>
      </c>
      <c r="I61" s="8">
        <f>(C61/100000)*'Birth Pop per Year'!G61</f>
        <v>45.94329955</v>
      </c>
      <c r="J61" s="8">
        <f>(D61/100000)*'Birth Pop per Year'!G61</f>
        <v>93.86501869</v>
      </c>
      <c r="K61" s="8">
        <f>(B61/100000)*'Birth Pop per Year'!K61</f>
        <v>71.83038754</v>
      </c>
      <c r="L61" s="34">
        <f>(C61/100000)*'Birth Pop per Year'!K61</f>
        <v>48.27186816</v>
      </c>
      <c r="M61" s="34">
        <f>(D61/100000)*'Birth Pop per Year'!K61</f>
        <v>98.6224292</v>
      </c>
      <c r="N61" s="35" t="str">
        <f t="shared" si="1"/>
        <v>106 (71-145)</v>
      </c>
      <c r="O61" s="37">
        <f>28604+29298</f>
        <v>57902</v>
      </c>
      <c r="P61" s="35" t="str">
        <f t="shared" si="2"/>
        <v>61 (46-84)</v>
      </c>
      <c r="Q61" s="37">
        <f>31880+32638</f>
        <v>64518</v>
      </c>
      <c r="R61" s="35" t="str">
        <f t="shared" si="3"/>
        <v>68 (46-94)</v>
      </c>
      <c r="S61" s="37">
        <f>33506+34282</f>
        <v>67788</v>
      </c>
      <c r="T61" s="35" t="str">
        <f t="shared" si="4"/>
        <v>72 (48-99)</v>
      </c>
    </row>
    <row r="62">
      <c r="A62" s="16" t="s">
        <v>89</v>
      </c>
      <c r="B62" s="17">
        <v>99.74221077234407</v>
      </c>
      <c r="C62" s="18">
        <v>67.44135247952089</v>
      </c>
      <c r="D62" s="17">
        <v>136.65747739271342</v>
      </c>
      <c r="E62" s="10">
        <f>(B62/100000)*'Birth Pop per Year'!C62</f>
        <v>69.60510179</v>
      </c>
      <c r="F62" s="8">
        <f>(C62/100000)*'Birth Pop per Year'!G62</f>
        <v>53.38927228</v>
      </c>
      <c r="G62" s="8">
        <f>(D62/100000)*'Birth Pop per Year'!C62</f>
        <v>95.3664206</v>
      </c>
      <c r="H62" s="8">
        <f>(B62/100000)*'Birth Pop per Year'!G62</f>
        <v>78.95992374</v>
      </c>
      <c r="I62" s="8">
        <f>(C62/100000)*'Birth Pop per Year'!G62</f>
        <v>53.38927228</v>
      </c>
      <c r="J62" s="8">
        <f>(D62/100000)*'Birth Pop per Year'!G62</f>
        <v>108.1835254</v>
      </c>
      <c r="K62" s="8">
        <f>(B62/100000)*'Birth Pop per Year'!K62</f>
        <v>84.99233264</v>
      </c>
      <c r="L62" s="34">
        <f>(C62/100000)*'Birth Pop per Year'!K62</f>
        <v>57.46812527</v>
      </c>
      <c r="M62" s="34">
        <f>(D62/100000)*'Birth Pop per Year'!K62</f>
        <v>116.4485696</v>
      </c>
      <c r="N62" s="35" t="str">
        <f t="shared" si="1"/>
        <v>100 (67-137)</v>
      </c>
      <c r="O62" s="37">
        <f>34635+35150</f>
        <v>69785</v>
      </c>
      <c r="P62" s="35" t="str">
        <f t="shared" si="2"/>
        <v>70 (53-95)</v>
      </c>
      <c r="Q62" s="37">
        <f>39306+39858</f>
        <v>79164</v>
      </c>
      <c r="R62" s="35" t="str">
        <f t="shared" si="3"/>
        <v>79 (53-108)</v>
      </c>
      <c r="S62" s="37">
        <f>42294+42918</f>
        <v>85212</v>
      </c>
      <c r="T62" s="35" t="str">
        <f t="shared" si="4"/>
        <v>85 (57-116)</v>
      </c>
    </row>
    <row r="63">
      <c r="A63" s="16" t="s">
        <v>90</v>
      </c>
      <c r="B63" s="17">
        <v>125.012501777948</v>
      </c>
      <c r="C63" s="18">
        <v>88.95688660794879</v>
      </c>
      <c r="D63" s="17">
        <v>170.52532748434035</v>
      </c>
      <c r="E63" s="10">
        <f>(B63/100000)*'Birth Pop per Year'!C63</f>
        <v>602.0089534</v>
      </c>
      <c r="F63" s="8">
        <f>(C63/100000)*'Birth Pop per Year'!G63</f>
        <v>491.518823</v>
      </c>
      <c r="G63" s="8">
        <f>(D63/100000)*'Birth Pop per Year'!C63</f>
        <v>821.1800618</v>
      </c>
      <c r="H63" s="8">
        <f>(B63/100000)*'Birth Pop per Year'!G63</f>
        <v>690.7390768</v>
      </c>
      <c r="I63" s="8">
        <f>(C63/100000)*'Birth Pop per Year'!G63</f>
        <v>491.518823</v>
      </c>
      <c r="J63" s="8">
        <f>(D63/100000)*'Birth Pop per Year'!G63</f>
        <v>942.2138235</v>
      </c>
      <c r="K63" s="8">
        <f>(B63/100000)*'Birth Pop per Year'!K63</f>
        <v>705.5468077</v>
      </c>
      <c r="L63" s="34">
        <f>(C63/100000)*'Birth Pop per Year'!K63</f>
        <v>502.0557662</v>
      </c>
      <c r="M63" s="34">
        <f>(D63/100000)*'Birth Pop per Year'!K63</f>
        <v>962.4125485</v>
      </c>
      <c r="N63" s="35" t="str">
        <f t="shared" si="1"/>
        <v>125 (89-171)</v>
      </c>
      <c r="O63" s="37">
        <f>238602+242957</f>
        <v>481559</v>
      </c>
      <c r="P63" s="35" t="str">
        <f t="shared" si="2"/>
        <v>602 (492-821)</v>
      </c>
      <c r="Q63" s="37">
        <f>273875+278661</f>
        <v>552536</v>
      </c>
      <c r="R63" s="35" t="str">
        <f t="shared" si="3"/>
        <v>691 (492-942)</v>
      </c>
      <c r="S63" s="37">
        <f>279844+284537</f>
        <v>564381</v>
      </c>
      <c r="T63" s="35" t="str">
        <f t="shared" si="4"/>
        <v>706 (502-962)</v>
      </c>
    </row>
    <row r="64">
      <c r="A64" s="16" t="s">
        <v>91</v>
      </c>
      <c r="B64" s="17">
        <v>113.0191298734831</v>
      </c>
      <c r="C64" s="18">
        <v>78.16276271624065</v>
      </c>
      <c r="D64" s="17">
        <v>153.8609338153025</v>
      </c>
      <c r="E64" s="10">
        <f>(B64/100000)*'Birth Pop per Year'!C64</f>
        <v>27.48286181</v>
      </c>
      <c r="F64" s="8">
        <f>(C64/100000)*'Birth Pop per Year'!G64</f>
        <v>20.40673409</v>
      </c>
      <c r="G64" s="8">
        <f>(D64/100000)*'Birth Pop per Year'!C64</f>
        <v>37.41436328</v>
      </c>
      <c r="H64" s="8">
        <f>(B64/100000)*'Birth Pop per Year'!G64</f>
        <v>29.50703443</v>
      </c>
      <c r="I64" s="8">
        <f>(C64/100000)*'Birth Pop per Year'!G64</f>
        <v>20.40673409</v>
      </c>
      <c r="J64" s="8">
        <f>(D64/100000)*'Birth Pop per Year'!G64</f>
        <v>40.1700126</v>
      </c>
      <c r="K64" s="8">
        <f>(B64/100000)*'Birth Pop per Year'!K64</f>
        <v>30.84744131</v>
      </c>
      <c r="L64" s="34">
        <f>(C64/100000)*'Birth Pop per Year'!K64</f>
        <v>21.33374446</v>
      </c>
      <c r="M64" s="34">
        <f>(D64/100000)*'Birth Pop per Year'!K64</f>
        <v>41.99480328</v>
      </c>
      <c r="N64" s="35" t="str">
        <f t="shared" si="1"/>
        <v>113 (78-154)</v>
      </c>
      <c r="O64" s="37">
        <f>12002+12315</f>
        <v>24317</v>
      </c>
      <c r="P64" s="35" t="str">
        <f t="shared" si="2"/>
        <v>27 (20-37)</v>
      </c>
      <c r="Q64" s="37">
        <f>12891+13217</f>
        <v>26108</v>
      </c>
      <c r="R64" s="35" t="str">
        <f t="shared" si="3"/>
        <v>30 (20-40)</v>
      </c>
      <c r="S64" s="37">
        <f>13476+13818</f>
        <v>27294</v>
      </c>
      <c r="T64" s="35" t="str">
        <f t="shared" si="4"/>
        <v>31 (21-42)</v>
      </c>
    </row>
    <row r="65">
      <c r="A65" s="16" t="s">
        <v>92</v>
      </c>
      <c r="B65" s="17">
        <v>142.583927853111</v>
      </c>
      <c r="C65" s="18">
        <v>98.93578667358724</v>
      </c>
      <c r="D65" s="17">
        <v>193.0217798827829</v>
      </c>
      <c r="E65" s="10">
        <f>(B65/100000)*'Birth Pop per Year'!C65</f>
        <v>34.37128165</v>
      </c>
      <c r="F65" s="8">
        <f>(C65/100000)*'Birth Pop per Year'!G65</f>
        <v>23.93751359</v>
      </c>
      <c r="G65" s="8">
        <f>(D65/100000)*'Birth Pop per Year'!C65</f>
        <v>46.52983026</v>
      </c>
      <c r="H65" s="8">
        <f>(B65/100000)*'Birth Pop per Year'!G65</f>
        <v>34.49818134</v>
      </c>
      <c r="I65" s="8">
        <f>(C65/100000)*'Birth Pop per Year'!G65</f>
        <v>23.93751359</v>
      </c>
      <c r="J65" s="8">
        <f>(D65/100000)*'Birth Pop per Year'!G65</f>
        <v>46.70161964</v>
      </c>
      <c r="K65" s="8">
        <f>(B65/100000)*'Birth Pop per Year'!K65</f>
        <v>33.18213169</v>
      </c>
      <c r="L65" s="34">
        <f>(C65/100000)*'Birth Pop per Year'!K65</f>
        <v>23.02433627</v>
      </c>
      <c r="M65" s="34">
        <f>(D65/100000)*'Birth Pop per Year'!K65</f>
        <v>44.92002861</v>
      </c>
      <c r="N65" s="35" t="str">
        <f t="shared" si="1"/>
        <v>143 (99-193)</v>
      </c>
      <c r="O65" s="37">
        <f>11875+12231</f>
        <v>24106</v>
      </c>
      <c r="P65" s="35" t="str">
        <f t="shared" si="2"/>
        <v>34 (24-47)</v>
      </c>
      <c r="Q65" s="37">
        <f>11926+12269</f>
        <v>24195</v>
      </c>
      <c r="R65" s="35" t="str">
        <f t="shared" si="3"/>
        <v>34 (24-47)</v>
      </c>
      <c r="S65" s="37">
        <f>11473+11799</f>
        <v>23272</v>
      </c>
      <c r="T65" s="35" t="str">
        <f t="shared" si="4"/>
        <v>33 (23-45)</v>
      </c>
    </row>
    <row r="66">
      <c r="A66" s="16" t="s">
        <v>93</v>
      </c>
      <c r="B66" s="17">
        <v>153.6253077815245</v>
      </c>
      <c r="C66" s="18">
        <v>107.5736932709036</v>
      </c>
      <c r="D66" s="17">
        <v>207.23226529779419</v>
      </c>
      <c r="E66" s="10">
        <f>(B66/100000)*'Birth Pop per Year'!C66</f>
        <v>167.5114994</v>
      </c>
      <c r="F66" s="8">
        <f>(C66/100000)*'Birth Pop per Year'!G66</f>
        <v>124.0260139</v>
      </c>
      <c r="G66" s="8">
        <f>(D66/100000)*'Birth Pop per Year'!C66</f>
        <v>225.9639898</v>
      </c>
      <c r="H66" s="8">
        <f>(B66/100000)*'Birth Pop per Year'!G66</f>
        <v>177.1207624</v>
      </c>
      <c r="I66" s="8">
        <f>(C66/100000)*'Birth Pop per Year'!G66</f>
        <v>124.0260139</v>
      </c>
      <c r="J66" s="8">
        <f>(D66/100000)*'Birth Pop per Year'!G66</f>
        <v>238.926368</v>
      </c>
      <c r="K66" s="8">
        <f>(B66/100000)*'Birth Pop per Year'!K66</f>
        <v>177.3742441</v>
      </c>
      <c r="L66" s="34">
        <f>(C66/100000)*'Birth Pop per Year'!K66</f>
        <v>124.2035105</v>
      </c>
      <c r="M66" s="34">
        <f>(D66/100000)*'Birth Pop per Year'!K66</f>
        <v>239.2683012</v>
      </c>
      <c r="N66" s="35" t="str">
        <f t="shared" si="1"/>
        <v>154 (108-207)</v>
      </c>
      <c r="O66" s="37">
        <f>53840+55199</f>
        <v>109039</v>
      </c>
      <c r="P66" s="35" t="str">
        <f t="shared" si="2"/>
        <v>168 (124-226)</v>
      </c>
      <c r="Q66" s="37">
        <f>56934+58360</f>
        <v>115294</v>
      </c>
      <c r="R66" s="35" t="str">
        <f t="shared" si="3"/>
        <v>177 (124-239)</v>
      </c>
      <c r="S66" s="37">
        <f>56995+58464</f>
        <v>115459</v>
      </c>
      <c r="T66" s="35" t="str">
        <f t="shared" si="4"/>
        <v>177 (124-239)</v>
      </c>
    </row>
    <row r="67">
      <c r="A67" s="16" t="s">
        <v>94</v>
      </c>
      <c r="B67" s="17">
        <v>150.31347527775287</v>
      </c>
      <c r="C67" s="18">
        <v>104.5247065481853</v>
      </c>
      <c r="D67" s="17">
        <v>206.20735158901815</v>
      </c>
      <c r="E67" s="10">
        <f>(B67/100000)*'Birth Pop per Year'!C67</f>
        <v>6337.008685</v>
      </c>
      <c r="F67" s="8">
        <f>(C67/100000)*'Birth Pop per Year'!G67</f>
        <v>4647.70362</v>
      </c>
      <c r="G67" s="8">
        <f>(D67/100000)*'Birth Pop per Year'!C67</f>
        <v>8693.417377</v>
      </c>
      <c r="H67" s="8">
        <f>(B67/100000)*'Birth Pop per Year'!G67</f>
        <v>6683.706716</v>
      </c>
      <c r="I67" s="8">
        <f>(C67/100000)*'Birth Pop per Year'!G67</f>
        <v>4647.70362</v>
      </c>
      <c r="J67" s="8">
        <f>(D67/100000)*'Birth Pop per Year'!G67</f>
        <v>9169.034633</v>
      </c>
      <c r="K67" s="8">
        <f>(B67/100000)*'Birth Pop per Year'!K67</f>
        <v>7110.344459</v>
      </c>
      <c r="L67" s="34">
        <f>(C67/100000)*'Birth Pop per Year'!K67</f>
        <v>4944.378185</v>
      </c>
      <c r="M67" s="34">
        <f>(D67/100000)*'Birth Pop per Year'!K67</f>
        <v>9754.317083</v>
      </c>
      <c r="N67" s="35" t="str">
        <f t="shared" si="1"/>
        <v>150 (105-206)</v>
      </c>
      <c r="O67" s="37">
        <f>2059445+2156417</f>
        <v>4215862</v>
      </c>
      <c r="P67" s="35" t="str">
        <f t="shared" si="2"/>
        <v>6,337 (4,648-8,693)</v>
      </c>
      <c r="Q67" s="37">
        <f>2172817+2273695</f>
        <v>4446512</v>
      </c>
      <c r="R67" s="35" t="str">
        <f t="shared" si="3"/>
        <v>6,684 (4,648-9,169)</v>
      </c>
      <c r="S67" s="37">
        <f>2310131+2420213</f>
        <v>4730344</v>
      </c>
      <c r="T67" s="35" t="str">
        <f t="shared" si="4"/>
        <v>7,110 (4,944-9,754)</v>
      </c>
    </row>
    <row r="68">
      <c r="A68" s="16" t="s">
        <v>95</v>
      </c>
      <c r="B68" s="17">
        <v>88.48402374467568</v>
      </c>
      <c r="C68" s="18">
        <v>63.73849168048673</v>
      </c>
      <c r="D68" s="17">
        <v>120.35326958491908</v>
      </c>
      <c r="E68" s="10">
        <f>(B68/100000)*'Birth Pop per Year'!C68</f>
        <v>1397.054784</v>
      </c>
      <c r="F68" s="8">
        <f>(C68/100000)*'Birth Pop per Year'!G68</f>
        <v>1030.918475</v>
      </c>
      <c r="G68" s="8">
        <f>(D68/100000)*'Birth Pop per Year'!C68</f>
        <v>1900.231296</v>
      </c>
      <c r="H68" s="8">
        <f>(B68/100000)*'Birth Pop per Year'!G68</f>
        <v>1431.157412</v>
      </c>
      <c r="I68" s="8">
        <f>(C68/100000)*'Birth Pop per Year'!G68</f>
        <v>1030.918475</v>
      </c>
      <c r="J68" s="8">
        <f>(D68/100000)*'Birth Pop per Year'!G68</f>
        <v>1946.616649</v>
      </c>
      <c r="K68" s="8">
        <f>(B68/100000)*'Birth Pop per Year'!K68</f>
        <v>1386.708348</v>
      </c>
      <c r="L68" s="34">
        <f>(C68/100000)*'Birth Pop per Year'!K68</f>
        <v>998.9000808</v>
      </c>
      <c r="M68" s="34">
        <f>(D68/100000)*'Birth Pop per Year'!K68</f>
        <v>1886.158388</v>
      </c>
      <c r="N68" s="35" t="str">
        <f t="shared" si="1"/>
        <v>88 (64-120)</v>
      </c>
      <c r="O68" s="37">
        <f>783780+795098</f>
        <v>1578878</v>
      </c>
      <c r="P68" s="35" t="str">
        <f t="shared" si="2"/>
        <v>1,397 (1,031-1,900)</v>
      </c>
      <c r="Q68" s="37">
        <f>803143+814276</f>
        <v>1617419</v>
      </c>
      <c r="R68" s="35" t="str">
        <f t="shared" si="3"/>
        <v>1,431 (1,031-1,947)</v>
      </c>
      <c r="S68" s="37">
        <f>778354+788831</f>
        <v>1567185</v>
      </c>
      <c r="T68" s="35" t="str">
        <f t="shared" si="4"/>
        <v>1,387 (999-1,886)</v>
      </c>
    </row>
    <row r="69">
      <c r="A69" s="16" t="s">
        <v>96</v>
      </c>
      <c r="B69" s="17">
        <v>118.7952060482029</v>
      </c>
      <c r="C69" s="18">
        <v>83.85543956343734</v>
      </c>
      <c r="D69" s="17">
        <v>161.35819431146277</v>
      </c>
      <c r="E69" s="10">
        <f>(B69/100000)*'Birth Pop per Year'!C69</f>
        <v>1221.382219</v>
      </c>
      <c r="F69" s="8">
        <f>(C69/100000)*'Birth Pop per Year'!G69</f>
        <v>932.2284686</v>
      </c>
      <c r="G69" s="8">
        <f>(D69/100000)*'Birth Pop per Year'!C69</f>
        <v>1658.989753</v>
      </c>
      <c r="H69" s="8">
        <f>(B69/100000)*'Birth Pop per Year'!G69</f>
        <v>1320.656997</v>
      </c>
      <c r="I69" s="8">
        <f>(C69/100000)*'Birth Pop per Year'!G69</f>
        <v>932.2284686</v>
      </c>
      <c r="J69" s="8">
        <f>(D69/100000)*'Birth Pop per Year'!G69</f>
        <v>1793.833568</v>
      </c>
      <c r="K69" s="8">
        <f>(B69/100000)*'Birth Pop per Year'!K69</f>
        <v>1406.391497</v>
      </c>
      <c r="L69" s="34">
        <f>(C69/100000)*'Birth Pop per Year'!K69</f>
        <v>992.7469393</v>
      </c>
      <c r="M69" s="34">
        <f>(D69/100000)*'Birth Pop per Year'!K69</f>
        <v>1910.285777</v>
      </c>
      <c r="N69" s="35" t="str">
        <f t="shared" si="1"/>
        <v>119 (84-161)</v>
      </c>
      <c r="O69" s="37">
        <f>506388+521753</f>
        <v>1028141</v>
      </c>
      <c r="P69" s="35" t="str">
        <f t="shared" si="2"/>
        <v>1,221 (932-1,659)</v>
      </c>
      <c r="Q69" s="37">
        <f>547895+563814</f>
        <v>1111709</v>
      </c>
      <c r="R69" s="35" t="str">
        <f t="shared" si="3"/>
        <v>1,321 (932-1,794)</v>
      </c>
      <c r="S69" s="37">
        <f>583807+600072</f>
        <v>1183879</v>
      </c>
      <c r="T69" s="35" t="str">
        <f t="shared" si="4"/>
        <v>1,406 (993-1,910)</v>
      </c>
    </row>
    <row r="70">
      <c r="A70" s="16" t="s">
        <v>97</v>
      </c>
      <c r="B70" s="17">
        <v>113.82627682726162</v>
      </c>
      <c r="C70" s="18">
        <v>79.64614837488278</v>
      </c>
      <c r="D70" s="17">
        <v>158.32493462375484</v>
      </c>
      <c r="E70" s="10">
        <f>(B70/100000)*'Birth Pop per Year'!C70</f>
        <v>806.7642257</v>
      </c>
      <c r="F70" s="8">
        <f>(C70/100000)*'Birth Pop per Year'!G70</f>
        <v>602.6186878</v>
      </c>
      <c r="G70" s="8">
        <f>(D70/100000)*'Birth Pop per Year'!C70</f>
        <v>1122.156473</v>
      </c>
      <c r="H70" s="8">
        <f>(B70/100000)*'Birth Pop per Year'!G70</f>
        <v>861.2323757</v>
      </c>
      <c r="I70" s="8">
        <f>(C70/100000)*'Birth Pop per Year'!G70</f>
        <v>602.6186878</v>
      </c>
      <c r="J70" s="8">
        <f>(D70/100000)*'Birth Pop per Year'!G70</f>
        <v>1197.91812</v>
      </c>
      <c r="K70" s="8">
        <f>(B70/100000)*'Birth Pop per Year'!K70</f>
        <v>897.5850738</v>
      </c>
      <c r="L70" s="34">
        <f>(C70/100000)*'Birth Pop per Year'!K70</f>
        <v>628.0552782</v>
      </c>
      <c r="M70" s="34">
        <f>(D70/100000)*'Birth Pop per Year'!K70</f>
        <v>1248.482355</v>
      </c>
      <c r="N70" s="35" t="str">
        <f t="shared" si="1"/>
        <v>114 (80-158)</v>
      </c>
      <c r="O70" s="37">
        <f>353054+355714</f>
        <v>708768</v>
      </c>
      <c r="P70" s="35" t="str">
        <f t="shared" si="2"/>
        <v>807 (603-1,122)</v>
      </c>
      <c r="Q70" s="37">
        <f>376921+379699</f>
        <v>756620</v>
      </c>
      <c r="R70" s="35" t="str">
        <f t="shared" si="3"/>
        <v>861 (603-1,198)</v>
      </c>
      <c r="S70" s="37">
        <f>392759+395798</f>
        <v>788557</v>
      </c>
      <c r="T70" s="35" t="str">
        <f t="shared" si="4"/>
        <v>898 (628-1,248)</v>
      </c>
    </row>
    <row r="71">
      <c r="A71" s="16" t="s">
        <v>98</v>
      </c>
      <c r="B71" s="17">
        <v>148.1757525092295</v>
      </c>
      <c r="C71" s="18">
        <v>102.0766295063581</v>
      </c>
      <c r="D71" s="17">
        <v>200.8604645125111</v>
      </c>
      <c r="E71" s="10">
        <f>(B71/100000)*'Birth Pop per Year'!C71</f>
        <v>1983.811055</v>
      </c>
      <c r="F71" s="8">
        <f>(C71/100000)*'Birth Pop per Year'!G71</f>
        <v>1496.772075</v>
      </c>
      <c r="G71" s="8">
        <f>(D71/100000)*'Birth Pop per Year'!C71</f>
        <v>2689.166097</v>
      </c>
      <c r="H71" s="8">
        <f>(B71/100000)*'Birth Pop per Year'!G71</f>
        <v>2172.733658</v>
      </c>
      <c r="I71" s="8">
        <f>(C71/100000)*'Birth Pop per Year'!G71</f>
        <v>1496.772075</v>
      </c>
      <c r="J71" s="8">
        <f>(D71/100000)*'Birth Pop per Year'!G71</f>
        <v>2945.26118</v>
      </c>
      <c r="K71" s="8">
        <f>(B71/100000)*'Birth Pop per Year'!K71</f>
        <v>2288.024765</v>
      </c>
      <c r="L71" s="34">
        <f>(C71/100000)*'Birth Pop per Year'!K71</f>
        <v>1576.194838</v>
      </c>
      <c r="M71" s="34">
        <f>(D71/100000)*'Birth Pop per Year'!K71</f>
        <v>3101.544682</v>
      </c>
      <c r="N71" s="35" t="str">
        <f t="shared" si="1"/>
        <v>148 (102-201)</v>
      </c>
      <c r="O71" s="37">
        <f>665513+673310</f>
        <v>1338823</v>
      </c>
      <c r="P71" s="35" t="str">
        <f t="shared" si="2"/>
        <v>1,984 (1,497-2,689)</v>
      </c>
      <c r="Q71" s="37">
        <f>729318+737004</f>
        <v>1466322</v>
      </c>
      <c r="R71" s="35" t="str">
        <f t="shared" si="3"/>
        <v>2,173 (1,497-2,945)</v>
      </c>
      <c r="S71" s="37">
        <f>768322+775807</f>
        <v>1544129</v>
      </c>
      <c r="T71" s="35" t="str">
        <f t="shared" si="4"/>
        <v>2,288 (1,576-3,102)</v>
      </c>
    </row>
    <row r="72">
      <c r="A72" s="16" t="s">
        <v>99</v>
      </c>
      <c r="B72" s="17">
        <v>189.12185412749488</v>
      </c>
      <c r="C72" s="18">
        <v>82.65325476683108</v>
      </c>
      <c r="D72" s="17">
        <v>157.25131945045405</v>
      </c>
      <c r="E72" s="10">
        <f>(B72/100000)*'Birth Pop per Year'!C72</f>
        <v>781.8826991</v>
      </c>
      <c r="F72" s="8">
        <f>(C72/100000)*'Birth Pop per Year'!G72</f>
        <v>368.2946379</v>
      </c>
      <c r="G72" s="8">
        <f>(D72/100000)*'Birth Pop per Year'!C72</f>
        <v>650.120985</v>
      </c>
      <c r="H72" s="8">
        <f>(B72/100000)*'Birth Pop per Year'!G72</f>
        <v>842.7080698</v>
      </c>
      <c r="I72" s="8">
        <f>(C72/100000)*'Birth Pop per Year'!G72</f>
        <v>368.2946379</v>
      </c>
      <c r="J72" s="8">
        <f>(D72/100000)*'Birth Pop per Year'!G72</f>
        <v>700.6961543</v>
      </c>
      <c r="K72" s="8">
        <f>(B72/100000)*'Birth Pop per Year'!K72</f>
        <v>859.8689869</v>
      </c>
      <c r="L72" s="34">
        <f>(C72/100000)*'Birth Pop per Year'!K72</f>
        <v>375.7945943</v>
      </c>
      <c r="M72" s="34">
        <f>(D72/100000)*'Birth Pop per Year'!K72</f>
        <v>714.9651391</v>
      </c>
      <c r="N72" s="35" t="str">
        <f t="shared" si="1"/>
        <v>189 (83-157)</v>
      </c>
      <c r="O72" s="37">
        <f>204633+208795</f>
        <v>413428</v>
      </c>
      <c r="P72" s="35" t="str">
        <f t="shared" si="2"/>
        <v>782 (368-650)</v>
      </c>
      <c r="Q72" s="37">
        <f>220645+224945</f>
        <v>445590</v>
      </c>
      <c r="R72" s="35" t="str">
        <f t="shared" si="3"/>
        <v>843 (368-701)</v>
      </c>
      <c r="S72" s="37">
        <f>225076+229588</f>
        <v>454664</v>
      </c>
      <c r="T72" s="35" t="str">
        <f t="shared" si="4"/>
        <v>860 (376-715)</v>
      </c>
    </row>
    <row r="73">
      <c r="A73" s="16" t="s">
        <v>100</v>
      </c>
      <c r="B73" s="17">
        <v>80.28803267464116</v>
      </c>
      <c r="C73" s="18">
        <v>101.81102938561426</v>
      </c>
      <c r="D73" s="17">
        <v>199.51092456800893</v>
      </c>
      <c r="E73" s="10">
        <f>(B73/100000)*'Birth Pop per Year'!C73</f>
        <v>668.109638</v>
      </c>
      <c r="F73" s="8">
        <f>(C73/100000)*'Birth Pop per Year'!G73</f>
        <v>954.9141517</v>
      </c>
      <c r="G73" s="8">
        <f>(D73/100000)*'Birth Pop per Year'!C73</f>
        <v>1660.212203</v>
      </c>
      <c r="H73" s="8">
        <f>(B73/100000)*'Birth Pop per Year'!G73</f>
        <v>753.0439391</v>
      </c>
      <c r="I73" s="8">
        <f>(C73/100000)*'Birth Pop per Year'!G73</f>
        <v>954.9141517</v>
      </c>
      <c r="J73" s="8">
        <f>(D73/100000)*'Birth Pop per Year'!G73</f>
        <v>1871.268825</v>
      </c>
      <c r="K73" s="8">
        <f>(B73/100000)*'Birth Pop per Year'!K73</f>
        <v>820.254657</v>
      </c>
      <c r="L73" s="34">
        <f>(C73/100000)*'Birth Pop per Year'!K73</f>
        <v>1040.142201</v>
      </c>
      <c r="M73" s="34">
        <f>(D73/100000)*'Birth Pop per Year'!K73</f>
        <v>2038.28341</v>
      </c>
      <c r="N73" s="35" t="str">
        <f t="shared" si="1"/>
        <v>80 (102-200)</v>
      </c>
      <c r="O73" s="37">
        <f>408783+423358</f>
        <v>832141</v>
      </c>
      <c r="P73" s="35" t="str">
        <f t="shared" si="2"/>
        <v>668 (955-1,660)</v>
      </c>
      <c r="Q73" s="37">
        <f>461012+476916</f>
        <v>937928</v>
      </c>
      <c r="R73" s="35" t="str">
        <f t="shared" si="3"/>
        <v>753 (955-1,871)</v>
      </c>
      <c r="S73" s="37">
        <f>502382+519258</f>
        <v>1021640</v>
      </c>
      <c r="T73" s="35" t="str">
        <f t="shared" si="4"/>
        <v>820 (1,040-2,038)</v>
      </c>
    </row>
    <row r="74">
      <c r="A74" s="16" t="s">
        <v>101</v>
      </c>
      <c r="B74" s="17">
        <v>220.92877333694804</v>
      </c>
      <c r="C74" s="18">
        <v>148.72278400243326</v>
      </c>
      <c r="D74" s="17">
        <v>299.60097067156846</v>
      </c>
      <c r="E74" s="10">
        <f>(B74/100000)*'Birth Pop per Year'!C74</f>
        <v>825.7809411</v>
      </c>
      <c r="F74" s="8">
        <f>(C74/100000)*'Birth Pop per Year'!G74</f>
        <v>571.8286939</v>
      </c>
      <c r="G74" s="8">
        <f>(D74/100000)*'Birth Pop per Year'!C74</f>
        <v>1119.83952</v>
      </c>
      <c r="H74" s="8">
        <f>(B74/100000)*'Birth Pop per Year'!G74</f>
        <v>849.4556685</v>
      </c>
      <c r="I74" s="8">
        <f>(C74/100000)*'Birth Pop per Year'!G74</f>
        <v>571.8286939</v>
      </c>
      <c r="J74" s="8">
        <f>(D74/100000)*'Birth Pop per Year'!G74</f>
        <v>1151.94476</v>
      </c>
      <c r="K74" s="8">
        <f>(B74/100000)*'Birth Pop per Year'!K74</f>
        <v>828.8430139</v>
      </c>
      <c r="L74" s="34">
        <f>(C74/100000)*'Birth Pop per Year'!K74</f>
        <v>557.9528581</v>
      </c>
      <c r="M74" s="34">
        <f>(D74/100000)*'Birth Pop per Year'!K74</f>
        <v>1123.99199</v>
      </c>
      <c r="N74" s="35" t="str">
        <f t="shared" si="1"/>
        <v>221 (149-300)</v>
      </c>
      <c r="O74" s="37">
        <f>184317+189460</f>
        <v>373777</v>
      </c>
      <c r="P74" s="35" t="str">
        <f t="shared" si="2"/>
        <v>826 (572-1,120)</v>
      </c>
      <c r="Q74" s="37">
        <f>189688+194805</f>
        <v>384493</v>
      </c>
      <c r="R74" s="35" t="str">
        <f t="shared" si="3"/>
        <v>849 (572-1,152)</v>
      </c>
      <c r="S74" s="37">
        <f>185155+190008</f>
        <v>375163</v>
      </c>
      <c r="T74" s="35" t="str">
        <f t="shared" si="4"/>
        <v>829 (558-1,124)</v>
      </c>
    </row>
    <row r="75">
      <c r="A75" s="16" t="s">
        <v>102</v>
      </c>
      <c r="B75" s="17">
        <v>121.00181985391814</v>
      </c>
      <c r="C75" s="18">
        <v>81.90453372187383</v>
      </c>
      <c r="D75" s="17">
        <v>167.80441055213177</v>
      </c>
      <c r="E75" s="10">
        <f>(B75/100000)*'Birth Pop per Year'!C75</f>
        <v>2095.843481</v>
      </c>
      <c r="F75" s="8">
        <f>(C75/100000)*'Birth Pop per Year'!G75</f>
        <v>1459.862314</v>
      </c>
      <c r="G75" s="8">
        <f>(D75/100000)*'Birth Pop per Year'!C75</f>
        <v>2906.499922</v>
      </c>
      <c r="H75" s="8">
        <f>(B75/100000)*'Birth Pop per Year'!G75</f>
        <v>2156.730387</v>
      </c>
      <c r="I75" s="8">
        <f>(C75/100000)*'Birth Pop per Year'!G75</f>
        <v>1459.862314</v>
      </c>
      <c r="J75" s="8">
        <f>(D75/100000)*'Birth Pop per Year'!G75</f>
        <v>2990.937423</v>
      </c>
      <c r="K75" s="8">
        <f>(B75/100000)*'Birth Pop per Year'!K75</f>
        <v>2211.221137</v>
      </c>
      <c r="L75" s="34">
        <f>(C75/100000)*'Birth Pop per Year'!K75</f>
        <v>1496.746383</v>
      </c>
      <c r="M75" s="34">
        <f>(D75/100000)*'Birth Pop per Year'!K75</f>
        <v>3066.504784</v>
      </c>
      <c r="N75" s="35" t="str">
        <f t="shared" si="1"/>
        <v>121 (82-168)</v>
      </c>
      <c r="O75" s="37">
        <f>855750+876326</f>
        <v>1732076</v>
      </c>
      <c r="P75" s="35" t="str">
        <f t="shared" si="2"/>
        <v>2,096 (1,460-2,906)</v>
      </c>
      <c r="Q75" s="37">
        <f>880340+902055</f>
        <v>1782395</v>
      </c>
      <c r="R75" s="35" t="str">
        <f t="shared" si="3"/>
        <v>2,157 (1,460-2,991)</v>
      </c>
      <c r="S75" s="37">
        <f>902055+925373</f>
        <v>1827428</v>
      </c>
      <c r="T75" s="35" t="str">
        <f t="shared" si="4"/>
        <v>2,211 (1,497-3,067)</v>
      </c>
    </row>
    <row r="76">
      <c r="A76" s="16" t="s">
        <v>103</v>
      </c>
      <c r="B76" s="17">
        <v>136.53068261180306</v>
      </c>
      <c r="C76" s="18">
        <v>95.34104629642788</v>
      </c>
      <c r="D76" s="17">
        <v>184.34522546741343</v>
      </c>
      <c r="E76" s="10">
        <f>(B76/100000)*'Birth Pop per Year'!C76</f>
        <v>3454.680917</v>
      </c>
      <c r="F76" s="8">
        <f>(C76/100000)*'Birth Pop per Year'!G76</f>
        <v>2787.982897</v>
      </c>
      <c r="G76" s="8">
        <f>(D76/100000)*'Birth Pop per Year'!C76</f>
        <v>4664.548074</v>
      </c>
      <c r="H76" s="8">
        <f>(B76/100000)*'Birth Pop per Year'!G76</f>
        <v>3992.458892</v>
      </c>
      <c r="I76" s="8">
        <f>(C76/100000)*'Birth Pop per Year'!G76</f>
        <v>2787.982897</v>
      </c>
      <c r="J76" s="8">
        <f>(D76/100000)*'Birth Pop per Year'!G76</f>
        <v>5390.661796</v>
      </c>
      <c r="K76" s="8">
        <f>(B76/100000)*'Birth Pop per Year'!K76</f>
        <v>4471.732105</v>
      </c>
      <c r="L76" s="34">
        <f>(C76/100000)*'Birth Pop per Year'!K76</f>
        <v>3122.665246</v>
      </c>
      <c r="M76" s="34">
        <f>(D76/100000)*'Birth Pop per Year'!K76</f>
        <v>6037.781745</v>
      </c>
      <c r="N76" s="35" t="str">
        <f t="shared" si="1"/>
        <v>137 (95-184)</v>
      </c>
      <c r="O76" s="37">
        <f>1249403+1280930</f>
        <v>2530333</v>
      </c>
      <c r="P76" s="35" t="str">
        <f t="shared" si="2"/>
        <v>3,455 (2,788-4,665)</v>
      </c>
      <c r="Q76" s="37">
        <f>1444033+1480188</f>
        <v>2924221</v>
      </c>
      <c r="R76" s="35" t="str">
        <f t="shared" si="3"/>
        <v>3,992 (2,788-5,391)</v>
      </c>
      <c r="S76" s="37">
        <f>1617121+1658137</f>
        <v>3275258</v>
      </c>
      <c r="T76" s="35" t="str">
        <f t="shared" si="4"/>
        <v>4,472 (3,123-6,038)</v>
      </c>
    </row>
    <row r="77">
      <c r="A77" s="16" t="s">
        <v>104</v>
      </c>
      <c r="B77" s="17">
        <v>138.4473461337601</v>
      </c>
      <c r="C77" s="18">
        <v>97.61919306105479</v>
      </c>
      <c r="D77" s="17">
        <v>190.3267286096037</v>
      </c>
      <c r="E77" s="10">
        <f>(B77/100000)*'Birth Pop per Year'!C77</f>
        <v>1018.840943</v>
      </c>
      <c r="F77" s="8">
        <f>(C77/100000)*'Birth Pop per Year'!G77</f>
        <v>787.2460777</v>
      </c>
      <c r="G77" s="8">
        <f>(D77/100000)*'Birth Pop per Year'!C77</f>
        <v>1400.623912</v>
      </c>
      <c r="H77" s="8">
        <f>(B77/100000)*'Birth Pop per Year'!G77</f>
        <v>1116.503085</v>
      </c>
      <c r="I77" s="8">
        <f>(C77/100000)*'Birth Pop per Year'!G77</f>
        <v>787.2460777</v>
      </c>
      <c r="J77" s="8">
        <f>(D77/100000)*'Birth Pop per Year'!G77</f>
        <v>1534.88229</v>
      </c>
      <c r="K77" s="8">
        <f>(B77/100000)*'Birth Pop per Year'!K77</f>
        <v>1194.028061</v>
      </c>
      <c r="L77" s="34">
        <f>(C77/100000)*'Birth Pop per Year'!K77</f>
        <v>841.908921</v>
      </c>
      <c r="M77" s="34">
        <f>(D77/100000)*'Birth Pop per Year'!K77</f>
        <v>1641.457645</v>
      </c>
      <c r="N77" s="35" t="str">
        <f t="shared" si="1"/>
        <v>138 (98-190)</v>
      </c>
      <c r="O77" s="37">
        <f>367283+368622</f>
        <v>735905</v>
      </c>
      <c r="P77" s="35" t="str">
        <f t="shared" si="2"/>
        <v>1,019 (787-1,401)</v>
      </c>
      <c r="Q77" s="37">
        <f>402689+403757</f>
        <v>806446</v>
      </c>
      <c r="R77" s="35" t="str">
        <f t="shared" si="3"/>
        <v>1,117 (787-1,535)</v>
      </c>
      <c r="S77" s="37">
        <f>430834+431608</f>
        <v>862442</v>
      </c>
      <c r="T77" s="35" t="str">
        <f t="shared" si="4"/>
        <v>1,194 (842-1,641)</v>
      </c>
    </row>
    <row r="78">
      <c r="A78" s="16" t="s">
        <v>105</v>
      </c>
      <c r="B78" s="17">
        <v>165.5481180201296</v>
      </c>
      <c r="C78" s="18">
        <v>112.96224523726491</v>
      </c>
      <c r="D78" s="17">
        <v>227.09306542526014</v>
      </c>
      <c r="E78" s="10">
        <f>(B78/100000)*'Birth Pop per Year'!C78</f>
        <v>95.91526862</v>
      </c>
      <c r="F78" s="8">
        <f>(C78/100000)*'Birth Pop per Year'!G78</f>
        <v>61.38255444</v>
      </c>
      <c r="G78" s="8">
        <f>(D78/100000)*'Birth Pop per Year'!C78</f>
        <v>131.5731802</v>
      </c>
      <c r="H78" s="8">
        <f>(B78/100000)*'Birth Pop per Year'!G78</f>
        <v>89.95719185</v>
      </c>
      <c r="I78" s="8">
        <f>(C78/100000)*'Birth Pop per Year'!G78</f>
        <v>61.38255444</v>
      </c>
      <c r="J78" s="8">
        <f>(D78/100000)*'Birth Pop per Year'!G78</f>
        <v>123.4001008</v>
      </c>
      <c r="K78" s="8">
        <f>(B78/100000)*'Birth Pop per Year'!K78</f>
        <v>90.38761696</v>
      </c>
      <c r="L78" s="34">
        <f>(C78/100000)*'Birth Pop per Year'!K78</f>
        <v>61.67625628</v>
      </c>
      <c r="M78" s="34">
        <f>(D78/100000)*'Birth Pop per Year'!K78</f>
        <v>123.9905428</v>
      </c>
      <c r="N78" s="35" t="str">
        <f t="shared" si="1"/>
        <v>166 (113-227)</v>
      </c>
      <c r="O78" s="37">
        <f>28602+29336</f>
        <v>57938</v>
      </c>
      <c r="P78" s="35" t="str">
        <f t="shared" si="2"/>
        <v>96 (61-132)</v>
      </c>
      <c r="Q78" s="37">
        <f>26834+27505</f>
        <v>54339</v>
      </c>
      <c r="R78" s="35" t="str">
        <f t="shared" si="3"/>
        <v>90 (61-123)</v>
      </c>
      <c r="S78" s="37">
        <f>26962+27637</f>
        <v>54599</v>
      </c>
      <c r="T78" s="35" t="str">
        <f t="shared" si="4"/>
        <v>90 (62-124)</v>
      </c>
    </row>
    <row r="79">
      <c r="A79" s="16" t="s">
        <v>106</v>
      </c>
      <c r="B79" s="17">
        <v>195.92793745065057</v>
      </c>
      <c r="C79" s="18">
        <v>136.2796858800508</v>
      </c>
      <c r="D79" s="17">
        <v>271.73092382162105</v>
      </c>
      <c r="E79" s="10">
        <f>(B79/100000)*'Birth Pop per Year'!C79</f>
        <v>54.06239578</v>
      </c>
      <c r="F79" s="8">
        <f>(C79/100000)*'Birth Pop per Year'!G79</f>
        <v>35.82520382</v>
      </c>
      <c r="G79" s="8">
        <f>(D79/100000)*'Birth Pop per Year'!C79</f>
        <v>74.97871381</v>
      </c>
      <c r="H79" s="8">
        <f>(B79/100000)*'Birth Pop per Year'!G79</f>
        <v>51.5055362</v>
      </c>
      <c r="I79" s="8">
        <f>(C79/100000)*'Birth Pop per Year'!G79</f>
        <v>35.82520382</v>
      </c>
      <c r="J79" s="8">
        <f>(D79/100000)*'Birth Pop per Year'!G79</f>
        <v>71.43262525</v>
      </c>
      <c r="K79" s="8">
        <f>(B79/100000)*'Birth Pop per Year'!K79</f>
        <v>47.51056555</v>
      </c>
      <c r="L79" s="34">
        <f>(C79/100000)*'Birth Pop per Year'!K79</f>
        <v>33.04646103</v>
      </c>
      <c r="M79" s="34">
        <f>(D79/100000)*'Birth Pop per Year'!K79</f>
        <v>65.89203172</v>
      </c>
      <c r="N79" s="35" t="str">
        <f t="shared" si="1"/>
        <v>196 (136-272)</v>
      </c>
      <c r="O79" s="37">
        <f>13639+13954</f>
        <v>27593</v>
      </c>
      <c r="P79" s="35" t="str">
        <f t="shared" si="2"/>
        <v>54 (36-75)</v>
      </c>
      <c r="Q79" s="37">
        <f>13000+13288</f>
        <v>26288</v>
      </c>
      <c r="R79" s="35" t="str">
        <f t="shared" si="3"/>
        <v>52 (36-71)</v>
      </c>
      <c r="S79" s="37">
        <f>11996+12253</f>
        <v>24249</v>
      </c>
      <c r="T79" s="35" t="str">
        <f t="shared" si="4"/>
        <v>48 (33-66)</v>
      </c>
    </row>
    <row r="80">
      <c r="A80" s="16" t="s">
        <v>107</v>
      </c>
      <c r="B80" s="17">
        <v>150.5054220665499</v>
      </c>
      <c r="C80" s="18">
        <v>105.47886920453497</v>
      </c>
      <c r="D80" s="17">
        <v>202.20257535256704</v>
      </c>
      <c r="E80" s="10">
        <f>(B80/100000)*'Birth Pop per Year'!C80</f>
        <v>79.69412604</v>
      </c>
      <c r="F80" s="8">
        <f>(C80/100000)*'Birth Pop per Year'!G80</f>
        <v>56.09260785</v>
      </c>
      <c r="G80" s="8">
        <f>(D80/100000)*'Birth Pop per Year'!C80</f>
        <v>107.0682857</v>
      </c>
      <c r="H80" s="8">
        <f>(B80/100000)*'Birth Pop per Year'!G80</f>
        <v>80.0372784</v>
      </c>
      <c r="I80" s="8">
        <f>(C80/100000)*'Birth Pop per Year'!G80</f>
        <v>56.09260785</v>
      </c>
      <c r="J80" s="8">
        <f>(D80/100000)*'Birth Pop per Year'!G80</f>
        <v>107.5293075</v>
      </c>
      <c r="K80" s="8">
        <f>(B80/100000)*'Birth Pop per Year'!K80</f>
        <v>76.19638003</v>
      </c>
      <c r="L80" s="34">
        <f>(C80/100000)*'Birth Pop per Year'!K80</f>
        <v>53.40078711</v>
      </c>
      <c r="M80" s="34">
        <f>(D80/100000)*'Birth Pop per Year'!K80</f>
        <v>102.3690978</v>
      </c>
      <c r="N80" s="35" t="str">
        <f t="shared" si="1"/>
        <v>151 (105-202)</v>
      </c>
      <c r="O80" s="37">
        <f>26223+26728</f>
        <v>52951</v>
      </c>
      <c r="P80" s="35" t="str">
        <f t="shared" si="2"/>
        <v>80 (56-107)</v>
      </c>
      <c r="Q80" s="37">
        <f>26336+26843</f>
        <v>53179</v>
      </c>
      <c r="R80" s="35" t="str">
        <f t="shared" si="3"/>
        <v>80 (56-108)</v>
      </c>
      <c r="S80" s="37">
        <f>25072+25555</f>
        <v>50627</v>
      </c>
      <c r="T80" s="35" t="str">
        <f t="shared" si="4"/>
        <v>76 (53-102)</v>
      </c>
    </row>
    <row r="81">
      <c r="A81" s="16" t="s">
        <v>108</v>
      </c>
      <c r="B81" s="17">
        <v>138.49077101449276</v>
      </c>
      <c r="C81" s="18">
        <v>96.12888811594205</v>
      </c>
      <c r="D81" s="17">
        <v>188.67330921739128</v>
      </c>
      <c r="E81" s="10">
        <f>(B81/100000)*'Birth Pop per Year'!C81</f>
        <v>107.9660202</v>
      </c>
      <c r="F81" s="8">
        <f>(C81/100000)*'Birth Pop per Year'!G81</f>
        <v>79.71776434</v>
      </c>
      <c r="G81" s="8">
        <f>(D81/100000)*'Birth Pop per Year'!C81</f>
        <v>147.0878251</v>
      </c>
      <c r="H81" s="8">
        <f>(B81/100000)*'Birth Pop per Year'!G81</f>
        <v>114.8476266</v>
      </c>
      <c r="I81" s="8">
        <f>(C81/100000)*'Birth Pop per Year'!G81</f>
        <v>79.71776434</v>
      </c>
      <c r="J81" s="8">
        <f>(D81/100000)*'Birth Pop per Year'!G81</f>
        <v>156.4630019</v>
      </c>
      <c r="K81" s="8">
        <f>(B81/100000)*'Birth Pop per Year'!K81</f>
        <v>117.7545479</v>
      </c>
      <c r="L81" s="34">
        <f>(C81/100000)*'Birth Pop per Year'!K81</f>
        <v>81.7355097</v>
      </c>
      <c r="M81" s="34">
        <f>(D81/100000)*'Birth Pop per Year'!K81</f>
        <v>160.4232546</v>
      </c>
      <c r="N81" s="35" t="str">
        <f t="shared" si="1"/>
        <v>138 (96-189)</v>
      </c>
      <c r="O81" s="37">
        <f>38890+39069</f>
        <v>77959</v>
      </c>
      <c r="P81" s="35" t="str">
        <f t="shared" si="2"/>
        <v>108 (80-147)</v>
      </c>
      <c r="Q81" s="37">
        <f>41380+41548</f>
        <v>82928</v>
      </c>
      <c r="R81" s="35" t="str">
        <f t="shared" si="3"/>
        <v>115 (80-156)</v>
      </c>
      <c r="S81" s="37">
        <f>42430+42597</f>
        <v>85027</v>
      </c>
      <c r="T81" s="35" t="str">
        <f t="shared" si="4"/>
        <v>118 (82-160)</v>
      </c>
    </row>
    <row r="82">
      <c r="A82" s="16" t="s">
        <v>109</v>
      </c>
      <c r="B82" s="17">
        <v>130.76473508586645</v>
      </c>
      <c r="C82" s="18">
        <v>93.54707971527368</v>
      </c>
      <c r="D82" s="17">
        <v>176.53239236591966</v>
      </c>
      <c r="E82" s="10">
        <f>(B82/100000)*'Birth Pop per Year'!C82</f>
        <v>1480.318261</v>
      </c>
      <c r="F82" s="8">
        <f>(C82/100000)*'Birth Pop per Year'!G82</f>
        <v>1042.421302</v>
      </c>
      <c r="G82" s="8">
        <f>(D82/100000)*'Birth Pop per Year'!C82</f>
        <v>1998.429652</v>
      </c>
      <c r="H82" s="8">
        <f>(B82/100000)*'Birth Pop per Year'!G82</f>
        <v>1457.148057</v>
      </c>
      <c r="I82" s="8">
        <f>(C82/100000)*'Birth Pop per Year'!G82</f>
        <v>1042.421302</v>
      </c>
      <c r="J82" s="8">
        <f>(D82/100000)*'Birth Pop per Year'!G82</f>
        <v>1967.149877</v>
      </c>
      <c r="K82" s="8">
        <f>(B82/100000)*'Birth Pop per Year'!K82</f>
        <v>1485.000946</v>
      </c>
      <c r="L82" s="34">
        <f>(C82/100000)*'Birth Pop per Year'!K82</f>
        <v>1062.34683</v>
      </c>
      <c r="M82" s="34">
        <f>(D82/100000)*'Birth Pop per Year'!K82</f>
        <v>2004.751277</v>
      </c>
      <c r="N82" s="35" t="str">
        <f t="shared" si="1"/>
        <v>131 (94-177)</v>
      </c>
      <c r="O82" s="37">
        <f>556744+575303</f>
        <v>1132047</v>
      </c>
      <c r="P82" s="35" t="str">
        <f t="shared" si="2"/>
        <v>1,480 (1,042-1,998)</v>
      </c>
      <c r="Q82" s="37">
        <f>548100+566228</f>
        <v>1114328</v>
      </c>
      <c r="R82" s="35" t="str">
        <f t="shared" si="3"/>
        <v>1,457 (1,042-1,967)</v>
      </c>
      <c r="S82" s="37">
        <f>558436+577192</f>
        <v>1135628</v>
      </c>
      <c r="T82" s="35" t="str">
        <f t="shared" si="4"/>
        <v>1,485 (1,062-2,005)</v>
      </c>
    </row>
    <row r="83">
      <c r="A83" s="16" t="s">
        <v>110</v>
      </c>
      <c r="B83" s="17">
        <v>168.30860464571174</v>
      </c>
      <c r="C83" s="18">
        <v>122.86528139136958</v>
      </c>
      <c r="D83" s="17">
        <v>228.22646789958512</v>
      </c>
      <c r="E83" s="10">
        <f>(B83/100000)*'Birth Pop per Year'!C83</f>
        <v>867.1107834</v>
      </c>
      <c r="F83" s="8">
        <f>(C83/100000)*'Birth Pop per Year'!G83</f>
        <v>689.4548406</v>
      </c>
      <c r="G83" s="8">
        <f>(D83/100000)*'Birth Pop per Year'!C83</f>
        <v>1175.802222</v>
      </c>
      <c r="H83" s="8">
        <f>(B83/100000)*'Birth Pop per Year'!G83</f>
        <v>944.4586857</v>
      </c>
      <c r="I83" s="8">
        <f>(C83/100000)*'Birth Pop per Year'!G83</f>
        <v>689.4548406</v>
      </c>
      <c r="J83" s="8">
        <f>(D83/100000)*'Birth Pop per Year'!G83</f>
        <v>1280.685978</v>
      </c>
      <c r="K83" s="8">
        <f>(B83/100000)*'Birth Pop per Year'!K83</f>
        <v>953.0592554</v>
      </c>
      <c r="L83" s="34">
        <f>(C83/100000)*'Birth Pop per Year'!K83</f>
        <v>695.7332564</v>
      </c>
      <c r="M83" s="34">
        <f>(D83/100000)*'Birth Pop per Year'!K83</f>
        <v>1292.34835</v>
      </c>
      <c r="N83" s="35" t="str">
        <f t="shared" si="1"/>
        <v>168 (123-228)</v>
      </c>
      <c r="O83" s="37">
        <f>255235+259956</f>
        <v>515191</v>
      </c>
      <c r="P83" s="35" t="str">
        <f t="shared" si="2"/>
        <v>867 (689-1,176)</v>
      </c>
      <c r="Q83" s="37">
        <f>278020+283127</f>
        <v>561147</v>
      </c>
      <c r="R83" s="35" t="str">
        <f t="shared" si="3"/>
        <v>944 (689-1,281)</v>
      </c>
      <c r="S83" s="37">
        <f>280594+285663</f>
        <v>566257</v>
      </c>
      <c r="T83" s="35" t="str">
        <f t="shared" si="4"/>
        <v>953 (696-1,292)</v>
      </c>
    </row>
    <row r="84">
      <c r="A84" s="16" t="s">
        <v>111</v>
      </c>
      <c r="B84" s="17">
        <v>184.6764181697525</v>
      </c>
      <c r="C84" s="18">
        <v>129.06191580766662</v>
      </c>
      <c r="D84" s="17">
        <v>249.0562497084714</v>
      </c>
      <c r="E84" s="10">
        <f>(B84/100000)*'Birth Pop per Year'!C84</f>
        <v>908.0871899</v>
      </c>
      <c r="F84" s="8">
        <f>(C84/100000)*'Birth Pop per Year'!G84</f>
        <v>706.4810553</v>
      </c>
      <c r="G84" s="8">
        <f>(D84/100000)*'Birth Pop per Year'!C84</f>
        <v>1224.65441</v>
      </c>
      <c r="H84" s="8">
        <f>(B84/100000)*'Birth Pop per Year'!G84</f>
        <v>1010.913173</v>
      </c>
      <c r="I84" s="8">
        <f>(C84/100000)*'Birth Pop per Year'!G84</f>
        <v>706.4810553</v>
      </c>
      <c r="J84" s="8">
        <f>(D84/100000)*'Birth Pop per Year'!G84</f>
        <v>1363.326439</v>
      </c>
      <c r="K84" s="8">
        <f>(B84/100000)*'Birth Pop per Year'!K84</f>
        <v>1070.670768</v>
      </c>
      <c r="L84" s="34">
        <f>(C84/100000)*'Birth Pop per Year'!K84</f>
        <v>748.24291</v>
      </c>
      <c r="M84" s="34">
        <f>(D84/100000)*'Birth Pop per Year'!K84</f>
        <v>1443.91606</v>
      </c>
      <c r="N84" s="35" t="str">
        <f t="shared" si="1"/>
        <v>185 (129-249)</v>
      </c>
      <c r="O84" s="37">
        <f>241702+250016</f>
        <v>491718</v>
      </c>
      <c r="P84" s="35" t="str">
        <f t="shared" si="2"/>
        <v>908 (706-1,225)</v>
      </c>
      <c r="Q84" s="37">
        <f>269110+278287</f>
        <v>547397</v>
      </c>
      <c r="R84" s="35" t="str">
        <f t="shared" si="3"/>
        <v>1,011 (706-1,363)</v>
      </c>
      <c r="S84" s="37">
        <f>285101+294654</f>
        <v>579755</v>
      </c>
      <c r="T84" s="35" t="str">
        <f t="shared" si="4"/>
        <v>1,071 (748-1,444)</v>
      </c>
    </row>
    <row r="85">
      <c r="A85" s="16" t="s">
        <v>112</v>
      </c>
      <c r="B85" s="17">
        <v>223.64881174173735</v>
      </c>
      <c r="C85" s="18">
        <v>154.08362901974348</v>
      </c>
      <c r="D85" s="17">
        <v>297.43991677861874</v>
      </c>
      <c r="E85" s="10">
        <f>(B85/100000)*'Birth Pop per Year'!C85</f>
        <v>1646.126822</v>
      </c>
      <c r="F85" s="8">
        <f>(C85/100000)*'Birth Pop per Year'!G85</f>
        <v>1203.279121</v>
      </c>
      <c r="G85" s="8">
        <f>(D85/100000)*'Birth Pop per Year'!C85</f>
        <v>2189.252968</v>
      </c>
      <c r="H85" s="8">
        <f>(B85/100000)*'Birth Pop per Year'!G85</f>
        <v>1746.53172</v>
      </c>
      <c r="I85" s="8">
        <f>(C85/100000)*'Birth Pop per Year'!G85</f>
        <v>1203.279121</v>
      </c>
      <c r="J85" s="8">
        <f>(D85/100000)*'Birth Pop per Year'!G85</f>
        <v>2322.785645</v>
      </c>
      <c r="K85" s="8">
        <f>(B85/100000)*'Birth Pop per Year'!K85</f>
        <v>1736.373591</v>
      </c>
      <c r="L85" s="34">
        <f>(C85/100000)*'Birth Pop per Year'!K85</f>
        <v>1196.280642</v>
      </c>
      <c r="M85" s="34">
        <f>(D85/100000)*'Birth Pop per Year'!K85</f>
        <v>2309.275923</v>
      </c>
      <c r="N85" s="35" t="str">
        <f t="shared" si="1"/>
        <v>224 (154-297)</v>
      </c>
      <c r="O85" s="37">
        <f>362331+373701</f>
        <v>736032</v>
      </c>
      <c r="P85" s="35" t="str">
        <f t="shared" si="2"/>
        <v>1,646 (1,203-2,189)</v>
      </c>
      <c r="Q85" s="37">
        <f>384608+396318</f>
        <v>780926</v>
      </c>
      <c r="R85" s="35" t="str">
        <f t="shared" si="3"/>
        <v>1,747 (1,203-2,323)</v>
      </c>
      <c r="S85" s="37">
        <f>382398+393986</f>
        <v>776384</v>
      </c>
      <c r="T85" s="35" t="str">
        <f t="shared" si="4"/>
        <v>1,736 (1,196-2,309)</v>
      </c>
    </row>
    <row r="86">
      <c r="A86" s="16" t="s">
        <v>113</v>
      </c>
      <c r="B86" s="17">
        <v>130.88217603117897</v>
      </c>
      <c r="C86" s="18">
        <v>91.2819278986684</v>
      </c>
      <c r="D86" s="17">
        <v>177.1943306268269</v>
      </c>
      <c r="E86" s="10">
        <f>(B86/100000)*'Birth Pop per Year'!C86</f>
        <v>8.08197437</v>
      </c>
      <c r="F86" s="8">
        <f>(C86/100000)*'Birth Pop per Year'!G86</f>
        <v>5.633007771</v>
      </c>
      <c r="G86" s="8">
        <f>(D86/100000)*'Birth Pop per Year'!C86</f>
        <v>10.94174992</v>
      </c>
      <c r="H86" s="8">
        <f>(B86/100000)*'Birth Pop per Year'!G86</f>
        <v>8.076739083</v>
      </c>
      <c r="I86" s="8">
        <f>(C86/100000)*'Birth Pop per Year'!G86</f>
        <v>5.633007771</v>
      </c>
      <c r="J86" s="8">
        <f>(D86/100000)*'Birth Pop per Year'!G86</f>
        <v>10.93466214</v>
      </c>
      <c r="K86" s="8">
        <f>(B86/100000)*'Birth Pop per Year'!K86</f>
        <v>7.292754848</v>
      </c>
      <c r="L86" s="34">
        <f>(C86/100000)*'Birth Pop per Year'!K86</f>
        <v>5.086229023</v>
      </c>
      <c r="M86" s="34">
        <f>(D86/100000)*'Birth Pop per Year'!K86</f>
        <v>9.873268103</v>
      </c>
      <c r="N86" s="35" t="str">
        <f t="shared" si="1"/>
        <v>131 (91-177)</v>
      </c>
      <c r="O86" s="37">
        <f>3039+3136</f>
        <v>6175</v>
      </c>
      <c r="P86" s="35" t="str">
        <f t="shared" si="2"/>
        <v>8 (6-11)</v>
      </c>
      <c r="Q86" s="37">
        <f>3036+3135</f>
        <v>6171</v>
      </c>
      <c r="R86" s="35" t="str">
        <f t="shared" si="3"/>
        <v>8 (6-11)</v>
      </c>
      <c r="S86" s="37">
        <f>2741+2831</f>
        <v>5572</v>
      </c>
      <c r="T86" s="35" t="str">
        <f t="shared" si="4"/>
        <v>7 (5-10)</v>
      </c>
    </row>
    <row r="87">
      <c r="A87" s="16" t="s">
        <v>114</v>
      </c>
      <c r="B87" s="17">
        <v>116.93407008742501</v>
      </c>
      <c r="C87" s="18">
        <v>81.46306682183078</v>
      </c>
      <c r="D87" s="17">
        <v>162.62553192107177</v>
      </c>
      <c r="E87" s="10">
        <f>(B87/100000)*'Birth Pop per Year'!C87</f>
        <v>1167.62177</v>
      </c>
      <c r="F87" s="8">
        <f>(C87/100000)*'Birth Pop per Year'!G87</f>
        <v>910.4401957</v>
      </c>
      <c r="G87" s="8">
        <f>(D87/100000)*'Birth Pop per Year'!C87</f>
        <v>1623.864724</v>
      </c>
      <c r="H87" s="8">
        <f>(B87/100000)*'Birth Pop per Year'!G87</f>
        <v>1306.86803</v>
      </c>
      <c r="I87" s="8">
        <f>(C87/100000)*'Birth Pop per Year'!G87</f>
        <v>910.4401957</v>
      </c>
      <c r="J87" s="8">
        <f>(D87/100000)*'Birth Pop per Year'!G87</f>
        <v>1817.520834</v>
      </c>
      <c r="K87" s="8">
        <f>(B87/100000)*'Birth Pop per Year'!K87</f>
        <v>1403.746738</v>
      </c>
      <c r="L87" s="34">
        <f>(C87/100000)*'Birth Pop per Year'!K87</f>
        <v>977.931532</v>
      </c>
      <c r="M87" s="34">
        <f>(D87/100000)*'Birth Pop per Year'!K87</f>
        <v>1952.25446</v>
      </c>
      <c r="N87" s="35" t="str">
        <f t="shared" si="1"/>
        <v>117 (81-163)</v>
      </c>
      <c r="O87" s="37">
        <f>494252+504278</f>
        <v>998530</v>
      </c>
      <c r="P87" s="35" t="str">
        <f t="shared" si="2"/>
        <v>1,168 (910-1,624)</v>
      </c>
      <c r="Q87" s="37">
        <f>553423+564188</f>
        <v>1117611</v>
      </c>
      <c r="R87" s="35" t="str">
        <f t="shared" si="3"/>
        <v>1,307 (910-1,818)</v>
      </c>
      <c r="S87" s="37">
        <f>595513+604947</f>
        <v>1200460</v>
      </c>
      <c r="T87" s="35" t="str">
        <f t="shared" si="4"/>
        <v>1,404 (978-1,952)</v>
      </c>
    </row>
    <row r="88">
      <c r="A88" s="16" t="s">
        <v>115</v>
      </c>
      <c r="B88" s="17">
        <v>190.60876336421953</v>
      </c>
      <c r="C88" s="18">
        <v>132.9828581610834</v>
      </c>
      <c r="D88" s="17">
        <v>255.6226051318603</v>
      </c>
      <c r="E88" s="10">
        <f>(B88/100000)*'Birth Pop per Year'!C88</f>
        <v>1708.876183</v>
      </c>
      <c r="F88" s="8">
        <f>(C88/100000)*'Birth Pop per Year'!G88</f>
        <v>1322.361594</v>
      </c>
      <c r="G88" s="8">
        <f>(D88/100000)*'Birth Pop per Year'!C88</f>
        <v>2291.748679</v>
      </c>
      <c r="H88" s="8">
        <f>(B88/100000)*'Birth Pop per Year'!G88</f>
        <v>1895.384952</v>
      </c>
      <c r="I88" s="8">
        <f>(C88/100000)*'Birth Pop per Year'!G88</f>
        <v>1322.361594</v>
      </c>
      <c r="J88" s="8">
        <f>(D88/100000)*'Birth Pop per Year'!G88</f>
        <v>2541.872842</v>
      </c>
      <c r="K88" s="8">
        <f>(B88/100000)*'Birth Pop per Year'!K88</f>
        <v>2101.943856</v>
      </c>
      <c r="L88" s="34">
        <f>(C88/100000)*'Birth Pop per Year'!K88</f>
        <v>1466.472458</v>
      </c>
      <c r="M88" s="34">
        <f>(D88/100000)*'Birth Pop per Year'!K88</f>
        <v>2818.885947</v>
      </c>
      <c r="N88" s="35" t="str">
        <f t="shared" si="1"/>
        <v>191 (133-256)</v>
      </c>
      <c r="O88" s="37">
        <f>441022+455514</f>
        <v>896536</v>
      </c>
      <c r="P88" s="35" t="str">
        <f t="shared" si="2"/>
        <v>1,709 (1,322-2,292)</v>
      </c>
      <c r="Q88" s="37">
        <f>489296+505089</f>
        <v>994385</v>
      </c>
      <c r="R88" s="35" t="str">
        <f t="shared" si="3"/>
        <v>1,895 (1,322-2,542)</v>
      </c>
      <c r="S88" s="37">
        <f>542748+560005</f>
        <v>1102753</v>
      </c>
      <c r="T88" s="35" t="str">
        <f t="shared" si="4"/>
        <v>2,102 (1,466-2,819)</v>
      </c>
    </row>
    <row r="89">
      <c r="A89" s="16" t="s">
        <v>116</v>
      </c>
      <c r="B89" s="17">
        <v>141.92969601614408</v>
      </c>
      <c r="C89" s="18">
        <v>96.62624393956236</v>
      </c>
      <c r="D89" s="17">
        <v>195.1533320221981</v>
      </c>
      <c r="E89" s="10">
        <f>(B89/100000)*'Birth Pop per Year'!C89</f>
        <v>1474.856759</v>
      </c>
      <c r="F89" s="8">
        <f>(C89/100000)*'Birth Pop per Year'!G89</f>
        <v>1199.160675</v>
      </c>
      <c r="G89" s="8">
        <f>(D89/100000)*'Birth Pop per Year'!C89</f>
        <v>2027.928044</v>
      </c>
      <c r="H89" s="8">
        <f>(B89/100000)*'Birth Pop per Year'!G89</f>
        <v>1761.390106</v>
      </c>
      <c r="I89" s="8">
        <f>(C89/100000)*'Birth Pop per Year'!G89</f>
        <v>1199.160675</v>
      </c>
      <c r="J89" s="8">
        <f>(D89/100000)*'Birth Pop per Year'!G89</f>
        <v>2421.911396</v>
      </c>
      <c r="K89" s="8">
        <f>(B89/100000)*'Birth Pop per Year'!K89</f>
        <v>1932.45513</v>
      </c>
      <c r="L89" s="34">
        <f>(C89/100000)*'Birth Pop per Year'!K89</f>
        <v>1315.622354</v>
      </c>
      <c r="M89" s="34">
        <f>(D89/100000)*'Birth Pop per Year'!K89</f>
        <v>2657.125804</v>
      </c>
      <c r="N89" s="35" t="str">
        <f t="shared" si="1"/>
        <v>142 (97-195)</v>
      </c>
      <c r="O89" s="37">
        <f>514543+524603</f>
        <v>1039146</v>
      </c>
      <c r="P89" s="35" t="str">
        <f t="shared" si="2"/>
        <v>1,475 (1,199-2,028)</v>
      </c>
      <c r="Q89" s="37">
        <f>614540+626490</f>
        <v>1241030</v>
      </c>
      <c r="R89" s="35" t="str">
        <f t="shared" si="3"/>
        <v>1,761 (1,199-2,422)</v>
      </c>
      <c r="S89" s="37">
        <f>674267+687291</f>
        <v>1361558</v>
      </c>
      <c r="T89" s="35" t="str">
        <f t="shared" si="4"/>
        <v>1,932 (1,316-2,657)</v>
      </c>
    </row>
    <row r="90">
      <c r="A90" s="16" t="s">
        <v>117</v>
      </c>
      <c r="B90" s="17">
        <v>138.46927484483058</v>
      </c>
      <c r="C90" s="18">
        <v>97.95788028591132</v>
      </c>
      <c r="D90" s="17">
        <v>187.6142452933556</v>
      </c>
      <c r="E90" s="10">
        <f>(B90/100000)*'Birth Pop per Year'!C90</f>
        <v>112.0687229</v>
      </c>
      <c r="F90" s="8">
        <f>(C90/100000)*'Birth Pop per Year'!G90</f>
        <v>81.32659137</v>
      </c>
      <c r="G90" s="8">
        <f>(D90/100000)*'Birth Pop per Year'!C90</f>
        <v>151.8437133</v>
      </c>
      <c r="H90" s="8">
        <f>(B90/100000)*'Birth Pop per Year'!G90</f>
        <v>114.9599614</v>
      </c>
      <c r="I90" s="8">
        <f>(C90/100000)*'Birth Pop per Year'!G90</f>
        <v>81.32659137</v>
      </c>
      <c r="J90" s="8">
        <f>(D90/100000)*'Birth Pop per Year'!G90</f>
        <v>155.7610987</v>
      </c>
      <c r="K90" s="8">
        <f>(B90/100000)*'Birth Pop per Year'!K90</f>
        <v>114.6013259</v>
      </c>
      <c r="L90" s="34">
        <f>(C90/100000)*'Birth Pop per Year'!K90</f>
        <v>81.07288046</v>
      </c>
      <c r="M90" s="34">
        <f>(D90/100000)*'Birth Pop per Year'!K90</f>
        <v>155.2751778</v>
      </c>
      <c r="N90" s="35" t="str">
        <f t="shared" si="1"/>
        <v>138 (98-188)</v>
      </c>
      <c r="O90" s="37">
        <f>39969+40965</f>
        <v>80934</v>
      </c>
      <c r="P90" s="35" t="str">
        <f t="shared" si="2"/>
        <v>112 (81-152)</v>
      </c>
      <c r="Q90" s="37">
        <f>41004+42018</f>
        <v>83022</v>
      </c>
      <c r="R90" s="35" t="str">
        <f t="shared" si="3"/>
        <v>115 (81-156)</v>
      </c>
      <c r="S90" s="37">
        <f>40878+41885</f>
        <v>82763</v>
      </c>
      <c r="T90" s="35" t="str">
        <f t="shared" si="4"/>
        <v>115 (81-155)</v>
      </c>
    </row>
    <row r="91">
      <c r="A91" s="16" t="s">
        <v>118</v>
      </c>
      <c r="B91" s="17">
        <v>134.73093042144316</v>
      </c>
      <c r="C91" s="18">
        <v>92.74678779719741</v>
      </c>
      <c r="D91" s="17">
        <v>187.7836197375355</v>
      </c>
      <c r="E91" s="10">
        <f>(B91/100000)*'Birth Pop per Year'!C91</f>
        <v>1217.218507</v>
      </c>
      <c r="F91" s="8">
        <f>(C91/100000)*'Birth Pop per Year'!G91</f>
        <v>896.0749452</v>
      </c>
      <c r="G91" s="8">
        <f>(D91/100000)*'Birth Pop per Year'!C91</f>
        <v>1696.519846</v>
      </c>
      <c r="H91" s="8">
        <f>(B91/100000)*'Birth Pop per Year'!G91</f>
        <v>1301.705579</v>
      </c>
      <c r="I91" s="8">
        <f>(C91/100000)*'Birth Pop per Year'!G91</f>
        <v>896.0749452</v>
      </c>
      <c r="J91" s="8">
        <f>(D91/100000)*'Birth Pop per Year'!G91</f>
        <v>1814.275198</v>
      </c>
      <c r="K91" s="8">
        <f>(B91/100000)*'Birth Pop per Year'!K91</f>
        <v>1320.838718</v>
      </c>
      <c r="L91" s="34">
        <f>(C91/100000)*'Birth Pop per Year'!K91</f>
        <v>909.2459166</v>
      </c>
      <c r="M91" s="34">
        <f>(D91/100000)*'Birth Pop per Year'!K91</f>
        <v>1840.94235</v>
      </c>
      <c r="N91" s="35" t="str">
        <f t="shared" si="1"/>
        <v>135 (93-188)</v>
      </c>
      <c r="O91" s="37">
        <f>444645+458799</f>
        <v>903444</v>
      </c>
      <c r="P91" s="35" t="str">
        <f t="shared" si="2"/>
        <v>1,217 (896-1,697)</v>
      </c>
      <c r="Q91" s="37">
        <f>475709+490443</f>
        <v>966152</v>
      </c>
      <c r="R91" s="35" t="str">
        <f t="shared" si="3"/>
        <v>1,302 (896-1,814)</v>
      </c>
      <c r="S91" s="37">
        <f>482758+497595</f>
        <v>980353</v>
      </c>
      <c r="T91" s="35" t="str">
        <f t="shared" si="4"/>
        <v>1,321 (909-1,841)</v>
      </c>
    </row>
    <row r="92">
      <c r="A92" s="16" t="s">
        <v>119</v>
      </c>
      <c r="B92" s="17">
        <v>179.98783855550832</v>
      </c>
      <c r="C92" s="18">
        <v>122.11296117486506</v>
      </c>
      <c r="D92" s="17">
        <v>247.2560206419104</v>
      </c>
      <c r="E92" s="10">
        <f>(B92/100000)*'Birth Pop per Year'!C92</f>
        <v>866.4092583</v>
      </c>
      <c r="F92" s="8">
        <f>(C92/100000)*'Birth Pop per Year'!G92</f>
        <v>610.2888306</v>
      </c>
      <c r="G92" s="8">
        <f>(D92/100000)*'Birth Pop per Year'!C92</f>
        <v>1190.218779</v>
      </c>
      <c r="H92" s="8">
        <f>(B92/100000)*'Birth Pop per Year'!G92</f>
        <v>899.5324203</v>
      </c>
      <c r="I92" s="8">
        <f>(C92/100000)*'Birth Pop per Year'!G92</f>
        <v>610.2888306</v>
      </c>
      <c r="J92" s="8">
        <f>(D92/100000)*'Birth Pop per Year'!G92</f>
        <v>1235.721305</v>
      </c>
      <c r="K92" s="8">
        <f>(B92/100000)*'Birth Pop per Year'!K92</f>
        <v>917.4664085</v>
      </c>
      <c r="L92" s="34">
        <f>(C92/100000)*'Birth Pop per Year'!K92</f>
        <v>622.456166</v>
      </c>
      <c r="M92" s="34">
        <f>(D92/100000)*'Birth Pop per Year'!K92</f>
        <v>1260.357894</v>
      </c>
      <c r="N92" s="35" t="str">
        <f t="shared" si="1"/>
        <v>180 (122-247)</v>
      </c>
      <c r="O92" s="37">
        <f>236489+244882</f>
        <v>481371</v>
      </c>
      <c r="P92" s="35" t="str">
        <f t="shared" si="2"/>
        <v>866 (610-1,190)</v>
      </c>
      <c r="Q92" s="37">
        <f>245696+254078</f>
        <v>499774</v>
      </c>
      <c r="R92" s="35" t="str">
        <f t="shared" si="3"/>
        <v>900 (610-1,236)</v>
      </c>
      <c r="S92" s="37">
        <f>250693+259045</f>
        <v>509738</v>
      </c>
      <c r="T92" s="35" t="str">
        <f t="shared" si="4"/>
        <v>917 (622-1,260)</v>
      </c>
    </row>
    <row r="93">
      <c r="A93" s="16" t="s">
        <v>120</v>
      </c>
      <c r="B93" s="17">
        <v>151.18268655490482</v>
      </c>
      <c r="C93" s="18">
        <v>105.18526961649978</v>
      </c>
      <c r="D93" s="17">
        <v>206.65015992180508</v>
      </c>
      <c r="E93" s="10">
        <f>(B93/100000)*'Birth Pop per Year'!C93</f>
        <v>98.69810509</v>
      </c>
      <c r="F93" s="8">
        <f>(C93/100000)*'Birth Pop per Year'!G93</f>
        <v>71.45550921</v>
      </c>
      <c r="G93" s="8">
        <f>(D93/100000)*'Birth Pop per Year'!C93</f>
        <v>134.9094904</v>
      </c>
      <c r="H93" s="8">
        <f>(B93/100000)*'Birth Pop per Year'!G93</f>
        <v>102.7029345</v>
      </c>
      <c r="I93" s="8">
        <f>(C93/100000)*'Birth Pop per Year'!G93</f>
        <v>71.45550921</v>
      </c>
      <c r="J93" s="8">
        <f>(D93/100000)*'Birth Pop per Year'!G93</f>
        <v>140.3836531</v>
      </c>
      <c r="K93" s="8">
        <f>(B93/100000)*'Birth Pop per Year'!K93</f>
        <v>104.5020084</v>
      </c>
      <c r="L93" s="34">
        <f>(C93/100000)*'Birth Pop per Year'!K93</f>
        <v>72.70721392</v>
      </c>
      <c r="M93" s="34">
        <f>(D93/100000)*'Birth Pop per Year'!K93</f>
        <v>142.84279</v>
      </c>
      <c r="N93" s="35" t="str">
        <f t="shared" si="1"/>
        <v>151 (105-207)</v>
      </c>
      <c r="O93" s="37">
        <f>32153+33131</f>
        <v>65284</v>
      </c>
      <c r="P93" s="35" t="str">
        <f t="shared" si="2"/>
        <v>99 (71-135)</v>
      </c>
      <c r="Q93" s="37">
        <f>33466+34467</f>
        <v>67933</v>
      </c>
      <c r="R93" s="35" t="str">
        <f t="shared" si="3"/>
        <v>103 (71-140)</v>
      </c>
      <c r="S93" s="37">
        <f>34063+35060</f>
        <v>69123</v>
      </c>
      <c r="T93" s="35" t="str">
        <f t="shared" si="4"/>
        <v>105 (73-143)</v>
      </c>
    </row>
    <row r="94">
      <c r="A94" s="16" t="s">
        <v>121</v>
      </c>
      <c r="B94" s="17">
        <v>102.77785431035032</v>
      </c>
      <c r="C94" s="18">
        <v>72.74536441446872</v>
      </c>
      <c r="D94" s="17">
        <v>141.4863968428199</v>
      </c>
      <c r="E94" s="10">
        <f>(B94/100000)*'Birth Pop per Year'!C94</f>
        <v>178.2373549</v>
      </c>
      <c r="F94" s="8">
        <f>(C94/100000)*'Birth Pop per Year'!G94</f>
        <v>134.0551575</v>
      </c>
      <c r="G94" s="8">
        <f>(D94/100000)*'Birth Pop per Year'!C94</f>
        <v>245.3657094</v>
      </c>
      <c r="H94" s="8">
        <f>(B94/100000)*'Birth Pop per Year'!G94</f>
        <v>189.3990299</v>
      </c>
      <c r="I94" s="8">
        <f>(C94/100000)*'Birth Pop per Year'!G94</f>
        <v>134.0551575</v>
      </c>
      <c r="J94" s="8">
        <f>(D94/100000)*'Birth Pop per Year'!G94</f>
        <v>260.7311321</v>
      </c>
      <c r="K94" s="8">
        <f>(B94/100000)*'Birth Pop per Year'!K94</f>
        <v>192.2757821</v>
      </c>
      <c r="L94" s="34">
        <f>(C94/100000)*'Birth Pop per Year'!K94</f>
        <v>136.0913003</v>
      </c>
      <c r="M94" s="34">
        <f>(D94/100000)*'Birth Pop per Year'!K94</f>
        <v>264.6913363</v>
      </c>
      <c r="N94" s="35" t="str">
        <f t="shared" si="1"/>
        <v>103 (73-141)</v>
      </c>
      <c r="O94" s="37">
        <f>85501+87919</f>
        <v>173420</v>
      </c>
      <c r="P94" s="35" t="str">
        <f t="shared" si="2"/>
        <v>178 (134-245)</v>
      </c>
      <c r="Q94" s="37">
        <f>90893+93387</f>
        <v>184280</v>
      </c>
      <c r="R94" s="35" t="str">
        <f t="shared" si="3"/>
        <v>189 (134-261)</v>
      </c>
      <c r="S94" s="37">
        <f>92298+94781</f>
        <v>187079</v>
      </c>
      <c r="T94" s="35" t="str">
        <f t="shared" si="4"/>
        <v>192 (136-265)</v>
      </c>
    </row>
    <row r="95">
      <c r="A95" s="16" t="s">
        <v>122</v>
      </c>
      <c r="B95" s="17">
        <v>188.92022736449903</v>
      </c>
      <c r="C95" s="18">
        <v>130.30785765584562</v>
      </c>
      <c r="D95" s="17">
        <v>257.73742929921264</v>
      </c>
      <c r="E95" s="10">
        <f>(B95/100000)*'Birth Pop per Year'!C95</f>
        <v>1936.827174</v>
      </c>
      <c r="F95" s="8">
        <f>(C95/100000)*'Birth Pop per Year'!G95</f>
        <v>1503.868651</v>
      </c>
      <c r="G95" s="8">
        <f>(D95/100000)*'Birth Pop per Year'!C95</f>
        <v>2642.347322</v>
      </c>
      <c r="H95" s="8">
        <f>(B95/100000)*'Birth Pop per Year'!G95</f>
        <v>2180.307563</v>
      </c>
      <c r="I95" s="8">
        <f>(C95/100000)*'Birth Pop per Year'!G95</f>
        <v>1503.868651</v>
      </c>
      <c r="J95" s="8">
        <f>(D95/100000)*'Birth Pop per Year'!G95</f>
        <v>2974.51932</v>
      </c>
      <c r="K95" s="8">
        <f>(B95/100000)*'Birth Pop per Year'!K95</f>
        <v>2316.358465</v>
      </c>
      <c r="L95" s="34">
        <f>(C95/100000)*'Birth Pop per Year'!K95</f>
        <v>1597.709855</v>
      </c>
      <c r="M95" s="34">
        <f>(D95/100000)*'Birth Pop per Year'!K95</f>
        <v>3160.12893</v>
      </c>
      <c r="N95" s="35" t="str">
        <f t="shared" si="1"/>
        <v>189 (130-258)</v>
      </c>
      <c r="O95" s="37">
        <f>506612+518597</f>
        <v>1025209</v>
      </c>
      <c r="P95" s="35" t="str">
        <f t="shared" si="2"/>
        <v>1,937 (1,504-2,642)</v>
      </c>
      <c r="Q95" s="37">
        <f>570538+583551</f>
        <v>1154089</v>
      </c>
      <c r="R95" s="35" t="str">
        <f t="shared" si="3"/>
        <v>2,180 (1,504-2,975)</v>
      </c>
      <c r="S95" s="37">
        <f>606298+619806</f>
        <v>1226104</v>
      </c>
      <c r="T95" s="35" t="str">
        <f t="shared" si="4"/>
        <v>2,316 (1,598-3,160)</v>
      </c>
    </row>
    <row r="96">
      <c r="A96" s="16" t="s">
        <v>123</v>
      </c>
      <c r="B96" s="17">
        <v>111.90778050036289</v>
      </c>
      <c r="C96" s="18">
        <v>75.48635062622904</v>
      </c>
      <c r="D96" s="17">
        <v>154.79107696506887</v>
      </c>
      <c r="E96" s="10">
        <f>(B96/100000)*'Birth Pop per Year'!C96</f>
        <v>208.943017</v>
      </c>
      <c r="F96" s="8">
        <f>(C96/100000)*'Birth Pop per Year'!G96</f>
        <v>157.7355234</v>
      </c>
      <c r="G96" s="8">
        <f>(D96/100000)*'Birth Pop per Year'!C96</f>
        <v>289.0104198</v>
      </c>
      <c r="H96" s="8">
        <f>(B96/100000)*'Birth Pop per Year'!G96</f>
        <v>233.8413791</v>
      </c>
      <c r="I96" s="8">
        <f>(C96/100000)*'Birth Pop per Year'!G96</f>
        <v>157.7355234</v>
      </c>
      <c r="J96" s="8">
        <f>(D96/100000)*'Birth Pop per Year'!G96</f>
        <v>323.4498865</v>
      </c>
      <c r="K96" s="8">
        <f>(B96/100000)*'Birth Pop per Year'!K96</f>
        <v>254.0373762</v>
      </c>
      <c r="L96" s="34">
        <f>(C96/100000)*'Birth Pop per Year'!K96</f>
        <v>171.3585451</v>
      </c>
      <c r="M96" s="34">
        <f>(D96/100000)*'Birth Pop per Year'!K96</f>
        <v>351.3850322</v>
      </c>
      <c r="N96" s="35" t="str">
        <f t="shared" si="1"/>
        <v>112 (75-155)</v>
      </c>
      <c r="O96" s="37">
        <f>92146+94564</f>
        <v>186710</v>
      </c>
      <c r="P96" s="35" t="str">
        <f t="shared" si="2"/>
        <v>209 (158-289)</v>
      </c>
      <c r="Q96" s="37">
        <f>103147+105812</f>
        <v>208959</v>
      </c>
      <c r="R96" s="35" t="str">
        <f t="shared" si="3"/>
        <v>234 (158-323)</v>
      </c>
      <c r="S96" s="37">
        <f>111999+115007</f>
        <v>227006</v>
      </c>
      <c r="T96" s="35" t="str">
        <f t="shared" si="4"/>
        <v>254 (171-351)</v>
      </c>
    </row>
    <row r="97">
      <c r="A97" s="16" t="s">
        <v>124</v>
      </c>
      <c r="B97" s="17">
        <v>179.79802161935342</v>
      </c>
      <c r="C97" s="18">
        <v>123.32624863186639</v>
      </c>
      <c r="D97" s="17">
        <v>243.36042081154739</v>
      </c>
      <c r="E97" s="10">
        <f>(B97/100000)*'Birth Pop per Year'!C97</f>
        <v>2082.940303</v>
      </c>
      <c r="F97" s="8">
        <f>(C97/100000)*'Birth Pop per Year'!G97</f>
        <v>1548.078634</v>
      </c>
      <c r="G97" s="8">
        <f>(D97/100000)*'Birth Pop per Year'!C97</f>
        <v>2819.303705</v>
      </c>
      <c r="H97" s="8">
        <f>(B97/100000)*'Birth Pop per Year'!G97</f>
        <v>2256.952424</v>
      </c>
      <c r="I97" s="8">
        <f>(C97/100000)*'Birth Pop per Year'!G97</f>
        <v>1548.078634</v>
      </c>
      <c r="J97" s="8">
        <f>(D97/100000)*'Birth Pop per Year'!G97</f>
        <v>3054.832788</v>
      </c>
      <c r="K97" s="8">
        <f>(B97/100000)*'Birth Pop per Year'!K97</f>
        <v>2404.872256</v>
      </c>
      <c r="L97" s="34">
        <f>(C97/100000)*'Birth Pop per Year'!K97</f>
        <v>1649.539139</v>
      </c>
      <c r="M97" s="34">
        <f>(D97/100000)*'Birth Pop per Year'!K97</f>
        <v>3255.045406</v>
      </c>
      <c r="N97" s="35" t="str">
        <f t="shared" si="1"/>
        <v>180 (123-243)</v>
      </c>
      <c r="O97" s="37">
        <f>569678+588811</f>
        <v>1158489</v>
      </c>
      <c r="P97" s="35" t="str">
        <f t="shared" si="2"/>
        <v>2,083 (1,548-2,819)</v>
      </c>
      <c r="Q97" s="37">
        <f>617467+637804</f>
        <v>1255271</v>
      </c>
      <c r="R97" s="35" t="str">
        <f t="shared" si="3"/>
        <v>2,257 (1,548-3,055)</v>
      </c>
      <c r="S97" s="37">
        <f>658197+679344</f>
        <v>1337541</v>
      </c>
      <c r="T97" s="35" t="str">
        <f t="shared" si="4"/>
        <v>2,405 (1,650-3,255)</v>
      </c>
    </row>
    <row r="98">
      <c r="A98" s="16" t="s">
        <v>125</v>
      </c>
      <c r="B98" s="17">
        <v>147.42526870166353</v>
      </c>
      <c r="C98" s="18">
        <v>103.89668721000858</v>
      </c>
      <c r="D98" s="17">
        <v>199.5324757427688</v>
      </c>
      <c r="E98" s="10">
        <f>(B98/100000)*'Birth Pop per Year'!C98</f>
        <v>11104.2452</v>
      </c>
      <c r="F98" s="8">
        <f>(C98/100000)*'Birth Pop per Year'!G98</f>
        <v>8155.602152</v>
      </c>
      <c r="G98" s="8">
        <f>(D98/100000)*'Birth Pop per Year'!C98</f>
        <v>15029.02152</v>
      </c>
      <c r="H98" s="8">
        <f>(B98/100000)*'Birth Pop per Year'!G98</f>
        <v>11572.47523</v>
      </c>
      <c r="I98" s="8">
        <f>(C98/100000)*'Birth Pop per Year'!G98</f>
        <v>8155.602152</v>
      </c>
      <c r="J98" s="8">
        <f>(D98/100000)*'Birth Pop per Year'!G98</f>
        <v>15662.74664</v>
      </c>
      <c r="K98" s="8">
        <f>(B98/100000)*'Birth Pop per Year'!K98</f>
        <v>11405.55739</v>
      </c>
      <c r="L98" s="34">
        <f>(C98/100000)*'Birth Pop per Year'!K98</f>
        <v>8037.968245</v>
      </c>
      <c r="M98" s="34">
        <f>(D98/100000)*'Birth Pop per Year'!K98</f>
        <v>15436.83198</v>
      </c>
      <c r="N98" s="35" t="str">
        <f t="shared" si="1"/>
        <v>147 (104-200)</v>
      </c>
      <c r="O98" s="37">
        <f>3709857+3822261</f>
        <v>7532118</v>
      </c>
      <c r="P98" s="35" t="str">
        <f t="shared" si="2"/>
        <v>11,104 (8,156-15,029)</v>
      </c>
      <c r="Q98" s="37">
        <f>3866779+3982944</f>
        <v>7849723</v>
      </c>
      <c r="R98" s="35" t="str">
        <f t="shared" si="3"/>
        <v>11,572 (8,156-15,663)</v>
      </c>
      <c r="S98" s="37">
        <f>3811528+3924973</f>
        <v>7736501</v>
      </c>
      <c r="T98" s="35" t="str">
        <f t="shared" si="4"/>
        <v>11,406 (8,038-15,437)</v>
      </c>
    </row>
    <row r="99">
      <c r="A99" s="16" t="s">
        <v>126</v>
      </c>
      <c r="B99" s="17">
        <v>96.87136506910208</v>
      </c>
      <c r="C99" s="18">
        <v>67.45117271478217</v>
      </c>
      <c r="D99" s="17">
        <v>129.52060292572534</v>
      </c>
      <c r="E99" s="10">
        <f>(B99/100000)*'Birth Pop per Year'!C99</f>
        <v>6.7771207</v>
      </c>
      <c r="F99" s="8">
        <f>(C99/100000)*'Birth Pop per Year'!G99</f>
        <v>5.034555531</v>
      </c>
      <c r="G99" s="8">
        <f>(D99/100000)*'Birth Pop per Year'!C99</f>
        <v>9.061261381</v>
      </c>
      <c r="H99" s="8">
        <f>(B99/100000)*'Birth Pop per Year'!G99</f>
        <v>7.230478689</v>
      </c>
      <c r="I99" s="8">
        <f>(C99/100000)*'Birth Pop per Year'!G99</f>
        <v>5.034555531</v>
      </c>
      <c r="J99" s="8">
        <f>(D99/100000)*'Birth Pop per Year'!G99</f>
        <v>9.667417802</v>
      </c>
      <c r="K99" s="8">
        <f>(B99/100000)*'Birth Pop per Year'!K99</f>
        <v>7.241134539</v>
      </c>
      <c r="L99" s="34">
        <f>(C99/100000)*'Birth Pop per Year'!K99</f>
        <v>5.04197516</v>
      </c>
      <c r="M99" s="34">
        <f>(D99/100000)*'Birth Pop per Year'!K99</f>
        <v>9.681665069</v>
      </c>
      <c r="N99" s="35" t="str">
        <f t="shared" si="1"/>
        <v>97 (67-130)</v>
      </c>
      <c r="O99" s="37">
        <f>3454+3542</f>
        <v>6996</v>
      </c>
      <c r="P99" s="35" t="str">
        <f t="shared" si="2"/>
        <v>7 (5-9)</v>
      </c>
      <c r="Q99" s="37">
        <f>3685+3779</f>
        <v>7464</v>
      </c>
      <c r="R99" s="35" t="str">
        <f t="shared" si="3"/>
        <v>7 (5-10)</v>
      </c>
      <c r="S99" s="37">
        <f>3690+3785</f>
        <v>7475</v>
      </c>
      <c r="T99" s="35" t="str">
        <f t="shared" si="4"/>
        <v>7 (5-10)</v>
      </c>
    </row>
    <row r="100">
      <c r="A100" s="16" t="s">
        <v>127</v>
      </c>
      <c r="B100" s="17">
        <v>164.99513780371942</v>
      </c>
      <c r="C100" s="18">
        <v>116.32502393274778</v>
      </c>
      <c r="D100" s="17">
        <v>225.40130750173384</v>
      </c>
      <c r="E100" s="10">
        <f>(B100/100000)*'Birth Pop per Year'!C100</f>
        <v>939.2282221</v>
      </c>
      <c r="F100" s="8">
        <f>(C100/100000)*'Birth Pop per Year'!G100</f>
        <v>702.289067</v>
      </c>
      <c r="G100" s="8">
        <f>(D100/100000)*'Birth Pop per Year'!C100</f>
        <v>1283.087927</v>
      </c>
      <c r="H100" s="8">
        <f>(B100/100000)*'Birth Pop per Year'!G100</f>
        <v>996.1251455</v>
      </c>
      <c r="I100" s="8">
        <f>(C100/100000)*'Birth Pop per Year'!G100</f>
        <v>702.289067</v>
      </c>
      <c r="J100" s="8">
        <f>(D100/100000)*'Birth Pop per Year'!G100</f>
        <v>1360.815314</v>
      </c>
      <c r="K100" s="8">
        <f>(B100/100000)*'Birth Pop per Year'!K100</f>
        <v>1041.08797</v>
      </c>
      <c r="L100" s="34">
        <f>(C100/100000)*'Birth Pop per Year'!K100</f>
        <v>733.9887993</v>
      </c>
      <c r="M100" s="34">
        <f>(D100/100000)*'Birth Pop per Year'!K100</f>
        <v>1422.239424</v>
      </c>
      <c r="N100" s="35" t="str">
        <f t="shared" si="1"/>
        <v>165 (116-225)</v>
      </c>
      <c r="O100" s="37">
        <f>281131+288115</f>
        <v>569246</v>
      </c>
      <c r="P100" s="35" t="str">
        <f t="shared" si="2"/>
        <v>939 (702-1,283)</v>
      </c>
      <c r="Q100" s="37">
        <f>298195+305535</f>
        <v>603730</v>
      </c>
      <c r="R100" s="35" t="str">
        <f t="shared" si="3"/>
        <v>996 (702-1,361)</v>
      </c>
      <c r="S100" s="37">
        <f>311565+319416</f>
        <v>630981</v>
      </c>
      <c r="T100" s="35" t="str">
        <f t="shared" si="4"/>
        <v>1,041 (734-1,422)</v>
      </c>
    </row>
    <row r="101">
      <c r="A101" s="16" t="s">
        <v>128</v>
      </c>
      <c r="B101" s="17">
        <v>170.4740168316176</v>
      </c>
      <c r="C101" s="18">
        <v>115.21230214160407</v>
      </c>
      <c r="D101" s="17">
        <v>230.75952376617786</v>
      </c>
      <c r="E101" s="10">
        <f>(B101/100000)*'Birth Pop per Year'!C101</f>
        <v>425.9941112</v>
      </c>
      <c r="F101" s="8">
        <f>(C101/100000)*'Birth Pop per Year'!G101</f>
        <v>292.5205788</v>
      </c>
      <c r="G101" s="8">
        <f>(D101/100000)*'Birth Pop per Year'!C101</f>
        <v>576.6403587</v>
      </c>
      <c r="H101" s="8">
        <f>(B101/100000)*'Birth Pop per Year'!G101</f>
        <v>432.8284145</v>
      </c>
      <c r="I101" s="8">
        <f>(C101/100000)*'Birth Pop per Year'!G101</f>
        <v>292.5205788</v>
      </c>
      <c r="J101" s="8">
        <f>(D101/100000)*'Birth Pop per Year'!G101</f>
        <v>585.8915081</v>
      </c>
      <c r="K101" s="8">
        <f>(B101/100000)*'Birth Pop per Year'!K101</f>
        <v>428.1216269</v>
      </c>
      <c r="L101" s="34">
        <f>(C101/100000)*'Birth Pop per Year'!K101</f>
        <v>289.3395671</v>
      </c>
      <c r="M101" s="34">
        <f>(D101/100000)*'Birth Pop per Year'!K101</f>
        <v>579.5202376</v>
      </c>
      <c r="N101" s="35" t="str">
        <f t="shared" si="1"/>
        <v>170 (115-231)</v>
      </c>
      <c r="O101" s="37">
        <f>123519+126369</f>
        <v>249888</v>
      </c>
      <c r="P101" s="35" t="str">
        <f t="shared" si="2"/>
        <v>426 (293-577)</v>
      </c>
      <c r="Q101" s="37">
        <f>125505+128392</f>
        <v>253897</v>
      </c>
      <c r="R101" s="35" t="str">
        <f t="shared" si="3"/>
        <v>433 (293-586)</v>
      </c>
      <c r="S101" s="37">
        <f>124182+126954</f>
        <v>251136</v>
      </c>
      <c r="T101" s="35" t="str">
        <f t="shared" si="4"/>
        <v>428 (289-580)</v>
      </c>
    </row>
    <row r="102">
      <c r="A102" s="16" t="s">
        <v>129</v>
      </c>
      <c r="B102" s="17">
        <v>102.98061250970412</v>
      </c>
      <c r="C102" s="18">
        <v>72.67302718248106</v>
      </c>
      <c r="D102" s="17">
        <v>141.76128620797874</v>
      </c>
      <c r="E102" s="10">
        <f>(B102/100000)*'Birth Pop per Year'!C102</f>
        <v>311.6286017</v>
      </c>
      <c r="F102" s="8">
        <f>(C102/100000)*'Birth Pop per Year'!G102</f>
        <v>247.7801396</v>
      </c>
      <c r="G102" s="8">
        <f>(D102/100000)*'Birth Pop per Year'!C102</f>
        <v>428.9824106</v>
      </c>
      <c r="H102" s="8">
        <f>(B102/100000)*'Birth Pop per Year'!G102</f>
        <v>351.114458</v>
      </c>
      <c r="I102" s="8">
        <f>(C102/100000)*'Birth Pop per Year'!G102</f>
        <v>247.7801396</v>
      </c>
      <c r="J102" s="8">
        <f>(D102/100000)*'Birth Pop per Year'!G102</f>
        <v>483.3379406</v>
      </c>
      <c r="K102" s="8">
        <f>(B102/100000)*'Birth Pop per Year'!K102</f>
        <v>376.6279047</v>
      </c>
      <c r="L102" s="34">
        <f>(C102/100000)*'Birth Pop per Year'!K102</f>
        <v>265.7848821</v>
      </c>
      <c r="M102" s="34">
        <f>(D102/100000)*'Birth Pop per Year'!K102</f>
        <v>518.4592992</v>
      </c>
      <c r="N102" s="35" t="str">
        <f t="shared" si="1"/>
        <v>103 (73-142)</v>
      </c>
      <c r="O102" s="37">
        <f>149754+152855</f>
        <v>302609</v>
      </c>
      <c r="P102" s="35" t="str">
        <f t="shared" si="2"/>
        <v>312 (248-429)</v>
      </c>
      <c r="Q102" s="37">
        <f>168740+172212</f>
        <v>340952</v>
      </c>
      <c r="R102" s="35" t="str">
        <f t="shared" si="3"/>
        <v>351 (248-483)</v>
      </c>
      <c r="S102" s="37">
        <f>181027+184700</f>
        <v>365727</v>
      </c>
      <c r="T102" s="35" t="str">
        <f t="shared" si="4"/>
        <v>377 (266-518)</v>
      </c>
    </row>
    <row r="103">
      <c r="A103" s="16" t="s">
        <v>130</v>
      </c>
      <c r="B103" s="17">
        <v>243.97923315635433</v>
      </c>
      <c r="C103" s="18">
        <v>162.9432735722795</v>
      </c>
      <c r="D103" s="17">
        <v>338.9568632065066</v>
      </c>
      <c r="E103" s="10">
        <f>(B103/100000)*'Birth Pop per Year'!C103</f>
        <v>72.17393675</v>
      </c>
      <c r="F103" s="8">
        <f>(C103/100000)*'Birth Pop per Year'!G103</f>
        <v>41.91715713</v>
      </c>
      <c r="G103" s="8">
        <f>(D103/100000)*'Birth Pop per Year'!C103</f>
        <v>100.2702193</v>
      </c>
      <c r="H103" s="8">
        <f>(B103/100000)*'Birth Pop per Year'!G103</f>
        <v>62.76365773</v>
      </c>
      <c r="I103" s="8">
        <f>(C103/100000)*'Birth Pop per Year'!G103</f>
        <v>41.91715713</v>
      </c>
      <c r="J103" s="8">
        <f>(D103/100000)*'Birth Pop per Year'!G103</f>
        <v>87.19665306</v>
      </c>
      <c r="K103" s="8">
        <f>(B103/100000)*'Birth Pop per Year'!K103</f>
        <v>58.50378032</v>
      </c>
      <c r="L103" s="34">
        <f>(C103/100000)*'Birth Pop per Year'!K103</f>
        <v>39.07216757</v>
      </c>
      <c r="M103" s="34">
        <f>(D103/100000)*'Birth Pop per Year'!K103</f>
        <v>81.27846623</v>
      </c>
      <c r="N103" s="35" t="str">
        <f t="shared" si="1"/>
        <v>244 (163-339)</v>
      </c>
      <c r="O103" s="37">
        <f>14319+15263</f>
        <v>29582</v>
      </c>
      <c r="P103" s="35" t="str">
        <f t="shared" si="2"/>
        <v>72 (42-100)</v>
      </c>
      <c r="Q103" s="37">
        <f>12473+13252</f>
        <v>25725</v>
      </c>
      <c r="R103" s="35" t="str">
        <f t="shared" si="3"/>
        <v>63 (42-87)</v>
      </c>
      <c r="S103" s="37">
        <f>11626+12353</f>
        <v>23979</v>
      </c>
      <c r="T103" s="35" t="str">
        <f t="shared" si="4"/>
        <v>59 (39-81)</v>
      </c>
    </row>
    <row r="104">
      <c r="A104" s="16" t="s">
        <v>131</v>
      </c>
      <c r="B104" s="17">
        <v>253.3837283442333</v>
      </c>
      <c r="C104" s="18">
        <v>172.1236405370448</v>
      </c>
      <c r="D104" s="17">
        <v>337.5987284353196</v>
      </c>
      <c r="E104" s="10">
        <f>(B104/100000)*'Birth Pop per Year'!C104</f>
        <v>307.8967037</v>
      </c>
      <c r="F104" s="8">
        <f>(C104/100000)*'Birth Pop per Year'!G104</f>
        <v>217.4661712</v>
      </c>
      <c r="G104" s="8">
        <f>(D104/100000)*'Birth Pop per Year'!C104</f>
        <v>410.2297189</v>
      </c>
      <c r="H104" s="8">
        <f>(B104/100000)*'Birth Pop per Year'!G104</f>
        <v>320.1326039</v>
      </c>
      <c r="I104" s="8">
        <f>(C104/100000)*'Birth Pop per Year'!G104</f>
        <v>217.4661712</v>
      </c>
      <c r="J104" s="8">
        <f>(D104/100000)*'Birth Pop per Year'!G104</f>
        <v>426.5323615</v>
      </c>
      <c r="K104" s="8">
        <f>(B104/100000)*'Birth Pop per Year'!K104</f>
        <v>293.6514705</v>
      </c>
      <c r="L104" s="34">
        <f>(C104/100000)*'Birth Pop per Year'!K104</f>
        <v>199.4775295</v>
      </c>
      <c r="M104" s="34">
        <f>(D104/100000)*'Birth Pop per Year'!K104</f>
        <v>391.2499184</v>
      </c>
      <c r="N104" s="35" t="str">
        <f t="shared" si="1"/>
        <v>253 (172-338)</v>
      </c>
      <c r="O104" s="37">
        <f>58171+63343</f>
        <v>121514</v>
      </c>
      <c r="P104" s="35" t="str">
        <f t="shared" si="2"/>
        <v>308 (217-410)</v>
      </c>
      <c r="Q104" s="37">
        <f>61153+65190</f>
        <v>126343</v>
      </c>
      <c r="R104" s="35" t="str">
        <f t="shared" si="3"/>
        <v>320 (217-427)</v>
      </c>
      <c r="S104" s="37">
        <f>56179+59713</f>
        <v>115892</v>
      </c>
      <c r="T104" s="35" t="str">
        <f t="shared" si="4"/>
        <v>294 (199-391)</v>
      </c>
    </row>
    <row r="105">
      <c r="A105" s="16" t="s">
        <v>132</v>
      </c>
      <c r="B105" s="17">
        <v>195.4381500164042</v>
      </c>
      <c r="C105" s="18">
        <v>140.68504962270345</v>
      </c>
      <c r="D105" s="17">
        <v>262.35860605314963</v>
      </c>
      <c r="E105" s="10">
        <f>(B105/100000)*'Birth Pop per Year'!C105</f>
        <v>77.47754581</v>
      </c>
      <c r="F105" s="8">
        <f>(C105/100000)*'Birth Pop per Year'!G105</f>
        <v>58.27737496</v>
      </c>
      <c r="G105" s="8">
        <f>(D105/100000)*'Birth Pop per Year'!C105</f>
        <v>104.0068222</v>
      </c>
      <c r="H105" s="8">
        <f>(B105/100000)*'Birth Pop per Year'!G105</f>
        <v>80.95829926</v>
      </c>
      <c r="I105" s="8">
        <f>(C105/100000)*'Birth Pop per Year'!G105</f>
        <v>58.27737496</v>
      </c>
      <c r="J105" s="8">
        <f>(D105/100000)*'Birth Pop per Year'!G105</f>
        <v>108.679429</v>
      </c>
      <c r="K105" s="8">
        <f>(B105/100000)*'Birth Pop per Year'!K105</f>
        <v>78.67753605</v>
      </c>
      <c r="L105" s="34">
        <f>(C105/100000)*'Birth Pop per Year'!K105</f>
        <v>56.63558043</v>
      </c>
      <c r="M105" s="34">
        <f>(D105/100000)*'Birth Pop per Year'!K105</f>
        <v>105.617704</v>
      </c>
      <c r="N105" s="35" t="str">
        <f t="shared" si="1"/>
        <v>195 (141-262)</v>
      </c>
      <c r="O105" s="37">
        <f>19214+20429</f>
        <v>39643</v>
      </c>
      <c r="P105" s="35" t="str">
        <f t="shared" si="2"/>
        <v>77 (58-104)</v>
      </c>
      <c r="Q105" s="37">
        <f>20077+21347</f>
        <v>41424</v>
      </c>
      <c r="R105" s="35" t="str">
        <f t="shared" si="3"/>
        <v>81 (58-109)</v>
      </c>
      <c r="S105" s="37">
        <f>19505+20752</f>
        <v>40257</v>
      </c>
      <c r="T105" s="35" t="str">
        <f t="shared" si="4"/>
        <v>79 (57-106)</v>
      </c>
    </row>
    <row r="106">
      <c r="A106" s="16" t="s">
        <v>133</v>
      </c>
      <c r="B106" s="17">
        <v>293.38397778509074</v>
      </c>
      <c r="C106" s="18">
        <v>200.0548280787225</v>
      </c>
      <c r="D106" s="17">
        <v>399.21655424637913</v>
      </c>
      <c r="E106" s="10">
        <f>(B106/100000)*'Birth Pop per Year'!C106</f>
        <v>1127.239919</v>
      </c>
      <c r="F106" s="8">
        <f>(C106/100000)*'Birth Pop per Year'!G106</f>
        <v>861.2100278</v>
      </c>
      <c r="G106" s="8">
        <f>(D106/100000)*'Birth Pop per Year'!C106</f>
        <v>1533.869845</v>
      </c>
      <c r="H106" s="8">
        <f>(B106/100000)*'Birth Pop per Year'!G106</f>
        <v>1262.979884</v>
      </c>
      <c r="I106" s="8">
        <f>(C106/100000)*'Birth Pop per Year'!G106</f>
        <v>861.2100278</v>
      </c>
      <c r="J106" s="8">
        <f>(D106/100000)*'Birth Pop per Year'!G106</f>
        <v>1718.575368</v>
      </c>
      <c r="K106" s="8">
        <f>(B106/100000)*'Birth Pop per Year'!K106</f>
        <v>1319.629397</v>
      </c>
      <c r="L106" s="34">
        <f>(C106/100000)*'Birth Pop per Year'!K106</f>
        <v>899.8386145</v>
      </c>
      <c r="M106" s="34">
        <f>(D106/100000)*'Birth Pop per Year'!K106</f>
        <v>1795.660092</v>
      </c>
      <c r="N106" s="35" t="str">
        <f t="shared" si="1"/>
        <v>293 (200-399)</v>
      </c>
      <c r="O106" s="37">
        <f t="shared" ref="O106:O107" si="5">186378+197842</f>
        <v>384220</v>
      </c>
      <c r="P106" s="35" t="str">
        <f t="shared" si="2"/>
        <v>1,127 (861-1,534)</v>
      </c>
      <c r="Q106" s="37">
        <f t="shared" ref="Q106:Q107" si="6">208862+221625</f>
        <v>430487</v>
      </c>
      <c r="R106" s="35" t="str">
        <f t="shared" si="3"/>
        <v>1,263 (861-1,719)</v>
      </c>
      <c r="S106" s="37">
        <f t="shared" ref="S106:S107" si="7">218206+231590</f>
        <v>449796</v>
      </c>
      <c r="T106" s="35" t="str">
        <f t="shared" si="4"/>
        <v>1,320 (900-1,796)</v>
      </c>
    </row>
    <row r="107">
      <c r="A107" s="16" t="s">
        <v>134</v>
      </c>
      <c r="B107" s="17">
        <v>209.79974638187576</v>
      </c>
      <c r="C107" s="18">
        <v>143.63883051041282</v>
      </c>
      <c r="D107" s="17">
        <v>298.59465978831275</v>
      </c>
      <c r="E107" s="10">
        <f>(B107/100000)*'Birth Pop per Year'!C107</f>
        <v>806.0925855</v>
      </c>
      <c r="F107" s="8">
        <f>(C107/100000)*'Birth Pop per Year'!G107</f>
        <v>618.3464923</v>
      </c>
      <c r="G107" s="8">
        <f>(D107/100000)*'Birth Pop per Year'!C107</f>
        <v>1147.260402</v>
      </c>
      <c r="H107" s="8">
        <f>(B107/100000)*'Birth Pop per Year'!G107</f>
        <v>903.1606342</v>
      </c>
      <c r="I107" s="8">
        <f>(C107/100000)*'Birth Pop per Year'!G107</f>
        <v>618.3464923</v>
      </c>
      <c r="J107" s="8">
        <f>(D107/100000)*'Birth Pop per Year'!G107</f>
        <v>1285.411193</v>
      </c>
      <c r="K107" s="8">
        <f>(B107/100000)*'Birth Pop per Year'!K107</f>
        <v>943.6708672</v>
      </c>
      <c r="L107" s="34">
        <f>(C107/100000)*'Birth Pop per Year'!K107</f>
        <v>646.0817141</v>
      </c>
      <c r="M107" s="34">
        <f>(D107/100000)*'Birth Pop per Year'!K107</f>
        <v>1343.066836</v>
      </c>
      <c r="N107" s="35" t="str">
        <f t="shared" si="1"/>
        <v>210 (144-299)</v>
      </c>
      <c r="O107" s="37">
        <f t="shared" si="5"/>
        <v>384220</v>
      </c>
      <c r="P107" s="35" t="str">
        <f t="shared" si="2"/>
        <v>806 (618-1,147)</v>
      </c>
      <c r="Q107" s="37">
        <f t="shared" si="6"/>
        <v>430487</v>
      </c>
      <c r="R107" s="35" t="str">
        <f t="shared" si="3"/>
        <v>903 (618-1,285)</v>
      </c>
      <c r="S107" s="37">
        <f t="shared" si="7"/>
        <v>449796</v>
      </c>
      <c r="T107" s="35" t="str">
        <f t="shared" si="4"/>
        <v>944 (646-1,343)</v>
      </c>
    </row>
    <row r="108">
      <c r="A108" s="16" t="s">
        <v>135</v>
      </c>
      <c r="B108" s="17">
        <v>324.5634949790442</v>
      </c>
      <c r="C108" s="18">
        <v>209.39580321228658</v>
      </c>
      <c r="D108" s="17">
        <v>483.9898451520351</v>
      </c>
      <c r="E108" s="10">
        <f>(B108/100000)*'Birth Pop per Year'!C108</f>
        <v>189.145868</v>
      </c>
      <c r="F108" s="8">
        <f>(C108/100000)*'Birth Pop per Year'!G108</f>
        <v>147.0942699</v>
      </c>
      <c r="G108" s="8">
        <f>(D108/100000)*'Birth Pop per Year'!C108</f>
        <v>282.0547621</v>
      </c>
      <c r="H108" s="8">
        <f>(B108/100000)*'Birth Pop per Year'!G108</f>
        <v>227.9961183</v>
      </c>
      <c r="I108" s="8">
        <f>(C108/100000)*'Birth Pop per Year'!G108</f>
        <v>147.0942699</v>
      </c>
      <c r="J108" s="8">
        <f>(D108/100000)*'Birth Pop per Year'!G108</f>
        <v>339.9883465</v>
      </c>
      <c r="K108" s="8">
        <f>(B108/100000)*'Birth Pop per Year'!K108</f>
        <v>223.8806532</v>
      </c>
      <c r="L108" s="34">
        <f>(C108/100000)*'Birth Pop per Year'!K108</f>
        <v>144.4391311</v>
      </c>
      <c r="M108" s="34">
        <f>(D108/100000)*'Birth Pop per Year'!K108</f>
        <v>333.8513553</v>
      </c>
      <c r="N108" s="35" t="str">
        <f t="shared" si="1"/>
        <v>325 (209-484)</v>
      </c>
      <c r="O108" s="37">
        <f>28586+29691</f>
        <v>58277</v>
      </c>
      <c r="P108" s="35" t="str">
        <f t="shared" si="2"/>
        <v>189 (147-282)</v>
      </c>
      <c r="Q108" s="37">
        <f>34477+35770</f>
        <v>70247</v>
      </c>
      <c r="R108" s="35" t="str">
        <f t="shared" si="3"/>
        <v>228 (147-340)</v>
      </c>
      <c r="S108" s="37">
        <f>33848+35131</f>
        <v>68979</v>
      </c>
      <c r="T108" s="35" t="str">
        <f t="shared" si="4"/>
        <v>224 (144-334)</v>
      </c>
    </row>
    <row r="109">
      <c r="A109" s="16" t="s">
        <v>136</v>
      </c>
      <c r="B109" s="17">
        <v>231.3517862867847</v>
      </c>
      <c r="C109" s="18">
        <v>158.6623095746689</v>
      </c>
      <c r="D109" s="17">
        <v>325.8112078010062</v>
      </c>
      <c r="E109" s="10">
        <f>(B109/100000)*'Birth Pop per Year'!C109</f>
        <v>596.3022886</v>
      </c>
      <c r="F109" s="8">
        <f>(C109/100000)*'Birth Pop per Year'!G109</f>
        <v>467.2652616</v>
      </c>
      <c r="G109" s="8">
        <f>(D109/100000)*'Birth Pop per Year'!C109</f>
        <v>839.7686138</v>
      </c>
      <c r="H109" s="8">
        <f>(B109/100000)*'Birth Pop per Year'!G109</f>
        <v>681.3379512</v>
      </c>
      <c r="I109" s="8">
        <f>(C109/100000)*'Birth Pop per Year'!G109</f>
        <v>467.2652616</v>
      </c>
      <c r="J109" s="8">
        <f>(D109/100000)*'Birth Pop per Year'!G109</f>
        <v>959.5237813</v>
      </c>
      <c r="K109" s="8">
        <f>(B109/100000)*'Birth Pop per Year'!K109</f>
        <v>647.9261262</v>
      </c>
      <c r="L109" s="34">
        <f>(C109/100000)*'Birth Pop per Year'!K109</f>
        <v>444.3512508</v>
      </c>
      <c r="M109" s="34">
        <f>(D109/100000)*'Birth Pop per Year'!K109</f>
        <v>912.4701267</v>
      </c>
      <c r="N109" s="35" t="str">
        <f t="shared" si="1"/>
        <v>231 (159-326)</v>
      </c>
      <c r="O109" s="37">
        <f>125294+132453</f>
        <v>257747</v>
      </c>
      <c r="P109" s="35" t="str">
        <f t="shared" si="2"/>
        <v>596 (467-840)</v>
      </c>
      <c r="Q109" s="37">
        <f>143114+151389</f>
        <v>294503</v>
      </c>
      <c r="R109" s="35" t="str">
        <f t="shared" si="3"/>
        <v>681 (467-960)</v>
      </c>
      <c r="S109" s="37">
        <f>136025+144036</f>
        <v>280061</v>
      </c>
      <c r="T109" s="35" t="str">
        <f t="shared" si="4"/>
        <v>648 (444-912)</v>
      </c>
    </row>
    <row r="110">
      <c r="A110" s="16" t="s">
        <v>137</v>
      </c>
      <c r="B110" s="17">
        <v>260.6733596667314</v>
      </c>
      <c r="C110" s="18">
        <v>183.69599171145504</v>
      </c>
      <c r="D110" s="17">
        <v>348.14764143409093</v>
      </c>
      <c r="E110" s="10">
        <f>(B110/100000)*'Birth Pop per Year'!C110</f>
        <v>356.2049325</v>
      </c>
      <c r="F110" s="8">
        <f>(C110/100000)*'Birth Pop per Year'!G110</f>
        <v>272.5295363</v>
      </c>
      <c r="G110" s="8">
        <f>(D110/100000)*'Birth Pop per Year'!C110</f>
        <v>475.7367891</v>
      </c>
      <c r="H110" s="8">
        <f>(B110/100000)*'Birth Pop per Year'!G110</f>
        <v>386.7323897</v>
      </c>
      <c r="I110" s="8">
        <f>(C110/100000)*'Birth Pop per Year'!G110</f>
        <v>272.5295363</v>
      </c>
      <c r="J110" s="8">
        <f>(D110/100000)*'Birth Pop per Year'!G110</f>
        <v>516.5083594</v>
      </c>
      <c r="K110" s="8">
        <f>(B110/100000)*'Birth Pop per Year'!K110</f>
        <v>380.358926</v>
      </c>
      <c r="L110" s="34">
        <f>(C110/100000)*'Birth Pop per Year'!K110</f>
        <v>268.0381693</v>
      </c>
      <c r="M110" s="34">
        <f>(D110/100000)*'Birth Pop per Year'!K110</f>
        <v>507.9961495</v>
      </c>
      <c r="N110" s="35" t="str">
        <f t="shared" si="1"/>
        <v>261 (184-348)</v>
      </c>
      <c r="O110" s="37">
        <f>66414+70234</f>
        <v>136648</v>
      </c>
      <c r="P110" s="35" t="str">
        <f t="shared" si="2"/>
        <v>356 (273-476)</v>
      </c>
      <c r="Q110" s="37">
        <f>72144+76215</f>
        <v>148359</v>
      </c>
      <c r="R110" s="35" t="str">
        <f t="shared" si="3"/>
        <v>387 (273-517)</v>
      </c>
      <c r="S110" s="37">
        <f>70918+74996</f>
        <v>145914</v>
      </c>
      <c r="T110" s="35" t="str">
        <f t="shared" si="4"/>
        <v>380 (268-508)</v>
      </c>
    </row>
    <row r="111">
      <c r="A111" s="16" t="s">
        <v>138</v>
      </c>
      <c r="B111" s="17">
        <v>199.4528078838027</v>
      </c>
      <c r="C111" s="18">
        <v>133.22977343908235</v>
      </c>
      <c r="D111" s="17">
        <v>282.5254901458188</v>
      </c>
      <c r="E111" s="10">
        <f>(B111/100000)*'Birth Pop per Year'!C111</f>
        <v>1703.753808</v>
      </c>
      <c r="F111" s="8">
        <f>(C111/100000)*'Birth Pop per Year'!G111</f>
        <v>1187.266468</v>
      </c>
      <c r="G111" s="8">
        <f>(D111/100000)*'Birth Pop per Year'!C111</f>
        <v>2413.37229</v>
      </c>
      <c r="H111" s="8">
        <f>(B111/100000)*'Birth Pop per Year'!G111</f>
        <v>1777.407741</v>
      </c>
      <c r="I111" s="8">
        <f>(C111/100000)*'Birth Pop per Year'!G111</f>
        <v>1187.266468</v>
      </c>
      <c r="J111" s="8">
        <f>(D111/100000)*'Birth Pop per Year'!G111</f>
        <v>2517.703303</v>
      </c>
      <c r="K111" s="8">
        <f>(B111/100000)*'Birth Pop per Year'!K111</f>
        <v>1975.372631</v>
      </c>
      <c r="L111" s="34">
        <f>(C111/100000)*'Birth Pop per Year'!K111</f>
        <v>1319.502347</v>
      </c>
      <c r="M111" s="34">
        <f>(D111/100000)*'Birth Pop per Year'!K111</f>
        <v>2798.121153</v>
      </c>
      <c r="N111" s="35" t="str">
        <f t="shared" si="1"/>
        <v>199 (133-283)</v>
      </c>
      <c r="O111" s="37">
        <f>412330+441884</f>
        <v>854214</v>
      </c>
      <c r="P111" s="35" t="str">
        <f t="shared" si="2"/>
        <v>1,704 (1,187-2,413)</v>
      </c>
      <c r="Q111" s="37">
        <f>430460+460682</f>
        <v>891142</v>
      </c>
      <c r="R111" s="35" t="str">
        <f t="shared" si="3"/>
        <v>1,777 (1,187-2,518)</v>
      </c>
      <c r="S111" s="37">
        <f>478346+512050</f>
        <v>990396</v>
      </c>
      <c r="T111" s="35" t="str">
        <f t="shared" si="4"/>
        <v>1,975 (1,320-2,798)</v>
      </c>
    </row>
    <row r="112">
      <c r="A112" s="16" t="s">
        <v>139</v>
      </c>
      <c r="B112" s="17">
        <v>110.56229969999491</v>
      </c>
      <c r="C112" s="18">
        <v>77.20298513534128</v>
      </c>
      <c r="D112" s="17">
        <v>150.5934771775793</v>
      </c>
      <c r="E112" s="10">
        <f>(B112/100000)*'Birth Pop per Year'!C112</f>
        <v>25.88152874</v>
      </c>
      <c r="F112" s="8">
        <f>(C112/100000)*'Birth Pop per Year'!G112</f>
        <v>13.52673503</v>
      </c>
      <c r="G112" s="8">
        <f>(D112/100000)*'Birth Pop per Year'!C112</f>
        <v>35.25242707</v>
      </c>
      <c r="H112" s="8">
        <f>(B112/100000)*'Birth Pop per Year'!G112</f>
        <v>19.37162053</v>
      </c>
      <c r="I112" s="8">
        <f>(C112/100000)*'Birth Pop per Year'!G112</f>
        <v>13.52673503</v>
      </c>
      <c r="J112" s="8">
        <f>(D112/100000)*'Birth Pop per Year'!G112</f>
        <v>26.38548314</v>
      </c>
      <c r="K112" s="8">
        <f>(B112/100000)*'Birth Pop per Year'!K112</f>
        <v>17.21565569</v>
      </c>
      <c r="L112" s="34">
        <f>(C112/100000)*'Birth Pop per Year'!K112</f>
        <v>12.02127682</v>
      </c>
      <c r="M112" s="34">
        <f>(D112/100000)*'Birth Pop per Year'!K112</f>
        <v>23.44891033</v>
      </c>
      <c r="N112" s="35" t="str">
        <f t="shared" si="1"/>
        <v>111 (77-151)</v>
      </c>
      <c r="O112" s="37">
        <f>11354+12055</f>
        <v>23409</v>
      </c>
      <c r="P112" s="35" t="str">
        <f t="shared" si="2"/>
        <v>26 (14-35)</v>
      </c>
      <c r="Q112" s="37">
        <f>8508+9013</f>
        <v>17521</v>
      </c>
      <c r="R112" s="35" t="str">
        <f t="shared" si="3"/>
        <v>19 (14-26)</v>
      </c>
      <c r="S112" s="37">
        <f>7561+8010</f>
        <v>15571</v>
      </c>
      <c r="T112" s="35" t="str">
        <f t="shared" si="4"/>
        <v>17 (12-23)</v>
      </c>
    </row>
    <row r="113">
      <c r="A113" s="16" t="s">
        <v>140</v>
      </c>
      <c r="B113" s="17">
        <v>112.53941231396612</v>
      </c>
      <c r="C113" s="18">
        <v>149.64031747241648</v>
      </c>
      <c r="D113" s="17">
        <v>77.91190083274577</v>
      </c>
      <c r="E113" s="10">
        <f>(B113/100000)*'Birth Pop per Year'!C113</f>
        <v>26.14853245</v>
      </c>
      <c r="F113" s="8">
        <f>(C113/100000)*'Birth Pop per Year'!G113</f>
        <v>31.00098457</v>
      </c>
      <c r="G113" s="8">
        <f>(D113/100000)*'Birth Pop per Year'!C113</f>
        <v>18.10283016</v>
      </c>
      <c r="H113" s="8">
        <f>(B113/100000)*'Birth Pop per Year'!G113</f>
        <v>23.31479005</v>
      </c>
      <c r="I113" s="8">
        <f>(C113/100000)*'Birth Pop per Year'!G113</f>
        <v>31.00098457</v>
      </c>
      <c r="J113" s="8">
        <f>(D113/100000)*'Birth Pop per Year'!G113</f>
        <v>16.1410085</v>
      </c>
      <c r="K113" s="8">
        <f>(B113/100000)*'Birth Pop per Year'!K113</f>
        <v>19.69439715</v>
      </c>
      <c r="L113" s="34">
        <f>(C113/100000)*'Birth Pop per Year'!K113</f>
        <v>26.18705556</v>
      </c>
      <c r="M113" s="34">
        <f>(D113/100000)*'Birth Pop per Year'!K113</f>
        <v>13.63458265</v>
      </c>
      <c r="N113" s="35" t="str">
        <f t="shared" si="1"/>
        <v>113 (150-78)</v>
      </c>
      <c r="O113" s="37">
        <f>11241+11994</f>
        <v>23235</v>
      </c>
      <c r="P113" s="35" t="str">
        <f t="shared" si="2"/>
        <v>26 (31-18)</v>
      </c>
      <c r="Q113" s="37">
        <f>10022+10695</f>
        <v>20717</v>
      </c>
      <c r="R113" s="35" t="str">
        <f t="shared" si="3"/>
        <v>23 (31-16)</v>
      </c>
      <c r="S113" s="37">
        <f>8465+9035</f>
        <v>17500</v>
      </c>
      <c r="T113" s="35" t="str">
        <f t="shared" si="4"/>
        <v>20 (26-14)</v>
      </c>
    </row>
    <row r="114">
      <c r="A114" s="16" t="s">
        <v>141</v>
      </c>
      <c r="B114" s="17">
        <v>172.61038853275747</v>
      </c>
      <c r="C114" s="18">
        <v>115.07359235517164</v>
      </c>
      <c r="D114" s="17">
        <v>237.89252265732603</v>
      </c>
      <c r="E114" s="10">
        <f>(B114/100000)*'Birth Pop per Year'!C114</f>
        <v>96.04214628</v>
      </c>
      <c r="F114" s="8">
        <f>(C114/100000)*'Birth Pop per Year'!G114</f>
        <v>59.58165391</v>
      </c>
      <c r="G114" s="8">
        <f>(D114/100000)*'Birth Pop per Year'!C114</f>
        <v>132.3657785</v>
      </c>
      <c r="H114" s="8">
        <f>(B114/100000)*'Birth Pop per Year'!G114</f>
        <v>89.37248087</v>
      </c>
      <c r="I114" s="8">
        <f>(C114/100000)*'Birth Pop per Year'!G114</f>
        <v>59.58165391</v>
      </c>
      <c r="J114" s="8">
        <f>(D114/100000)*'Birth Pop per Year'!G114</f>
        <v>123.1736115</v>
      </c>
      <c r="K114" s="8">
        <f>(B114/100000)*'Birth Pop per Year'!K114</f>
        <v>82.46633923</v>
      </c>
      <c r="L114" s="34">
        <f>(C114/100000)*'Birth Pop per Year'!K114</f>
        <v>54.97755948</v>
      </c>
      <c r="M114" s="34">
        <f>(D114/100000)*'Birth Pop per Year'!K114</f>
        <v>113.6555316</v>
      </c>
      <c r="N114" s="35" t="str">
        <f t="shared" si="1"/>
        <v>173 (115-238)</v>
      </c>
      <c r="O114" s="37">
        <f>27009+28632</f>
        <v>55641</v>
      </c>
      <c r="P114" s="35" t="str">
        <f t="shared" si="2"/>
        <v>96 (60-132)</v>
      </c>
      <c r="Q114" s="37">
        <f>25129+26648</f>
        <v>51777</v>
      </c>
      <c r="R114" s="35" t="str">
        <f t="shared" si="3"/>
        <v>89 (60-123)</v>
      </c>
      <c r="S114" s="37">
        <f>23187+24589</f>
        <v>47776</v>
      </c>
      <c r="T114" s="35" t="str">
        <f t="shared" si="4"/>
        <v>82 (55-114)</v>
      </c>
    </row>
    <row r="115">
      <c r="A115" s="16" t="s">
        <v>142</v>
      </c>
      <c r="B115" s="17">
        <v>102.61854497354499</v>
      </c>
      <c r="C115" s="18">
        <v>74.42663701377987</v>
      </c>
      <c r="D115" s="17">
        <v>133.06580557009127</v>
      </c>
      <c r="E115" s="10">
        <f>(B115/100000)*'Birth Pop per Year'!C115</f>
        <v>30.52799094</v>
      </c>
      <c r="F115" s="8">
        <f>(C115/100000)*'Birth Pop per Year'!G115</f>
        <v>21.19745049</v>
      </c>
      <c r="G115" s="8">
        <f>(D115/100000)*'Birth Pop per Year'!C115</f>
        <v>39.5857465</v>
      </c>
      <c r="H115" s="8">
        <f>(B115/100000)*'Birth Pop per Year'!G115</f>
        <v>29.22678779</v>
      </c>
      <c r="I115" s="8">
        <f>(C115/100000)*'Birth Pop per Year'!G115</f>
        <v>21.19745049</v>
      </c>
      <c r="J115" s="8">
        <f>(D115/100000)*'Birth Pop per Year'!G115</f>
        <v>37.89847208</v>
      </c>
      <c r="K115" s="8">
        <f>(B115/100000)*'Birth Pop per Year'!K115</f>
        <v>25.98096322</v>
      </c>
      <c r="L115" s="34">
        <f>(C115/100000)*'Birth Pop per Year'!K115</f>
        <v>18.84333596</v>
      </c>
      <c r="M115" s="34">
        <f>(D115/100000)*'Birth Pop per Year'!K115</f>
        <v>33.68960065</v>
      </c>
      <c r="N115" s="35" t="str">
        <f t="shared" si="1"/>
        <v>103 (74-133)</v>
      </c>
      <c r="O115" s="37">
        <f>14440+15309</f>
        <v>29749</v>
      </c>
      <c r="P115" s="35" t="str">
        <f t="shared" si="2"/>
        <v>31 (21-40)</v>
      </c>
      <c r="Q115" s="37">
        <f>13826+14655</f>
        <v>28481</v>
      </c>
      <c r="R115" s="35" t="str">
        <f t="shared" si="3"/>
        <v>29 (21-38)</v>
      </c>
      <c r="S115" s="37">
        <f>12288+13030</f>
        <v>25318</v>
      </c>
      <c r="T115" s="35" t="str">
        <f t="shared" si="4"/>
        <v>26 (19-34)</v>
      </c>
    </row>
    <row r="116">
      <c r="A116" s="16" t="s">
        <v>143</v>
      </c>
      <c r="B116" s="17">
        <v>105.52927423441686</v>
      </c>
      <c r="C116" s="18">
        <v>71.30356367190328</v>
      </c>
      <c r="D116" s="17">
        <v>143.5578415260986</v>
      </c>
      <c r="E116" s="10">
        <f>(B116/100000)*'Birth Pop per Year'!C116</f>
        <v>85.44494276</v>
      </c>
      <c r="F116" s="8">
        <f>(C116/100000)*'Birth Pop per Year'!G116</f>
        <v>64.33577943</v>
      </c>
      <c r="G116" s="8">
        <f>(D116/100000)*'Birth Pop per Year'!C116</f>
        <v>116.2359131</v>
      </c>
      <c r="H116" s="8">
        <f>(B116/100000)*'Birth Pop per Year'!G116</f>
        <v>95.21695356</v>
      </c>
      <c r="I116" s="8">
        <f>(C116/100000)*'Birth Pop per Year'!G116</f>
        <v>64.33577943</v>
      </c>
      <c r="J116" s="8">
        <f>(D116/100000)*'Birth Pop per Year'!G116</f>
        <v>129.5293693</v>
      </c>
      <c r="K116" s="8">
        <f>(B116/100000)*'Birth Pop per Year'!K116</f>
        <v>94.75473534</v>
      </c>
      <c r="L116" s="34">
        <f>(C116/100000)*'Birth Pop per Year'!K116</f>
        <v>64.02346982</v>
      </c>
      <c r="M116" s="34">
        <f>(D116/100000)*'Birth Pop per Year'!K116</f>
        <v>128.9005859</v>
      </c>
      <c r="N116" s="35" t="str">
        <f t="shared" si="1"/>
        <v>106 (71-144)</v>
      </c>
      <c r="O116" s="37">
        <f>39360+41608</f>
        <v>80968</v>
      </c>
      <c r="P116" s="35" t="str">
        <f t="shared" si="2"/>
        <v>85 (64-116)</v>
      </c>
      <c r="Q116" s="37">
        <f>43837+46391</f>
        <v>90228</v>
      </c>
      <c r="R116" s="35" t="str">
        <f t="shared" si="3"/>
        <v>95 (64-130)</v>
      </c>
      <c r="S116" s="37">
        <f>43622+46168</f>
        <v>89790</v>
      </c>
      <c r="T116" s="35" t="str">
        <f t="shared" si="4"/>
        <v>95 (64-129)</v>
      </c>
    </row>
    <row r="117">
      <c r="A117" s="16" t="s">
        <v>144</v>
      </c>
      <c r="B117" s="17">
        <v>72.06277117126746</v>
      </c>
      <c r="C117" s="18">
        <v>48.38500350070816</v>
      </c>
      <c r="D117" s="17">
        <v>98.82894332059539</v>
      </c>
      <c r="E117" s="10">
        <f>(B117/100000)*'Birth Pop per Year'!C117</f>
        <v>57.88009718</v>
      </c>
      <c r="F117" s="8">
        <f>(C117/100000)*'Birth Pop per Year'!G117</f>
        <v>38.33301902</v>
      </c>
      <c r="G117" s="8">
        <f>(D117/100000)*'Birth Pop per Year'!C117</f>
        <v>79.37841899</v>
      </c>
      <c r="H117" s="8">
        <f>(B117/100000)*'Birth Pop per Year'!G117</f>
        <v>57.09173046</v>
      </c>
      <c r="I117" s="8">
        <f>(C117/100000)*'Birth Pop per Year'!G117</f>
        <v>38.33301902</v>
      </c>
      <c r="J117" s="8">
        <f>(D117/100000)*'Birth Pop per Year'!G117</f>
        <v>78.29723035</v>
      </c>
      <c r="K117" s="8">
        <f>(B117/100000)*'Birth Pop per Year'!K117</f>
        <v>56.54117089</v>
      </c>
      <c r="L117" s="34">
        <f>(C117/100000)*'Birth Pop per Year'!K117</f>
        <v>37.9633576</v>
      </c>
      <c r="M117" s="34">
        <f>(D117/100000)*'Birth Pop per Year'!K117</f>
        <v>77.54217722</v>
      </c>
      <c r="N117" s="35" t="str">
        <f t="shared" si="1"/>
        <v>72 (48-99)</v>
      </c>
      <c r="O117" s="37">
        <f>38955+41364</f>
        <v>80319</v>
      </c>
      <c r="P117" s="35" t="str">
        <f t="shared" si="2"/>
        <v>58 (38-79)</v>
      </c>
      <c r="Q117" s="37">
        <f>38409+40816</f>
        <v>79225</v>
      </c>
      <c r="R117" s="35" t="str">
        <f t="shared" si="3"/>
        <v>57 (38-78)</v>
      </c>
      <c r="S117" s="37">
        <f>38037+40424</f>
        <v>78461</v>
      </c>
      <c r="T117" s="35" t="str">
        <f t="shared" si="4"/>
        <v>57 (38-78)</v>
      </c>
    </row>
    <row r="118">
      <c r="A118" s="16" t="s">
        <v>145</v>
      </c>
      <c r="B118" s="17">
        <v>114.05101069137562</v>
      </c>
      <c r="C118" s="18">
        <v>79.30109337134711</v>
      </c>
      <c r="D118" s="17">
        <v>154.14706913756237</v>
      </c>
      <c r="E118" s="10">
        <f>(B118/100000)*'Birth Pop per Year'!C118</f>
        <v>7.157841431</v>
      </c>
      <c r="F118" s="8">
        <f>(C118/100000)*'Birth Pop per Year'!G118</f>
        <v>4.513025224</v>
      </c>
      <c r="G118" s="8">
        <f>(D118/100000)*'Birth Pop per Year'!C118</f>
        <v>9.674270059</v>
      </c>
      <c r="H118" s="8">
        <f>(B118/100000)*'Birth Pop per Year'!G118</f>
        <v>6.490643018</v>
      </c>
      <c r="I118" s="8">
        <f>(C118/100000)*'Birth Pop per Year'!G118</f>
        <v>4.513025224</v>
      </c>
      <c r="J118" s="8">
        <f>(D118/100000)*'Birth Pop per Year'!G118</f>
        <v>8.772509705</v>
      </c>
      <c r="K118" s="8">
        <f>(B118/100000)*'Birth Pop per Year'!K118</f>
        <v>5.743608898</v>
      </c>
      <c r="L118" s="34">
        <f>(C118/100000)*'Birth Pop per Year'!K118</f>
        <v>3.993603062</v>
      </c>
      <c r="M118" s="34">
        <f>(D118/100000)*'Birth Pop per Year'!K118</f>
        <v>7.762846402</v>
      </c>
      <c r="N118" s="35" t="str">
        <f t="shared" si="1"/>
        <v>114 (79-154)</v>
      </c>
      <c r="O118" s="37">
        <f>3043+3233</f>
        <v>6276</v>
      </c>
      <c r="P118" s="35" t="str">
        <f t="shared" si="2"/>
        <v>7 (5-10)</v>
      </c>
      <c r="Q118" s="37">
        <f>2764+2927</f>
        <v>5691</v>
      </c>
      <c r="R118" s="35" t="str">
        <f t="shared" si="3"/>
        <v>6 (5-9)</v>
      </c>
      <c r="S118" s="37">
        <f>2447+2589</f>
        <v>5036</v>
      </c>
      <c r="T118" s="35" t="str">
        <f t="shared" si="4"/>
        <v>6 (4-8)</v>
      </c>
    </row>
    <row r="119">
      <c r="A119" s="16" t="s">
        <v>146</v>
      </c>
      <c r="B119" s="17">
        <v>96.85263108928802</v>
      </c>
      <c r="C119" s="18">
        <v>67.41702752293577</v>
      </c>
      <c r="D119" s="17">
        <v>130.08637705129863</v>
      </c>
      <c r="E119" s="10">
        <f>(B119/100000)*'Birth Pop per Year'!C119</f>
        <v>14.55307635</v>
      </c>
      <c r="F119" s="8">
        <f>(C119/100000)*'Birth Pop per Year'!G119</f>
        <v>9.442428875</v>
      </c>
      <c r="G119" s="8">
        <f>(D119/100000)*'Birth Pop per Year'!C119</f>
        <v>19.54677902</v>
      </c>
      <c r="H119" s="8">
        <f>(B119/100000)*'Birth Pop per Year'!G119</f>
        <v>13.56517951</v>
      </c>
      <c r="I119" s="8">
        <f>(C119/100000)*'Birth Pop per Year'!G119</f>
        <v>9.442428875</v>
      </c>
      <c r="J119" s="8">
        <f>(D119/100000)*'Birth Pop per Year'!G119</f>
        <v>18.21989797</v>
      </c>
      <c r="K119" s="8">
        <f>(B119/100000)*'Birth Pop per Year'!K119</f>
        <v>12.02909678</v>
      </c>
      <c r="L119" s="34">
        <f>(C119/100000)*'Birth Pop per Year'!K119</f>
        <v>8.373194818</v>
      </c>
      <c r="M119" s="34">
        <f>(D119/100000)*'Birth Pop per Year'!K119</f>
        <v>16.15672803</v>
      </c>
      <c r="N119" s="35" t="str">
        <f t="shared" si="1"/>
        <v>97 (67-130)</v>
      </c>
      <c r="O119" s="37">
        <f>7242+7784</f>
        <v>15026</v>
      </c>
      <c r="P119" s="35" t="str">
        <f t="shared" si="2"/>
        <v>15 (9-20)</v>
      </c>
      <c r="Q119" s="37">
        <f>6754+7252</f>
        <v>14006</v>
      </c>
      <c r="R119" s="35" t="str">
        <f t="shared" si="3"/>
        <v>14 (9-18)</v>
      </c>
      <c r="S119" s="37">
        <f>5990+6430</f>
        <v>12420</v>
      </c>
      <c r="T119" s="35" t="str">
        <f t="shared" si="4"/>
        <v>12 (8-16)</v>
      </c>
    </row>
    <row r="120">
      <c r="A120" s="16" t="s">
        <v>147</v>
      </c>
      <c r="B120" s="17">
        <v>83.34209551271124</v>
      </c>
      <c r="C120" s="18">
        <v>59.83535062451064</v>
      </c>
      <c r="D120" s="17">
        <v>108.98581720893009</v>
      </c>
      <c r="E120" s="10">
        <f>(B120/100000)*'Birth Pop per Year'!C120</f>
        <v>217.0703217</v>
      </c>
      <c r="F120" s="8">
        <f>(C120/100000)*'Birth Pop per Year'!G120</f>
        <v>153.8301046</v>
      </c>
      <c r="G120" s="8">
        <f>(D120/100000)*'Birth Pop per Year'!C120</f>
        <v>283.8611899</v>
      </c>
      <c r="H120" s="8">
        <f>(B120/100000)*'Birth Pop per Year'!G120</f>
        <v>214.2633599</v>
      </c>
      <c r="I120" s="8">
        <f>(C120/100000)*'Birth Pop per Year'!G120</f>
        <v>153.8301046</v>
      </c>
      <c r="J120" s="8">
        <f>(D120/100000)*'Birth Pop per Year'!G120</f>
        <v>280.1905476</v>
      </c>
      <c r="K120" s="8">
        <f>(B120/100000)*'Birth Pop per Year'!K120</f>
        <v>197.4099214</v>
      </c>
      <c r="L120" s="34">
        <f>(C120/100000)*'Birth Pop per Year'!K120</f>
        <v>141.7302</v>
      </c>
      <c r="M120" s="34">
        <f>(D120/100000)*'Birth Pop per Year'!K120</f>
        <v>258.1514356</v>
      </c>
      <c r="N120" s="35" t="str">
        <f t="shared" si="1"/>
        <v>83 (60-109)</v>
      </c>
      <c r="O120" s="37">
        <f>126335+134122</f>
        <v>260457</v>
      </c>
      <c r="P120" s="35" t="str">
        <f t="shared" si="2"/>
        <v>217 (154-284)</v>
      </c>
      <c r="Q120" s="37">
        <f>124647+132442</f>
        <v>257089</v>
      </c>
      <c r="R120" s="35" t="str">
        <f t="shared" si="3"/>
        <v>214 (154-280)</v>
      </c>
      <c r="S120" s="37">
        <f>114830+122037</f>
        <v>236867</v>
      </c>
      <c r="T120" s="35" t="str">
        <f t="shared" si="4"/>
        <v>197 (142-258)</v>
      </c>
    </row>
    <row r="121">
      <c r="A121" s="16" t="s">
        <v>148</v>
      </c>
      <c r="B121" s="17">
        <v>173.2859987899432</v>
      </c>
      <c r="C121" s="18">
        <v>118.24221093902007</v>
      </c>
      <c r="D121" s="17">
        <v>231.38777485480654</v>
      </c>
      <c r="E121" s="10">
        <f>(B121/100000)*'Birth Pop per Year'!C121</f>
        <v>291.6905889</v>
      </c>
      <c r="F121" s="8">
        <f>(C121/100000)*'Birth Pop per Year'!G121</f>
        <v>190.6419167</v>
      </c>
      <c r="G121" s="8">
        <f>(D121/100000)*'Birth Pop per Year'!C121</f>
        <v>389.4927275</v>
      </c>
      <c r="H121" s="8">
        <f>(B121/100000)*'Birth Pop per Year'!G121</f>
        <v>279.3890158</v>
      </c>
      <c r="I121" s="8">
        <f>(C121/100000)*'Birth Pop per Year'!G121</f>
        <v>190.6419167</v>
      </c>
      <c r="J121" s="8">
        <f>(D121/100000)*'Birth Pop per Year'!G121</f>
        <v>373.0665094</v>
      </c>
      <c r="K121" s="8">
        <f>(B121/100000)*'Birth Pop per Year'!K121</f>
        <v>253.928104</v>
      </c>
      <c r="L121" s="34">
        <f>(C121/100000)*'Birth Pop per Year'!K121</f>
        <v>173.2685886</v>
      </c>
      <c r="M121" s="34">
        <f>(D121/100000)*'Birth Pop per Year'!K121</f>
        <v>339.0687036</v>
      </c>
      <c r="N121" s="35" t="str">
        <f t="shared" si="1"/>
        <v>173 (118-231)</v>
      </c>
      <c r="O121" s="37">
        <f>81877+86452</f>
        <v>168329</v>
      </c>
      <c r="P121" s="35" t="str">
        <f t="shared" si="2"/>
        <v>292 (191-389)</v>
      </c>
      <c r="Q121" s="37">
        <f>78390+82840</f>
        <v>161230</v>
      </c>
      <c r="R121" s="35" t="str">
        <f t="shared" si="3"/>
        <v>279 (191-373)</v>
      </c>
      <c r="S121" s="37">
        <f>71233+75304</f>
        <v>146537</v>
      </c>
      <c r="T121" s="35" t="str">
        <f t="shared" si="4"/>
        <v>254 (173-339)</v>
      </c>
    </row>
    <row r="122">
      <c r="A122" s="16" t="s">
        <v>149</v>
      </c>
      <c r="B122" s="17">
        <v>80.6558045404164</v>
      </c>
      <c r="C122" s="18">
        <v>51.22733531621041</v>
      </c>
      <c r="D122" s="17">
        <v>110.0842737646224</v>
      </c>
      <c r="E122" s="10">
        <f>(B122/100000)*'Birth Pop per Year'!C122</f>
        <v>43.80578056</v>
      </c>
      <c r="F122" s="8">
        <f>(C122/100000)*'Birth Pop per Year'!G122</f>
        <v>25.42412652</v>
      </c>
      <c r="G122" s="8">
        <f>(D122/100000)*'Birth Pop per Year'!C122</f>
        <v>59.78897077</v>
      </c>
      <c r="H122" s="8">
        <f>(B122/100000)*'Birth Pop per Year'!G122</f>
        <v>40.02947579</v>
      </c>
      <c r="I122" s="8">
        <f>(C122/100000)*'Birth Pop per Year'!G122</f>
        <v>25.42412652</v>
      </c>
      <c r="J122" s="8">
        <f>(D122/100000)*'Birth Pop per Year'!G122</f>
        <v>54.63482507</v>
      </c>
      <c r="K122" s="8">
        <f>(B122/100000)*'Birth Pop per Year'!K122</f>
        <v>37.26056202</v>
      </c>
      <c r="L122" s="34">
        <f>(C122/100000)*'Birth Pop per Year'!K122</f>
        <v>23.6654921</v>
      </c>
      <c r="M122" s="34">
        <f>(D122/100000)*'Birth Pop per Year'!K122</f>
        <v>50.85563195</v>
      </c>
      <c r="N122" s="35" t="str">
        <f t="shared" si="1"/>
        <v>81 (51-110)</v>
      </c>
      <c r="O122" s="37">
        <f>26255+28057</f>
        <v>54312</v>
      </c>
      <c r="P122" s="35" t="str">
        <f t="shared" si="2"/>
        <v>44 (25-60)</v>
      </c>
      <c r="Q122" s="37">
        <f>23983+25647</f>
        <v>49630</v>
      </c>
      <c r="R122" s="35" t="str">
        <f t="shared" si="3"/>
        <v>40 (25-55)</v>
      </c>
      <c r="S122" s="37">
        <f>22326+23871</f>
        <v>46197</v>
      </c>
      <c r="T122" s="35" t="str">
        <f t="shared" si="4"/>
        <v>37 (24-51)</v>
      </c>
    </row>
    <row r="123">
      <c r="A123" s="16" t="s">
        <v>150</v>
      </c>
      <c r="B123" s="17">
        <v>93.59862520371288</v>
      </c>
      <c r="C123" s="18">
        <v>62.72072822929214</v>
      </c>
      <c r="D123" s="17">
        <v>129.3011935803869</v>
      </c>
      <c r="E123" s="10">
        <f>(B123/100000)*'Birth Pop per Year'!C123</f>
        <v>41.85449723</v>
      </c>
      <c r="F123" s="8">
        <f>(C123/100000)*'Birth Pop per Year'!G123</f>
        <v>27.0614854</v>
      </c>
      <c r="G123" s="8">
        <f>(D123/100000)*'Birth Pop per Year'!C123</f>
        <v>57.81961473</v>
      </c>
      <c r="H123" s="8">
        <f>(B123/100000)*'Birth Pop per Year'!G123</f>
        <v>40.38406283</v>
      </c>
      <c r="I123" s="8">
        <f>(C123/100000)*'Birth Pop per Year'!G123</f>
        <v>27.0614854</v>
      </c>
      <c r="J123" s="8">
        <f>(D123/100000)*'Birth Pop per Year'!G123</f>
        <v>55.78829298</v>
      </c>
      <c r="K123" s="8">
        <f>(B123/100000)*'Birth Pop per Year'!K123</f>
        <v>39.84306278</v>
      </c>
      <c r="L123" s="34">
        <f>(C123/100000)*'Birth Pop per Year'!K123</f>
        <v>26.69895959</v>
      </c>
      <c r="M123" s="34">
        <f>(D123/100000)*'Birth Pop per Year'!K123</f>
        <v>55.04093208</v>
      </c>
      <c r="N123" s="35" t="str">
        <f t="shared" si="1"/>
        <v>94 (63-129)</v>
      </c>
      <c r="O123" s="37">
        <f>21757+22960</f>
        <v>44717</v>
      </c>
      <c r="P123" s="35" t="str">
        <f t="shared" si="2"/>
        <v>42 (27-58)</v>
      </c>
      <c r="Q123" s="37">
        <f>20984+22162</f>
        <v>43146</v>
      </c>
      <c r="R123" s="35" t="str">
        <f t="shared" si="3"/>
        <v>40 (27-56)</v>
      </c>
      <c r="S123" s="37">
        <f>20700+21868</f>
        <v>42568</v>
      </c>
      <c r="T123" s="35" t="str">
        <f t="shared" si="4"/>
        <v>40 (27-55)</v>
      </c>
    </row>
    <row r="124">
      <c r="A124" s="16" t="s">
        <v>151</v>
      </c>
      <c r="B124" s="17">
        <v>106.40215579144551</v>
      </c>
      <c r="C124" s="18">
        <v>71.30041367467999</v>
      </c>
      <c r="D124" s="17">
        <v>146.98854511395567</v>
      </c>
      <c r="E124" s="10">
        <f>(B124/100000)*'Birth Pop per Year'!C124</f>
        <v>17.35312759</v>
      </c>
      <c r="F124" s="8">
        <f>(C124/100000)*'Birth Pop per Year'!G124</f>
        <v>12.67863956</v>
      </c>
      <c r="G124" s="8">
        <f>(D124/100000)*'Birth Pop per Year'!C124</f>
        <v>23.97236182</v>
      </c>
      <c r="H124" s="8">
        <f>(B124/100000)*'Birth Pop per Year'!G124</f>
        <v>18.92043134</v>
      </c>
      <c r="I124" s="8">
        <f>(C124/100000)*'Birth Pop per Year'!G124</f>
        <v>12.67863956</v>
      </c>
      <c r="J124" s="8">
        <f>(D124/100000)*'Birth Pop per Year'!G124</f>
        <v>26.13750309</v>
      </c>
      <c r="K124" s="8">
        <f>(B124/100000)*'Birth Pop per Year'!K124</f>
        <v>18.23307342</v>
      </c>
      <c r="L124" s="34">
        <f>(C124/100000)*'Birth Pop per Year'!K124</f>
        <v>12.21803889</v>
      </c>
      <c r="M124" s="34">
        <f>(D124/100000)*'Birth Pop per Year'!K124</f>
        <v>25.18795709</v>
      </c>
      <c r="N124" s="35" t="str">
        <f t="shared" si="1"/>
        <v>106 (71-147)</v>
      </c>
      <c r="O124" s="37">
        <f>7895+8414</f>
        <v>16309</v>
      </c>
      <c r="P124" s="35" t="str">
        <f t="shared" si="2"/>
        <v>17 (13-24)</v>
      </c>
      <c r="Q124" s="37">
        <f>8615+9167</f>
        <v>17782</v>
      </c>
      <c r="R124" s="35" t="str">
        <f t="shared" si="3"/>
        <v>19 (13-26)</v>
      </c>
      <c r="S124" s="37">
        <f>8303+8833</f>
        <v>17136</v>
      </c>
      <c r="T124" s="35" t="str">
        <f t="shared" si="4"/>
        <v>18 (12-25)</v>
      </c>
    </row>
    <row r="125">
      <c r="A125" s="16" t="s">
        <v>152</v>
      </c>
      <c r="B125" s="17">
        <v>92.17667240546464</v>
      </c>
      <c r="C125" s="18">
        <v>62.21925387368864</v>
      </c>
      <c r="D125" s="17">
        <v>130.1995497727188</v>
      </c>
      <c r="E125" s="10">
        <f>(B125/100000)*'Birth Pop per Year'!C125</f>
        <v>54.07636663</v>
      </c>
      <c r="F125" s="8">
        <f>(C125/100000)*'Birth Pop per Year'!G125</f>
        <v>39.83587729</v>
      </c>
      <c r="G125" s="8">
        <f>(D125/100000)*'Birth Pop per Year'!C125</f>
        <v>76.38286787</v>
      </c>
      <c r="H125" s="8">
        <f>(B125/100000)*'Birth Pop per Year'!G125</f>
        <v>59.01611451</v>
      </c>
      <c r="I125" s="8">
        <f>(C125/100000)*'Birth Pop per Year'!G125</f>
        <v>39.83587729</v>
      </c>
      <c r="J125" s="8">
        <f>(D125/100000)*'Birth Pop per Year'!G125</f>
        <v>83.36026174</v>
      </c>
      <c r="K125" s="8">
        <f>(B125/100000)*'Birth Pop per Year'!K125</f>
        <v>54.67643677</v>
      </c>
      <c r="L125" s="34">
        <f>(C125/100000)*'Birth Pop per Year'!K125</f>
        <v>36.90659482</v>
      </c>
      <c r="M125" s="34">
        <f>(D125/100000)*'Birth Pop per Year'!K125</f>
        <v>77.23046694</v>
      </c>
      <c r="N125" s="35" t="str">
        <f t="shared" si="1"/>
        <v>92 (62-130)</v>
      </c>
      <c r="O125" s="37">
        <f>28493+30173</f>
        <v>58666</v>
      </c>
      <c r="P125" s="35" t="str">
        <f t="shared" si="2"/>
        <v>54 (40-76)</v>
      </c>
      <c r="Q125" s="37">
        <f>31086+32939</f>
        <v>64025</v>
      </c>
      <c r="R125" s="35" t="str">
        <f t="shared" si="3"/>
        <v>59 (40-83)</v>
      </c>
      <c r="S125" s="37">
        <f>28798+30519</f>
        <v>59317</v>
      </c>
      <c r="T125" s="35" t="str">
        <f t="shared" si="4"/>
        <v>55 (37-77)</v>
      </c>
    </row>
    <row r="126">
      <c r="A126" s="16" t="s">
        <v>153</v>
      </c>
      <c r="B126" s="17">
        <v>143.72698685999094</v>
      </c>
      <c r="C126" s="18">
        <v>106.53888536474854</v>
      </c>
      <c r="D126" s="17">
        <v>184.93542365201628</v>
      </c>
      <c r="E126" s="10">
        <f>(B126/100000)*'Birth Pop per Year'!C126</f>
        <v>13.80210255</v>
      </c>
      <c r="F126" s="8">
        <f>(C126/100000)*'Birth Pop per Year'!G126</f>
        <v>10.96604747</v>
      </c>
      <c r="G126" s="8">
        <f>(D126/100000)*'Birth Pop per Year'!C126</f>
        <v>17.75934873</v>
      </c>
      <c r="H126" s="8">
        <f>(B126/100000)*'Birth Pop per Year'!G126</f>
        <v>14.79381876</v>
      </c>
      <c r="I126" s="8">
        <f>(C126/100000)*'Birth Pop per Year'!G126</f>
        <v>10.96604747</v>
      </c>
      <c r="J126" s="8">
        <f>(D126/100000)*'Birth Pop per Year'!G126</f>
        <v>19.03540316</v>
      </c>
      <c r="K126" s="8">
        <f>(B126/100000)*'Birth Pop per Year'!K126</f>
        <v>14.18441633</v>
      </c>
      <c r="L126" s="34">
        <f>(C126/100000)*'Birth Pop per Year'!K126</f>
        <v>10.5143226</v>
      </c>
      <c r="M126" s="34">
        <f>(D126/100000)*'Birth Pop per Year'!K126</f>
        <v>18.25127696</v>
      </c>
      <c r="N126" s="35" t="str">
        <f t="shared" si="1"/>
        <v>144 (107-185)</v>
      </c>
      <c r="O126" s="37">
        <f>4660+4943</f>
        <v>9603</v>
      </c>
      <c r="P126" s="35" t="str">
        <f t="shared" si="2"/>
        <v>14 (11-18)</v>
      </c>
      <c r="Q126" s="37">
        <f>4996+5297</f>
        <v>10293</v>
      </c>
      <c r="R126" s="35" t="str">
        <f t="shared" si="3"/>
        <v>15 (11-19)</v>
      </c>
      <c r="S126" s="37">
        <f>4790+5079</f>
        <v>9869</v>
      </c>
      <c r="T126" s="35" t="str">
        <f t="shared" si="4"/>
        <v>14 (11-18)</v>
      </c>
    </row>
    <row r="127">
      <c r="A127" s="16" t="s">
        <v>154</v>
      </c>
      <c r="B127" s="17">
        <v>84.10254326991847</v>
      </c>
      <c r="C127" s="18">
        <v>53.911886711486204</v>
      </c>
      <c r="D127" s="17">
        <v>117.52791303103992</v>
      </c>
      <c r="E127" s="10">
        <f>(B127/100000)*'Birth Pop per Year'!C127</f>
        <v>10.60785378</v>
      </c>
      <c r="F127" s="8">
        <f>(C127/100000)*'Birth Pop per Year'!G127</f>
        <v>7.094265172</v>
      </c>
      <c r="G127" s="8">
        <f>(D127/100000)*'Birth Pop per Year'!C127</f>
        <v>14.82379567</v>
      </c>
      <c r="H127" s="8">
        <f>(B127/100000)*'Birth Pop per Year'!G127</f>
        <v>11.06705367</v>
      </c>
      <c r="I127" s="8">
        <f>(C127/100000)*'Birth Pop per Year'!G127</f>
        <v>7.094265172</v>
      </c>
      <c r="J127" s="8">
        <f>(D127/100000)*'Birth Pop per Year'!G127</f>
        <v>15.46549808</v>
      </c>
      <c r="K127" s="8">
        <f>(B127/100000)*'Birth Pop per Year'!K127</f>
        <v>10.36900256</v>
      </c>
      <c r="L127" s="34">
        <f>(C127/100000)*'Birth Pop per Year'!K127</f>
        <v>6.646796513</v>
      </c>
      <c r="M127" s="34">
        <f>(D127/100000)*'Birth Pop per Year'!K127</f>
        <v>14.4900164</v>
      </c>
      <c r="N127" s="35" t="str">
        <f t="shared" si="1"/>
        <v>84 (54-118)</v>
      </c>
      <c r="O127" s="37">
        <f>6123+6490</f>
        <v>12613</v>
      </c>
      <c r="P127" s="35" t="str">
        <f t="shared" si="2"/>
        <v>11 (7-15)</v>
      </c>
      <c r="Q127" s="37">
        <f>6394+6765</f>
        <v>13159</v>
      </c>
      <c r="R127" s="35" t="str">
        <f t="shared" si="3"/>
        <v>11 (7-15)</v>
      </c>
      <c r="S127" s="37">
        <f>5992+6337</f>
        <v>12329</v>
      </c>
      <c r="T127" s="35" t="str">
        <f t="shared" si="4"/>
        <v>10 (7-14)</v>
      </c>
    </row>
    <row r="128">
      <c r="A128" s="16" t="s">
        <v>155</v>
      </c>
      <c r="B128" s="17">
        <v>99.93614565015001</v>
      </c>
      <c r="C128" s="18">
        <v>61.58855487741802</v>
      </c>
      <c r="D128" s="17">
        <v>142.93192924381916</v>
      </c>
      <c r="E128" s="10">
        <f>(B128/100000)*'Birth Pop per Year'!C128</f>
        <v>20.01021444</v>
      </c>
      <c r="F128" s="8">
        <f>(C128/100000)*'Birth Pop per Year'!G128</f>
        <v>10.81495024</v>
      </c>
      <c r="G128" s="8">
        <f>(D128/100000)*'Birth Pop per Year'!C128</f>
        <v>28.61926019</v>
      </c>
      <c r="H128" s="8">
        <f>(B128/100000)*'Birth Pop per Year'!G128</f>
        <v>17.54878718</v>
      </c>
      <c r="I128" s="8">
        <f>(C128/100000)*'Birth Pop per Year'!G128</f>
        <v>10.81495024</v>
      </c>
      <c r="J128" s="8">
        <f>(D128/100000)*'Birth Pop per Year'!G128</f>
        <v>25.09884678</v>
      </c>
      <c r="K128" s="8">
        <f>(B128/100000)*'Birth Pop per Year'!K128</f>
        <v>16.29658727</v>
      </c>
      <c r="L128" s="34">
        <f>(C128/100000)*'Birth Pop per Year'!K128</f>
        <v>10.04324564</v>
      </c>
      <c r="M128" s="34">
        <f>(D128/100000)*'Birth Pop per Year'!K128</f>
        <v>23.3079097</v>
      </c>
      <c r="N128" s="35" t="str">
        <f t="shared" si="1"/>
        <v>100 (62-143)</v>
      </c>
      <c r="O128" s="37">
        <f>10274+9749</f>
        <v>20023</v>
      </c>
      <c r="P128" s="35" t="str">
        <f t="shared" si="2"/>
        <v>20 (11-29)</v>
      </c>
      <c r="Q128" s="37">
        <f>9011+8549</f>
        <v>17560</v>
      </c>
      <c r="R128" s="35" t="str">
        <f t="shared" si="3"/>
        <v>18 (11-25)</v>
      </c>
      <c r="S128" s="37">
        <f>8368+7939</f>
        <v>16307</v>
      </c>
      <c r="T128" s="35" t="str">
        <f t="shared" si="4"/>
        <v>16 (10-23)</v>
      </c>
    </row>
    <row r="129">
      <c r="A129" s="16" t="s">
        <v>156</v>
      </c>
      <c r="B129" s="17">
        <v>45.9415548863166</v>
      </c>
      <c r="C129" s="18">
        <v>28.898720009134635</v>
      </c>
      <c r="D129" s="17">
        <v>65.2073682257397</v>
      </c>
      <c r="E129" s="10">
        <f>(B129/100000)*'Birth Pop per Year'!C129</f>
        <v>12.64771006</v>
      </c>
      <c r="F129" s="8">
        <f>(C129/100000)*'Birth Pop per Year'!G129</f>
        <v>7.926340924</v>
      </c>
      <c r="G129" s="8">
        <f>(D129/100000)*'Birth Pop per Year'!C129</f>
        <v>17.95158847</v>
      </c>
      <c r="H129" s="8">
        <f>(B129/100000)*'Birth Pop per Year'!G129</f>
        <v>12.60084967</v>
      </c>
      <c r="I129" s="8">
        <f>(C129/100000)*'Birth Pop per Year'!G129</f>
        <v>7.926340924</v>
      </c>
      <c r="J129" s="8">
        <f>(D129/100000)*'Birth Pop per Year'!G129</f>
        <v>17.88507696</v>
      </c>
      <c r="K129" s="8">
        <f>(B129/100000)*'Birth Pop per Year'!K129</f>
        <v>11.79044065</v>
      </c>
      <c r="L129" s="34">
        <f>(C129/100000)*'Birth Pop per Year'!K129</f>
        <v>7.416567503</v>
      </c>
      <c r="M129" s="34">
        <f>(D129/100000)*'Birth Pop per Year'!K129</f>
        <v>16.73481898</v>
      </c>
      <c r="N129" s="35" t="str">
        <f t="shared" si="1"/>
        <v>46 (29-65)</v>
      </c>
      <c r="O129" s="37">
        <f>14169+13361</f>
        <v>27530</v>
      </c>
      <c r="P129" s="35" t="str">
        <f t="shared" si="2"/>
        <v>13 (8-18)</v>
      </c>
      <c r="Q129" s="37">
        <f>14113+13315</f>
        <v>27428</v>
      </c>
      <c r="R129" s="35" t="str">
        <f t="shared" si="3"/>
        <v>13 (8-18)</v>
      </c>
      <c r="S129" s="37">
        <f>13206+12458</f>
        <v>25664</v>
      </c>
      <c r="T129" s="35" t="str">
        <f t="shared" si="4"/>
        <v>12 (7-17)</v>
      </c>
    </row>
    <row r="130">
      <c r="A130" s="16" t="s">
        <v>157</v>
      </c>
      <c r="B130" s="17">
        <v>80.44363755092967</v>
      </c>
      <c r="C130" s="18">
        <v>55.30500081626415</v>
      </c>
      <c r="D130" s="17">
        <v>107.59336522436844</v>
      </c>
      <c r="E130" s="10">
        <f>(B130/100000)*'Birth Pop per Year'!C130</f>
        <v>957.2889401</v>
      </c>
      <c r="F130" s="8">
        <f>(C130/100000)*'Birth Pop per Year'!G130</f>
        <v>754.5886208</v>
      </c>
      <c r="G130" s="8">
        <f>(D130/100000)*'Birth Pop per Year'!C130</f>
        <v>1280.373957</v>
      </c>
      <c r="H130" s="8">
        <f>(B130/100000)*'Birth Pop per Year'!G130</f>
        <v>1097.583448</v>
      </c>
      <c r="I130" s="8">
        <f>(C130/100000)*'Birth Pop per Year'!G130</f>
        <v>754.5886208</v>
      </c>
      <c r="J130" s="8">
        <f>(D130/100000)*'Birth Pop per Year'!G130</f>
        <v>1468.017862</v>
      </c>
      <c r="K130" s="8">
        <f>(B130/100000)*'Birth Pop per Year'!K130</f>
        <v>1111.733484</v>
      </c>
      <c r="L130" s="34">
        <f>(C130/100000)*'Birth Pop per Year'!K130</f>
        <v>764.3167704</v>
      </c>
      <c r="M130" s="34">
        <f>(D130/100000)*'Birth Pop per Year'!K130</f>
        <v>1486.943535</v>
      </c>
      <c r="N130" s="35" t="str">
        <f t="shared" si="1"/>
        <v>80 (55-108)</v>
      </c>
      <c r="O130" s="37">
        <f>610618+579394</f>
        <v>1190012</v>
      </c>
      <c r="P130" s="35" t="str">
        <f t="shared" si="2"/>
        <v>957 (755-1,280)</v>
      </c>
      <c r="Q130" s="37">
        <f>700152+664261</f>
        <v>1364413</v>
      </c>
      <c r="R130" s="35" t="str">
        <f t="shared" si="3"/>
        <v>1,098 (755-1,468)</v>
      </c>
      <c r="S130" s="37">
        <f>709372+672631</f>
        <v>1382003</v>
      </c>
      <c r="T130" s="35" t="str">
        <f t="shared" si="4"/>
        <v>1,112 (764-1,487)</v>
      </c>
    </row>
    <row r="131">
      <c r="A131" s="16" t="s">
        <v>158</v>
      </c>
      <c r="B131" s="17">
        <v>89.50958927530601</v>
      </c>
      <c r="C131" s="18">
        <v>61.96817719059647</v>
      </c>
      <c r="D131" s="17">
        <v>117.05100136001553</v>
      </c>
      <c r="E131" s="10">
        <f>(B131/100000)*'Birth Pop per Year'!C131</f>
        <v>209.8382252</v>
      </c>
      <c r="F131" s="8">
        <f>(C131/100000)*'Birth Pop per Year'!G131</f>
        <v>140.7086612</v>
      </c>
      <c r="G131" s="8">
        <f>(D131/100000)*'Birth Pop per Year'!C131</f>
        <v>274.403833</v>
      </c>
      <c r="H131" s="8">
        <f>(B131/100000)*'Birth Pop per Year'!G131</f>
        <v>203.245844</v>
      </c>
      <c r="I131" s="8">
        <f>(C131/100000)*'Birth Pop per Year'!G131</f>
        <v>140.7086612</v>
      </c>
      <c r="J131" s="8">
        <f>(D131/100000)*'Birth Pop per Year'!G131</f>
        <v>265.7830267</v>
      </c>
      <c r="K131" s="8">
        <f>(B131/100000)*'Birth Pop per Year'!K131</f>
        <v>171.0546153</v>
      </c>
      <c r="L131" s="34">
        <f>(C131/100000)*'Birth Pop per Year'!K131</f>
        <v>118.422426</v>
      </c>
      <c r="M131" s="34">
        <f>(D131/100000)*'Birth Pop per Year'!K131</f>
        <v>223.6868046</v>
      </c>
      <c r="N131" s="35" t="str">
        <f t="shared" si="1"/>
        <v>90 (62-117)</v>
      </c>
      <c r="O131" s="37">
        <f>120647+113784</f>
        <v>234431</v>
      </c>
      <c r="P131" s="35" t="str">
        <f t="shared" si="2"/>
        <v>210 (141-274)</v>
      </c>
      <c r="Q131" s="37">
        <f>116834+110232</f>
        <v>227066</v>
      </c>
      <c r="R131" s="35" t="str">
        <f t="shared" si="3"/>
        <v>203 (141-266)</v>
      </c>
      <c r="S131" s="37">
        <f>98343+92759</f>
        <v>191102</v>
      </c>
      <c r="T131" s="35" t="str">
        <f t="shared" si="4"/>
        <v>171 (118-224)</v>
      </c>
    </row>
    <row r="132">
      <c r="A132" s="16" t="s">
        <v>159</v>
      </c>
      <c r="B132" s="17">
        <v>124.02912321318718</v>
      </c>
      <c r="C132" s="18">
        <v>84.10193971305159</v>
      </c>
      <c r="D132" s="17">
        <v>168.20387942610319</v>
      </c>
      <c r="E132" s="10">
        <f>(B132/100000)*'Birth Pop per Year'!C132</f>
        <v>374.8184909</v>
      </c>
      <c r="F132" s="8">
        <f>(C132/100000)*'Birth Pop per Year'!G132</f>
        <v>265.2331283</v>
      </c>
      <c r="G132" s="8">
        <f>(D132/100000)*'Birth Pop per Year'!C132</f>
        <v>508.3154877</v>
      </c>
      <c r="H132" s="8">
        <f>(B132/100000)*'Birth Pop per Year'!G132</f>
        <v>391.1518862</v>
      </c>
      <c r="I132" s="8">
        <f>(C132/100000)*'Birth Pop per Year'!G132</f>
        <v>265.2331283</v>
      </c>
      <c r="J132" s="8">
        <f>(D132/100000)*'Birth Pop per Year'!G132</f>
        <v>530.4662566</v>
      </c>
      <c r="K132" s="8">
        <f>(B132/100000)*'Birth Pop per Year'!K132</f>
        <v>416.2752254</v>
      </c>
      <c r="L132" s="34">
        <f>(C132/100000)*'Birth Pop per Year'!K132</f>
        <v>282.2688172</v>
      </c>
      <c r="M132" s="34">
        <f>(D132/100000)*'Birth Pop per Year'!K132</f>
        <v>564.5376344</v>
      </c>
      <c r="N132" s="35" t="str">
        <f t="shared" si="1"/>
        <v>124 (84-168)</v>
      </c>
      <c r="O132" s="37">
        <f>155024+147178</f>
        <v>302202</v>
      </c>
      <c r="P132" s="35" t="str">
        <f t="shared" si="2"/>
        <v>375 (265-508)</v>
      </c>
      <c r="Q132" s="37">
        <f>161718+153653</f>
        <v>315371</v>
      </c>
      <c r="R132" s="35" t="str">
        <f t="shared" si="3"/>
        <v>391 (265-530)</v>
      </c>
      <c r="S132" s="37">
        <f>172074+163553</f>
        <v>335627</v>
      </c>
      <c r="T132" s="35" t="str">
        <f t="shared" si="4"/>
        <v>416 (282-565)</v>
      </c>
    </row>
    <row r="133">
      <c r="A133" s="16" t="s">
        <v>160</v>
      </c>
      <c r="B133" s="17">
        <v>117.25340305304886</v>
      </c>
      <c r="C133" s="18">
        <v>85.35358016361643</v>
      </c>
      <c r="D133" s="17">
        <v>154.32617019482163</v>
      </c>
      <c r="E133" s="10">
        <f>(B133/100000)*'Birth Pop per Year'!C133</f>
        <v>66.34080291</v>
      </c>
      <c r="F133" s="8">
        <f>(C133/100000)*'Birth Pop per Year'!G133</f>
        <v>48.87943475</v>
      </c>
      <c r="G133" s="8">
        <f>(D133/100000)*'Birth Pop per Year'!C133</f>
        <v>87.31620383</v>
      </c>
      <c r="H133" s="8">
        <f>(B133/100000)*'Birth Pop per Year'!G133</f>
        <v>67.14750633</v>
      </c>
      <c r="I133" s="8">
        <f>(C133/100000)*'Birth Pop per Year'!G133</f>
        <v>48.87943475</v>
      </c>
      <c r="J133" s="8">
        <f>(D133/100000)*'Birth Pop per Year'!G133</f>
        <v>88.37796789</v>
      </c>
      <c r="K133" s="8">
        <f>(B133/100000)*'Birth Pop per Year'!K133</f>
        <v>66.23996499</v>
      </c>
      <c r="L133" s="34">
        <f>(C133/100000)*'Birth Pop per Year'!K133</f>
        <v>48.21879804</v>
      </c>
      <c r="M133" s="34">
        <f>(D133/100000)*'Birth Pop per Year'!K133</f>
        <v>87.18348333</v>
      </c>
      <c r="N133" s="35" t="str">
        <f t="shared" si="1"/>
        <v>117 (85-154)</v>
      </c>
      <c r="O133" s="37">
        <f>29057+27522</f>
        <v>56579</v>
      </c>
      <c r="P133" s="35" t="str">
        <f t="shared" si="2"/>
        <v>66 (49-87)</v>
      </c>
      <c r="Q133" s="37">
        <f>29420+27847</f>
        <v>57267</v>
      </c>
      <c r="R133" s="35" t="str">
        <f t="shared" si="3"/>
        <v>67 (49-88)</v>
      </c>
      <c r="S133" s="37">
        <f>29023+27470</f>
        <v>56493</v>
      </c>
      <c r="T133" s="35" t="str">
        <f t="shared" si="4"/>
        <v>66 (48-87)</v>
      </c>
    </row>
    <row r="134">
      <c r="A134" s="16" t="s">
        <v>161</v>
      </c>
      <c r="B134" s="17">
        <v>180.5880732926152</v>
      </c>
      <c r="C134" s="18">
        <v>123.25852621559451</v>
      </c>
      <c r="D134" s="17">
        <v>247.23367176965183</v>
      </c>
      <c r="E134" s="10">
        <f>(B134/100000)*'Birth Pop per Year'!C134</f>
        <v>10.27184961</v>
      </c>
      <c r="F134" s="8">
        <f>(C134/100000)*'Birth Pop per Year'!G134</f>
        <v>6.588168226</v>
      </c>
      <c r="G134" s="8">
        <f>(D134/100000)*'Birth Pop per Year'!C134</f>
        <v>14.06265125</v>
      </c>
      <c r="H134" s="8">
        <f>(B134/100000)*'Birth Pop per Year'!G134</f>
        <v>9.652432517</v>
      </c>
      <c r="I134" s="8">
        <f>(C134/100000)*'Birth Pop per Year'!G134</f>
        <v>6.588168226</v>
      </c>
      <c r="J134" s="8">
        <f>(D134/100000)*'Birth Pop per Year'!G134</f>
        <v>13.21463976</v>
      </c>
      <c r="K134" s="8">
        <f>(B134/100000)*'Birth Pop per Year'!K134</f>
        <v>9.549497316</v>
      </c>
      <c r="L134" s="34">
        <f>(C134/100000)*'Birth Pop per Year'!K134</f>
        <v>6.517910866</v>
      </c>
      <c r="M134" s="34">
        <f>(D134/100000)*'Birth Pop per Year'!K134</f>
        <v>13.07371656</v>
      </c>
      <c r="N134" s="35" t="str">
        <f t="shared" si="1"/>
        <v>181 (123-247)</v>
      </c>
      <c r="O134" s="37">
        <f>2943+2745</f>
        <v>5688</v>
      </c>
      <c r="P134" s="35" t="str">
        <f t="shared" si="2"/>
        <v>10 (7-14)</v>
      </c>
      <c r="Q134" s="37">
        <f>2764+2581</f>
        <v>5345</v>
      </c>
      <c r="R134" s="35" t="str">
        <f t="shared" si="3"/>
        <v>10 (7-13)</v>
      </c>
      <c r="S134" s="37">
        <f>2734+2554</f>
        <v>5288</v>
      </c>
      <c r="T134" s="35" t="str">
        <f t="shared" si="4"/>
        <v>10 (7-13)</v>
      </c>
    </row>
    <row r="135">
      <c r="A135" s="16" t="s">
        <v>162</v>
      </c>
      <c r="B135" s="17">
        <v>181.40447427534562</v>
      </c>
      <c r="C135" s="18">
        <v>120.42818040127987</v>
      </c>
      <c r="D135" s="17">
        <v>246.95399018996633</v>
      </c>
      <c r="E135" s="10">
        <f>(B135/100000)*'Birth Pop per Year'!C135</f>
        <v>1364.820145</v>
      </c>
      <c r="F135" s="8">
        <f>(C135/100000)*'Birth Pop per Year'!G135</f>
        <v>952.7675492</v>
      </c>
      <c r="G135" s="8">
        <f>(D135/100000)*'Birth Pop per Year'!C135</f>
        <v>1857.990449</v>
      </c>
      <c r="H135" s="8">
        <f>(B135/100000)*'Birth Pop per Year'!G135</f>
        <v>1435.181498</v>
      </c>
      <c r="I135" s="8">
        <f>(C135/100000)*'Birth Pop per Year'!G135</f>
        <v>952.7675492</v>
      </c>
      <c r="J135" s="8">
        <f>(D135/100000)*'Birth Pop per Year'!G135</f>
        <v>1953.776493</v>
      </c>
      <c r="K135" s="8">
        <f>(B135/100000)*'Birth Pop per Year'!K135</f>
        <v>1334.721514</v>
      </c>
      <c r="L135" s="34">
        <f>(C135/100000)*'Birth Pop per Year'!K135</f>
        <v>886.0756272</v>
      </c>
      <c r="M135" s="34">
        <f>(D135/100000)*'Birth Pop per Year'!K135</f>
        <v>1817.015843</v>
      </c>
      <c r="N135" s="35" t="str">
        <f t="shared" si="1"/>
        <v>181 (120-247)</v>
      </c>
      <c r="O135" s="37">
        <f>385102+367261</f>
        <v>752363</v>
      </c>
      <c r="P135" s="35" t="str">
        <f t="shared" si="2"/>
        <v>1,365 (953-1,858)</v>
      </c>
      <c r="Q135" s="37">
        <f>404952+386198</f>
        <v>791150</v>
      </c>
      <c r="R135" s="35" t="str">
        <f t="shared" si="3"/>
        <v>1,435 (953-1,954)</v>
      </c>
      <c r="S135" s="37">
        <f>376549+359222</f>
        <v>735771</v>
      </c>
      <c r="T135" s="35" t="str">
        <f t="shared" si="4"/>
        <v>1,335 (886-1,817)</v>
      </c>
    </row>
    <row r="136">
      <c r="A136" s="16" t="s">
        <v>163</v>
      </c>
      <c r="B136" s="17">
        <v>214.1209678716841</v>
      </c>
      <c r="C136" s="18">
        <v>139.47329099898687</v>
      </c>
      <c r="D136" s="17">
        <v>294.6618823922257</v>
      </c>
      <c r="E136" s="10">
        <f>(B136/100000)*'Birth Pop per Year'!C136</f>
        <v>553.3849354</v>
      </c>
      <c r="F136" s="8">
        <f>(C136/100000)*'Birth Pop per Year'!G136</f>
        <v>329.5154131</v>
      </c>
      <c r="G136" s="8">
        <f>(D136/100000)*'Birth Pop per Year'!C136</f>
        <v>761.5389019</v>
      </c>
      <c r="H136" s="8">
        <f>(B136/100000)*'Birth Pop per Year'!G136</f>
        <v>505.8757751</v>
      </c>
      <c r="I136" s="8">
        <f>(C136/100000)*'Birth Pop per Year'!G136</f>
        <v>329.5154131</v>
      </c>
      <c r="J136" s="8">
        <f>(D136/100000)*'Birth Pop per Year'!G136</f>
        <v>696.1593235</v>
      </c>
      <c r="K136" s="8">
        <f>(B136/100000)*'Birth Pop per Year'!K136</f>
        <v>460.2251847</v>
      </c>
      <c r="L136" s="34">
        <f>(C136/100000)*'Birth Pop per Year'!K136</f>
        <v>299.7797075</v>
      </c>
      <c r="M136" s="34">
        <f>(D136/100000)*'Birth Pop per Year'!K136</f>
        <v>633.3374102</v>
      </c>
      <c r="N136" s="35" t="str">
        <f t="shared" si="1"/>
        <v>214 (139-295)</v>
      </c>
      <c r="O136" s="37">
        <f>132862+125583</f>
        <v>258445</v>
      </c>
      <c r="P136" s="35" t="str">
        <f t="shared" si="2"/>
        <v>553 (330-762)</v>
      </c>
      <c r="Q136" s="37">
        <f>121507+114750</f>
        <v>236257</v>
      </c>
      <c r="R136" s="35" t="str">
        <f t="shared" si="3"/>
        <v>506 (330-696)</v>
      </c>
      <c r="S136" s="37">
        <f>110538+104399</f>
        <v>214937</v>
      </c>
      <c r="T136" s="35" t="str">
        <f t="shared" si="4"/>
        <v>460 (300-633)</v>
      </c>
    </row>
    <row r="137">
      <c r="A137" s="16" t="s">
        <v>164</v>
      </c>
      <c r="B137" s="17">
        <v>175.0041235459286</v>
      </c>
      <c r="C137" s="18">
        <v>114.23880287025894</v>
      </c>
      <c r="D137" s="17">
        <v>241.8459762891652</v>
      </c>
      <c r="E137" s="10">
        <f>(B137/100000)*'Birth Pop per Year'!C137</f>
        <v>89.88736798</v>
      </c>
      <c r="F137" s="8">
        <f>(C137/100000)*'Birth Pop per Year'!G137</f>
        <v>44.76219013</v>
      </c>
      <c r="G137" s="8">
        <f>(D137/100000)*'Birth Pop per Year'!C137</f>
        <v>124.2193488</v>
      </c>
      <c r="H137" s="8">
        <f>(B137/100000)*'Birth Pop per Year'!G137</f>
        <v>68.57186573</v>
      </c>
      <c r="I137" s="8">
        <f>(C137/100000)*'Birth Pop per Year'!G137</f>
        <v>44.76219013</v>
      </c>
      <c r="J137" s="8">
        <f>(D137/100000)*'Birth Pop per Year'!G137</f>
        <v>94.76250889</v>
      </c>
      <c r="K137" s="8">
        <f>(B137/100000)*'Birth Pop per Year'!K137</f>
        <v>56.03107024</v>
      </c>
      <c r="L137" s="34">
        <f>(C137/100000)*'Birth Pop per Year'!K137</f>
        <v>36.57583751</v>
      </c>
      <c r="M137" s="34">
        <f>(D137/100000)*'Birth Pop per Year'!K137</f>
        <v>77.43182623</v>
      </c>
      <c r="N137" s="35" t="str">
        <f t="shared" si="1"/>
        <v>175 (114-242)</v>
      </c>
      <c r="O137" s="37">
        <f>26430+24933</f>
        <v>51363</v>
      </c>
      <c r="P137" s="35" t="str">
        <f t="shared" si="2"/>
        <v>90 (45-124)</v>
      </c>
      <c r="Q137" s="37">
        <f>20167+19016</f>
        <v>39183</v>
      </c>
      <c r="R137" s="35" t="str">
        <f t="shared" si="3"/>
        <v>69 (45-95)</v>
      </c>
      <c r="S137" s="37">
        <f>16481+15536</f>
        <v>32017</v>
      </c>
      <c r="T137" s="35" t="str">
        <f t="shared" si="4"/>
        <v>56 (37-77)</v>
      </c>
    </row>
    <row r="138">
      <c r="A138" s="16" t="s">
        <v>165</v>
      </c>
      <c r="B138" s="17">
        <v>40.37131411076326</v>
      </c>
      <c r="C138" s="18">
        <v>28.98453320772747</v>
      </c>
      <c r="D138" s="17">
        <v>55.89874261490297</v>
      </c>
      <c r="E138" s="10">
        <f>(B138/100000)*'Birth Pop per Year'!C138</f>
        <v>148.9915459</v>
      </c>
      <c r="F138" s="8">
        <f>(C138/100000)*'Birth Pop per Year'!G138</f>
        <v>109.6942847</v>
      </c>
      <c r="G138" s="8">
        <f>(D138/100000)*'Birth Pop per Year'!C138</f>
        <v>206.2959866</v>
      </c>
      <c r="H138" s="8">
        <f>(B138/100000)*'Birth Pop per Year'!G138</f>
        <v>152.788468</v>
      </c>
      <c r="I138" s="8">
        <f>(C138/100000)*'Birth Pop per Year'!G138</f>
        <v>109.6942847</v>
      </c>
      <c r="J138" s="8">
        <f>(D138/100000)*'Birth Pop per Year'!G138</f>
        <v>211.5532633</v>
      </c>
      <c r="K138" s="8">
        <f>(B138/100000)*'Birth Pop per Year'!K138</f>
        <v>155.8038014</v>
      </c>
      <c r="L138" s="34">
        <f>(C138/100000)*'Birth Pop per Year'!K138</f>
        <v>111.8591395</v>
      </c>
      <c r="M138" s="34">
        <f>(D138/100000)*'Birth Pop per Year'!K138</f>
        <v>215.7283404</v>
      </c>
      <c r="N138" s="35" t="str">
        <f t="shared" si="1"/>
        <v>40 (29-56)</v>
      </c>
      <c r="O138" s="37">
        <f>189434+179619</f>
        <v>369053</v>
      </c>
      <c r="P138" s="35" t="str">
        <f t="shared" si="2"/>
        <v>149 (110-206)</v>
      </c>
      <c r="Q138" s="37">
        <f>194346+184112</f>
        <v>378458</v>
      </c>
      <c r="R138" s="35" t="str">
        <f t="shared" si="3"/>
        <v>153 (110-212)</v>
      </c>
      <c r="S138" s="37">
        <f>198193+187734</f>
        <v>385927</v>
      </c>
      <c r="T138" s="35" t="str">
        <f t="shared" si="4"/>
        <v>156 (112-216)</v>
      </c>
    </row>
    <row r="139">
      <c r="A139" s="16" t="s">
        <v>166</v>
      </c>
      <c r="B139" s="17">
        <v>68.94464658881377</v>
      </c>
      <c r="C139" s="18">
        <v>49.44515058389674</v>
      </c>
      <c r="D139" s="17">
        <v>90.53337430854334</v>
      </c>
      <c r="E139" s="10">
        <f>(B139/100000)*'Birth Pop per Year'!C139</f>
        <v>0.4419351846</v>
      </c>
      <c r="F139" s="8">
        <f>(C139/100000)*'Birth Pop per Year'!G139</f>
        <v>0.2877707764</v>
      </c>
      <c r="G139" s="8">
        <f>(D139/100000)*'Birth Pop per Year'!C139</f>
        <v>0.5803189293</v>
      </c>
      <c r="H139" s="8">
        <f>(B139/100000)*'Birth Pop per Year'!G139</f>
        <v>0.4012578431</v>
      </c>
      <c r="I139" s="8">
        <f>(C139/100000)*'Birth Pop per Year'!G139</f>
        <v>0.2877707764</v>
      </c>
      <c r="J139" s="8">
        <f>(D139/100000)*'Birth Pop per Year'!G139</f>
        <v>0.5269042385</v>
      </c>
      <c r="K139" s="8">
        <f>(B139/100000)*'Birth Pop per Year'!K139</f>
        <v>0.3978106108</v>
      </c>
      <c r="L139" s="34">
        <f>(C139/100000)*'Birth Pop per Year'!K139</f>
        <v>0.2852985189</v>
      </c>
      <c r="M139" s="34">
        <f>(D139/100000)*'Birth Pop per Year'!K139</f>
        <v>0.5223775698</v>
      </c>
      <c r="N139" s="35" t="str">
        <f t="shared" si="1"/>
        <v>69 (49-91)</v>
      </c>
      <c r="O139" s="37">
        <f>328+313</f>
        <v>641</v>
      </c>
      <c r="P139" s="35" t="str">
        <f t="shared" si="2"/>
        <v>0 (0-1)</v>
      </c>
      <c r="Q139" s="37">
        <f>298+284</f>
        <v>582</v>
      </c>
      <c r="R139" s="35" t="str">
        <f t="shared" si="3"/>
        <v>0 (0-1)</v>
      </c>
      <c r="S139" s="37">
        <f>295+282</f>
        <v>577</v>
      </c>
      <c r="T139" s="35" t="str">
        <f t="shared" si="4"/>
        <v>0 (0-1)</v>
      </c>
    </row>
    <row r="140">
      <c r="A140" s="16" t="s">
        <v>167</v>
      </c>
      <c r="B140" s="17">
        <v>88.32677758943952</v>
      </c>
      <c r="C140" s="18">
        <v>61.919802846205016</v>
      </c>
      <c r="D140" s="17">
        <v>116.5549230046212</v>
      </c>
      <c r="E140" s="10">
        <f>(B140/100000)*'Birth Pop per Year'!C140</f>
        <v>3294.276127</v>
      </c>
      <c r="F140" s="8">
        <f>(C140/100000)*'Birth Pop per Year'!G140</f>
        <v>2442.293496</v>
      </c>
      <c r="G140" s="8">
        <f>(D140/100000)*'Birth Pop per Year'!C140</f>
        <v>4347.086024</v>
      </c>
      <c r="H140" s="8">
        <f>(B140/100000)*'Birth Pop per Year'!G140</f>
        <v>3483.859839</v>
      </c>
      <c r="I140" s="8">
        <f>(C140/100000)*'Birth Pop per Year'!G140</f>
        <v>2442.293496</v>
      </c>
      <c r="J140" s="8">
        <f>(D140/100000)*'Birth Pop per Year'!G140</f>
        <v>4597.258345</v>
      </c>
      <c r="K140" s="8">
        <f>(B140/100000)*'Birth Pop per Year'!K140</f>
        <v>3372.299586</v>
      </c>
      <c r="L140" s="34">
        <f>(C140/100000)*'Birth Pop per Year'!K140</f>
        <v>2364.086308</v>
      </c>
      <c r="M140" s="34">
        <f>(D140/100000)*'Birth Pop per Year'!K140</f>
        <v>4450.044815</v>
      </c>
      <c r="N140" s="35" t="str">
        <f t="shared" si="1"/>
        <v>88 (62-117)</v>
      </c>
      <c r="O140" s="37">
        <f>1911479+1818167</f>
        <v>3729646</v>
      </c>
      <c r="P140" s="35" t="str">
        <f t="shared" si="2"/>
        <v>3,294 (2,442-4,347)</v>
      </c>
      <c r="Q140" s="37">
        <f>2022244+1922041</f>
        <v>3944285</v>
      </c>
      <c r="R140" s="35" t="str">
        <f t="shared" si="3"/>
        <v>3,484 (2,442-4,597)</v>
      </c>
      <c r="S140" s="37">
        <f>1958095+1859886</f>
        <v>3817981</v>
      </c>
      <c r="T140" s="35" t="str">
        <f t="shared" si="4"/>
        <v>3,372 (2,364-4,450)</v>
      </c>
    </row>
    <row r="141">
      <c r="A141" s="16" t="s">
        <v>168</v>
      </c>
      <c r="B141" s="17">
        <v>108.37141298498665</v>
      </c>
      <c r="C141" s="18">
        <v>73.96778981514962</v>
      </c>
      <c r="D141" s="17">
        <v>145.35530789256148</v>
      </c>
      <c r="E141" s="10">
        <f>(B141/100000)*'Birth Pop per Year'!C141</f>
        <v>555.8055495</v>
      </c>
      <c r="F141" s="8">
        <f>(C141/100000)*'Birth Pop per Year'!G141</f>
        <v>382.2566616</v>
      </c>
      <c r="G141" s="8">
        <f>(D141/100000)*'Birth Pop per Year'!C141</f>
        <v>745.4852211</v>
      </c>
      <c r="H141" s="8">
        <f>(B141/100000)*'Birth Pop per Year'!G141</f>
        <v>560.0504577</v>
      </c>
      <c r="I141" s="8">
        <f>(C141/100000)*'Birth Pop per Year'!G141</f>
        <v>382.2566616</v>
      </c>
      <c r="J141" s="8">
        <f>(D141/100000)*'Birth Pop per Year'!G141</f>
        <v>751.1787886</v>
      </c>
      <c r="K141" s="8">
        <f>(B141/100000)*'Birth Pop per Year'!K141</f>
        <v>497.3695162</v>
      </c>
      <c r="L141" s="34">
        <f>(C141/100000)*'Birth Pop per Year'!K141</f>
        <v>339.4744317</v>
      </c>
      <c r="M141" s="34">
        <f>(D141/100000)*'Birth Pop per Year'!K141</f>
        <v>667.106732</v>
      </c>
      <c r="N141" s="35" t="str">
        <f t="shared" si="1"/>
        <v>108 (74-145)</v>
      </c>
      <c r="O141" s="37">
        <f>262643+250228</f>
        <v>512871</v>
      </c>
      <c r="P141" s="35" t="str">
        <f t="shared" si="2"/>
        <v>556 (382-745)</v>
      </c>
      <c r="Q141" s="37">
        <f>264645+252143</f>
        <v>516788</v>
      </c>
      <c r="R141" s="35" t="str">
        <f t="shared" si="3"/>
        <v>560 (382-751)</v>
      </c>
      <c r="S141" s="37">
        <f>235008+223941</f>
        <v>458949</v>
      </c>
      <c r="T141" s="35" t="str">
        <f t="shared" si="4"/>
        <v>497 (339-667)</v>
      </c>
    </row>
    <row r="142">
      <c r="A142" s="16" t="s">
        <v>169</v>
      </c>
      <c r="B142" s="17">
        <v>96.24442707129145</v>
      </c>
      <c r="C142" s="18">
        <v>63.81423968857368</v>
      </c>
      <c r="D142" s="17">
        <v>131.81301968459482</v>
      </c>
      <c r="E142" s="10">
        <f>(B142/100000)*'Birth Pop per Year'!C142</f>
        <v>160.7301181</v>
      </c>
      <c r="F142" s="8">
        <f>(C142/100000)*'Birth Pop per Year'!G142</f>
        <v>99.92799421</v>
      </c>
      <c r="G142" s="8">
        <f>(D142/100000)*'Birth Pop per Year'!C142</f>
        <v>220.1303791</v>
      </c>
      <c r="H142" s="8">
        <f>(B142/100000)*'Birth Pop per Year'!G142</f>
        <v>150.7110732</v>
      </c>
      <c r="I142" s="8">
        <f>(C142/100000)*'Birth Pop per Year'!G142</f>
        <v>99.92799421</v>
      </c>
      <c r="J142" s="8">
        <f>(D142/100000)*'Birth Pop per Year'!G142</f>
        <v>206.4086438</v>
      </c>
      <c r="K142" s="8">
        <f>(B142/100000)*'Birth Pop per Year'!K142</f>
        <v>139.3041837</v>
      </c>
      <c r="L142" s="34">
        <f>(C142/100000)*'Birth Pop per Year'!K142</f>
        <v>92.36473053</v>
      </c>
      <c r="M142" s="34">
        <f>(D142/100000)*'Birth Pop per Year'!K142</f>
        <v>190.7861647</v>
      </c>
      <c r="N142" s="35" t="str">
        <f t="shared" si="1"/>
        <v>96 (64-132)</v>
      </c>
      <c r="O142" s="37">
        <f>85297.5+81704.5</f>
        <v>167002</v>
      </c>
      <c r="P142" s="35" t="str">
        <f t="shared" si="2"/>
        <v>161 (100-220)</v>
      </c>
      <c r="Q142" s="37">
        <f>80024+76568</f>
        <v>156592</v>
      </c>
      <c r="R142" s="35" t="str">
        <f t="shared" si="3"/>
        <v>151 (100-206)</v>
      </c>
      <c r="S142" s="37">
        <f>73973+70767</f>
        <v>144740</v>
      </c>
      <c r="T142" s="35" t="str">
        <f t="shared" si="4"/>
        <v>139 (92-191)</v>
      </c>
    </row>
    <row r="143">
      <c r="A143" s="16" t="s">
        <v>170</v>
      </c>
      <c r="B143" s="17">
        <v>57.938941571019676</v>
      </c>
      <c r="C143" s="18">
        <v>36.33459047674116</v>
      </c>
      <c r="D143" s="17">
        <v>79.54329266529822</v>
      </c>
      <c r="E143" s="10">
        <f>(B143/100000)*'Birth Pop per Year'!C143</f>
        <v>18.82783845</v>
      </c>
      <c r="F143" s="8">
        <f>(C143/100000)*'Birth Pop per Year'!G143</f>
        <v>11.22448169</v>
      </c>
      <c r="G143" s="8">
        <f>(D143/100000)*'Birth Pop per Year'!C143</f>
        <v>25.84838838</v>
      </c>
      <c r="H143" s="8">
        <f>(B143/100000)*'Birth Pop per Year'!G143</f>
        <v>17.89849783</v>
      </c>
      <c r="I143" s="8">
        <f>(C143/100000)*'Birth Pop per Year'!G143</f>
        <v>11.22448169</v>
      </c>
      <c r="J143" s="8">
        <f>(D143/100000)*'Birth Pop per Year'!G143</f>
        <v>24.57251397</v>
      </c>
      <c r="K143" s="8">
        <f>(B143/100000)*'Birth Pop per Year'!K143</f>
        <v>15.67711881</v>
      </c>
      <c r="L143" s="34">
        <f>(C143/100000)*'Birth Pop per Year'!K143</f>
        <v>9.831413491</v>
      </c>
      <c r="M143" s="34">
        <f>(D143/100000)*'Birth Pop per Year'!K143</f>
        <v>21.52282413</v>
      </c>
      <c r="N143" s="35" t="str">
        <f t="shared" si="1"/>
        <v>58 (36-80)</v>
      </c>
      <c r="O143" s="37">
        <f>16661+15835</f>
        <v>32496</v>
      </c>
      <c r="P143" s="35" t="str">
        <f t="shared" si="2"/>
        <v>19 (11-26)</v>
      </c>
      <c r="Q143" s="37">
        <f>15835+15057</f>
        <v>30892</v>
      </c>
      <c r="R143" s="35" t="str">
        <f t="shared" si="3"/>
        <v>18 (11-25)</v>
      </c>
      <c r="S143" s="37">
        <f>13869+13189</f>
        <v>27058</v>
      </c>
      <c r="T143" s="35" t="str">
        <f t="shared" si="4"/>
        <v>16 (10-22)</v>
      </c>
    </row>
    <row r="144">
      <c r="A144" s="16" t="s">
        <v>171</v>
      </c>
      <c r="B144" s="17">
        <v>177.52362459546927</v>
      </c>
      <c r="C144" s="18">
        <v>116.65838187702265</v>
      </c>
      <c r="D144" s="17">
        <v>240.92491909385112</v>
      </c>
      <c r="E144" s="10">
        <f>(B144/100000)*'Birth Pop per Year'!C144</f>
        <v>1.052715094</v>
      </c>
      <c r="F144" s="8">
        <f>(C144/100000)*'Birth Pop per Year'!G144</f>
        <v>0.6404545165</v>
      </c>
      <c r="G144" s="8">
        <f>(D144/100000)*'Birth Pop per Year'!C144</f>
        <v>1.42868477</v>
      </c>
      <c r="H144" s="8">
        <f>(B144/100000)*'Birth Pop per Year'!G144</f>
        <v>0.974604699</v>
      </c>
      <c r="I144" s="8">
        <f>(C144/100000)*'Birth Pop per Year'!G144</f>
        <v>0.6404545165</v>
      </c>
      <c r="J144" s="8">
        <f>(D144/100000)*'Birth Pop per Year'!G144</f>
        <v>1.322677806</v>
      </c>
      <c r="K144" s="8">
        <f>(B144/100000)*'Birth Pop per Year'!K144</f>
        <v>0.7899801294</v>
      </c>
      <c r="L144" s="34">
        <f>(C144/100000)*'Birth Pop per Year'!K144</f>
        <v>0.5191297994</v>
      </c>
      <c r="M144" s="34">
        <f>(D144/100000)*'Birth Pop per Year'!K144</f>
        <v>1.07211589</v>
      </c>
      <c r="N144" s="35" t="str">
        <f t="shared" si="1"/>
        <v>178 (117-241)</v>
      </c>
      <c r="O144" s="37">
        <f>305+288</f>
        <v>593</v>
      </c>
      <c r="P144" s="35" t="str">
        <f t="shared" si="2"/>
        <v>1 (1-1)</v>
      </c>
      <c r="Q144" s="37">
        <f>283+266</f>
        <v>549</v>
      </c>
      <c r="R144" s="35" t="str">
        <f t="shared" si="3"/>
        <v>1 (1-1)</v>
      </c>
      <c r="S144" s="37">
        <f>229+216</f>
        <v>445</v>
      </c>
      <c r="T144" s="35" t="str">
        <f t="shared" si="4"/>
        <v>1 (1-1)</v>
      </c>
    </row>
    <row r="145">
      <c r="A145" s="16" t="s">
        <v>172</v>
      </c>
      <c r="B145" s="17">
        <v>101.23893998716493</v>
      </c>
      <c r="C145" s="18">
        <v>68.54719894964292</v>
      </c>
      <c r="D145" s="17">
        <v>137.09439789928584</v>
      </c>
      <c r="E145" s="10">
        <f>(B145/100000)*'Birth Pop per Year'!C145</f>
        <v>72.09731111</v>
      </c>
      <c r="F145" s="8">
        <f>(C145/100000)*'Birth Pop per Year'!G145</f>
        <v>46.9274124</v>
      </c>
      <c r="G145" s="8">
        <f>(D145/100000)*'Birth Pop per Year'!C145</f>
        <v>97.63177546</v>
      </c>
      <c r="H145" s="8">
        <f>(B145/100000)*'Birth Pop per Year'!G145</f>
        <v>69.30817832</v>
      </c>
      <c r="I145" s="8">
        <f>(C145/100000)*'Birth Pop per Year'!G145</f>
        <v>46.9274124</v>
      </c>
      <c r="J145" s="8">
        <f>(D145/100000)*'Birth Pop per Year'!G145</f>
        <v>93.8548248</v>
      </c>
      <c r="K145" s="8">
        <f>(B145/100000)*'Birth Pop per Year'!K145</f>
        <v>71.28335003</v>
      </c>
      <c r="L145" s="34">
        <f>(C145/100000)*'Birth Pop per Year'!K145</f>
        <v>48.26476825</v>
      </c>
      <c r="M145" s="34">
        <f>(D145/100000)*'Birth Pop per Year'!K145</f>
        <v>96.5295365</v>
      </c>
      <c r="N145" s="35" t="str">
        <f t="shared" si="1"/>
        <v>101 (69-137)</v>
      </c>
      <c r="O145" s="37">
        <f>36577+34638</f>
        <v>71215</v>
      </c>
      <c r="P145" s="35" t="str">
        <f t="shared" si="2"/>
        <v>72 (47-98)</v>
      </c>
      <c r="Q145" s="37">
        <f>35170+33290</f>
        <v>68460</v>
      </c>
      <c r="R145" s="35" t="str">
        <f t="shared" si="3"/>
        <v>69 (47-94)</v>
      </c>
      <c r="S145" s="37">
        <f>36172+34239</f>
        <v>70411</v>
      </c>
      <c r="T145" s="35" t="str">
        <f t="shared" si="4"/>
        <v>71 (48-97)</v>
      </c>
    </row>
    <row r="146">
      <c r="A146" s="16" t="s">
        <v>173</v>
      </c>
      <c r="B146" s="17">
        <v>88.79189510348004</v>
      </c>
      <c r="C146" s="18">
        <v>65.84567502055825</v>
      </c>
      <c r="D146" s="17">
        <v>114.73110041460902</v>
      </c>
      <c r="E146" s="10">
        <f>(B146/100000)*'Birth Pop per Year'!C146</f>
        <v>89.34506861</v>
      </c>
      <c r="F146" s="8">
        <f>(C146/100000)*'Birth Pop per Year'!G146</f>
        <v>71.22526667</v>
      </c>
      <c r="G146" s="8">
        <f>(D146/100000)*'Birth Pop per Year'!C146</f>
        <v>115.4458752</v>
      </c>
      <c r="H146" s="8">
        <f>(B146/100000)*'Birth Pop per Year'!G146</f>
        <v>96.04619293</v>
      </c>
      <c r="I146" s="8">
        <f>(C146/100000)*'Birth Pop per Year'!G146</f>
        <v>71.22526667</v>
      </c>
      <c r="J146" s="8">
        <f>(D146/100000)*'Birth Pop per Year'!G146</f>
        <v>124.1046313</v>
      </c>
      <c r="K146" s="8">
        <f>(B146/100000)*'Birth Pop per Year'!K146</f>
        <v>93.42949578</v>
      </c>
      <c r="L146" s="34">
        <f>(C146/100000)*'Birth Pop per Year'!K146</f>
        <v>69.28479463</v>
      </c>
      <c r="M146" s="34">
        <f>(D146/100000)*'Birth Pop per Year'!K146</f>
        <v>120.7235058</v>
      </c>
      <c r="N146" s="35" t="str">
        <f t="shared" si="1"/>
        <v>89 (66-115)</v>
      </c>
      <c r="O146" s="37">
        <f>51559+49064</f>
        <v>100623</v>
      </c>
      <c r="P146" s="35" t="str">
        <f t="shared" si="2"/>
        <v>89 (71-115)</v>
      </c>
      <c r="Q146" s="37">
        <f>55449+52721</f>
        <v>108170</v>
      </c>
      <c r="R146" s="35" t="str">
        <f t="shared" si="3"/>
        <v>96 (71-124)</v>
      </c>
      <c r="S146" s="37">
        <f>53949+51274</f>
        <v>105223</v>
      </c>
      <c r="T146" s="35" t="str">
        <f t="shared" si="4"/>
        <v>93 (69-121)</v>
      </c>
    </row>
    <row r="147">
      <c r="A147" s="16" t="s">
        <v>174</v>
      </c>
      <c r="B147" s="17">
        <v>146.25866630559878</v>
      </c>
      <c r="C147" s="18">
        <v>99.88396723309188</v>
      </c>
      <c r="D147" s="17">
        <v>197.09247105815447</v>
      </c>
      <c r="E147" s="10">
        <f>(B147/100000)*'Birth Pop per Year'!C147</f>
        <v>18.88345641</v>
      </c>
      <c r="F147" s="8">
        <f>(C147/100000)*'Birth Pop per Year'!G147</f>
        <v>11.7553441</v>
      </c>
      <c r="G147" s="8">
        <f>(D147/100000)*'Birth Pop per Year'!C147</f>
        <v>25.44660894</v>
      </c>
      <c r="H147" s="8">
        <f>(B147/100000)*'Birth Pop per Year'!G147</f>
        <v>17.21318244</v>
      </c>
      <c r="I147" s="8">
        <f>(C147/100000)*'Birth Pop per Year'!G147</f>
        <v>11.7553441</v>
      </c>
      <c r="J147" s="8">
        <f>(D147/100000)*'Birth Pop per Year'!G147</f>
        <v>23.19581292</v>
      </c>
      <c r="K147" s="8">
        <f>(B147/100000)*'Birth Pop per Year'!K147</f>
        <v>18.11998617</v>
      </c>
      <c r="L147" s="34">
        <f>(C147/100000)*'Birth Pop per Year'!K147</f>
        <v>12.3746247</v>
      </c>
      <c r="M147" s="34">
        <f>(D147/100000)*'Birth Pop per Year'!K147</f>
        <v>24.41778624</v>
      </c>
      <c r="N147" s="35" t="str">
        <f t="shared" si="1"/>
        <v>146 (100-197)</v>
      </c>
      <c r="O147" s="37">
        <f>6656+6255</f>
        <v>12911</v>
      </c>
      <c r="P147" s="35" t="str">
        <f t="shared" si="2"/>
        <v>19 (12-25)</v>
      </c>
      <c r="Q147" s="37">
        <f>6068+5701</f>
        <v>11769</v>
      </c>
      <c r="R147" s="35" t="str">
        <f t="shared" si="3"/>
        <v>17 (12-23)</v>
      </c>
      <c r="S147" s="37">
        <f>6389+6000</f>
        <v>12389</v>
      </c>
      <c r="T147" s="35" t="str">
        <f t="shared" si="4"/>
        <v>18 (12-24)</v>
      </c>
    </row>
    <row r="148">
      <c r="A148" s="16" t="s">
        <v>175</v>
      </c>
      <c r="B148" s="17">
        <v>123.90334981448687</v>
      </c>
      <c r="C148" s="18">
        <v>85.41821843271443</v>
      </c>
      <c r="D148" s="17">
        <v>168.02045164237234</v>
      </c>
      <c r="E148" s="10">
        <f>(B148/100000)*'Birth Pop per Year'!C148</f>
        <v>74.59353369</v>
      </c>
      <c r="F148" s="8">
        <f>(C148/100000)*'Birth Pop per Year'!G148</f>
        <v>50.10034766</v>
      </c>
      <c r="G148" s="8">
        <f>(D148/100000)*'Birth Pop per Year'!C148</f>
        <v>101.1533525</v>
      </c>
      <c r="H148" s="8">
        <f>(B148/100000)*'Birth Pop per Year'!G148</f>
        <v>72.67303177</v>
      </c>
      <c r="I148" s="8">
        <f>(C148/100000)*'Birth Pop per Year'!G148</f>
        <v>50.10034766</v>
      </c>
      <c r="J148" s="8">
        <f>(D148/100000)*'Birth Pop per Year'!G148</f>
        <v>98.5490355</v>
      </c>
      <c r="K148" s="8">
        <f>(B148/100000)*'Birth Pop per Year'!K148</f>
        <v>70.07106142</v>
      </c>
      <c r="L148" s="34">
        <f>(C148/100000)*'Birth Pop per Year'!K148</f>
        <v>48.30656507</v>
      </c>
      <c r="M148" s="34">
        <f>(D148/100000)*'Birth Pop per Year'!K148</f>
        <v>95.02060602</v>
      </c>
      <c r="N148" s="35" t="str">
        <f t="shared" si="1"/>
        <v>124 (85-168)</v>
      </c>
      <c r="O148" s="37">
        <f>30896+29307</f>
        <v>60203</v>
      </c>
      <c r="P148" s="35" t="str">
        <f t="shared" si="2"/>
        <v>75 (50-101)</v>
      </c>
      <c r="Q148" s="37">
        <f>30097+28556</f>
        <v>58653</v>
      </c>
      <c r="R148" s="35" t="str">
        <f t="shared" si="3"/>
        <v>73 (50-99)</v>
      </c>
      <c r="S148" s="37">
        <f>29016+27537</f>
        <v>56553</v>
      </c>
      <c r="T148" s="35" t="str">
        <f t="shared" si="4"/>
        <v>70 (48-95)</v>
      </c>
    </row>
    <row r="149">
      <c r="A149" s="16" t="s">
        <v>176</v>
      </c>
      <c r="B149" s="17">
        <v>184.47765616546673</v>
      </c>
      <c r="C149" s="18">
        <v>137.20525677306588</v>
      </c>
      <c r="D149" s="17">
        <v>236.3619969620042</v>
      </c>
      <c r="E149" s="10">
        <f>(B149/100000)*'Birth Pop per Year'!C149</f>
        <v>80.42303421</v>
      </c>
      <c r="F149" s="8">
        <f>(C149/100000)*'Birth Pop per Year'!G149</f>
        <v>63.53289415</v>
      </c>
      <c r="G149" s="8">
        <f>(D149/100000)*'Birth Pop per Year'!C149</f>
        <v>103.0420126</v>
      </c>
      <c r="H149" s="8">
        <f>(B149/100000)*'Birth Pop per Year'!G149</f>
        <v>85.42237869</v>
      </c>
      <c r="I149" s="8">
        <f>(C149/100000)*'Birth Pop per Year'!G149</f>
        <v>63.53289415</v>
      </c>
      <c r="J149" s="8">
        <f>(D149/100000)*'Birth Pop per Year'!G149</f>
        <v>109.4474227</v>
      </c>
      <c r="K149" s="8">
        <f>(B149/100000)*'Birth Pop per Year'!K149</f>
        <v>79.79949973</v>
      </c>
      <c r="L149" s="34">
        <f>(C149/100000)*'Birth Pop per Year'!K149</f>
        <v>59.35087792</v>
      </c>
      <c r="M149" s="34">
        <f>(D149/100000)*'Birth Pop per Year'!K149</f>
        <v>102.243109</v>
      </c>
      <c r="N149" s="35" t="str">
        <f t="shared" si="1"/>
        <v>184 (137-236)</v>
      </c>
      <c r="O149" s="37">
        <f>22374+21221</f>
        <v>43595</v>
      </c>
      <c r="P149" s="35" t="str">
        <f t="shared" si="2"/>
        <v>80 (64-103)</v>
      </c>
      <c r="Q149" s="37">
        <f>23765+22540</f>
        <v>46305</v>
      </c>
      <c r="R149" s="35" t="str">
        <f t="shared" si="3"/>
        <v>85 (64-109)</v>
      </c>
      <c r="S149" s="37">
        <f>22202+21055</f>
        <v>43257</v>
      </c>
      <c r="T149" s="35" t="str">
        <f t="shared" si="4"/>
        <v>80 (59-102)</v>
      </c>
    </row>
    <row r="150">
      <c r="A150" s="16" t="s">
        <v>177</v>
      </c>
      <c r="B150" s="17">
        <v>111.62422334261774</v>
      </c>
      <c r="C150" s="18">
        <v>83.71816750696328</v>
      </c>
      <c r="D150" s="17">
        <v>134.5470549219053</v>
      </c>
      <c r="E150" s="10">
        <f>(B150/100000)*'Birth Pop per Year'!C150</f>
        <v>717.0405235</v>
      </c>
      <c r="F150" s="8">
        <f>(C150/100000)*'Birth Pop per Year'!G150</f>
        <v>590.2063835</v>
      </c>
      <c r="G150" s="8">
        <f>(D150/100000)*'Birth Pop per Year'!C150</f>
        <v>864.2899167</v>
      </c>
      <c r="H150" s="8">
        <f>(B150/100000)*'Birth Pop per Year'!G150</f>
        <v>786.9418446</v>
      </c>
      <c r="I150" s="8">
        <f>(C150/100000)*'Birth Pop per Year'!G150</f>
        <v>590.2063835</v>
      </c>
      <c r="J150" s="8">
        <f>(D150/100000)*'Birth Pop per Year'!G150</f>
        <v>948.5459734</v>
      </c>
      <c r="K150" s="8">
        <f>(B150/100000)*'Birth Pop per Year'!K150</f>
        <v>752.1150869</v>
      </c>
      <c r="L150" s="34">
        <f>(C150/100000)*'Birth Pop per Year'!K150</f>
        <v>564.0863152</v>
      </c>
      <c r="M150" s="34">
        <f>(D150/100000)*'Birth Pop per Year'!K150</f>
        <v>906.5672923</v>
      </c>
      <c r="N150" s="35" t="str">
        <f t="shared" si="1"/>
        <v>112 (84-135)</v>
      </c>
      <c r="O150" s="37">
        <f>328867+313503</f>
        <v>642370</v>
      </c>
      <c r="P150" s="35" t="str">
        <f t="shared" si="2"/>
        <v>717 (590-864)</v>
      </c>
      <c r="Q150" s="37">
        <f>361072+343920</f>
        <v>704992</v>
      </c>
      <c r="R150" s="35" t="str">
        <f t="shared" si="3"/>
        <v>787 (590-949)</v>
      </c>
      <c r="S150" s="37">
        <f>345091+328701</f>
        <v>673792</v>
      </c>
      <c r="T150" s="35" t="str">
        <f t="shared" si="4"/>
        <v>752 (564-907)</v>
      </c>
    </row>
    <row r="151">
      <c r="A151" s="16" t="s">
        <v>178</v>
      </c>
      <c r="B151" s="17">
        <v>134.57407604919655</v>
      </c>
      <c r="C151" s="18">
        <v>96.42709386202273</v>
      </c>
      <c r="D151" s="17">
        <v>176.959611812723</v>
      </c>
      <c r="E151" s="10">
        <f>(B151/100000)*'Birth Pop per Year'!C151</f>
        <v>891.3608129</v>
      </c>
      <c r="F151" s="8">
        <f>(C151/100000)*'Birth Pop per Year'!G151</f>
        <v>627.2013536</v>
      </c>
      <c r="G151" s="8">
        <f>(D151/100000)*'Birth Pop per Year'!C151</f>
        <v>1172.104376</v>
      </c>
      <c r="H151" s="8">
        <f>(B151/100000)*'Birth Pop per Year'!G151</f>
        <v>875.324966</v>
      </c>
      <c r="I151" s="8">
        <f>(C151/100000)*'Birth Pop per Year'!G151</f>
        <v>627.2013536</v>
      </c>
      <c r="J151" s="8">
        <f>(D151/100000)*'Birth Pop per Year'!G151</f>
        <v>1151.017869</v>
      </c>
      <c r="K151" s="8">
        <f>(B151/100000)*'Birth Pop per Year'!K151</f>
        <v>933.7449181</v>
      </c>
      <c r="L151" s="34">
        <f>(C151/100000)*'Birth Pop per Year'!K151</f>
        <v>669.0613193</v>
      </c>
      <c r="M151" s="34">
        <f>(D151/100000)*'Birth Pop per Year'!K151</f>
        <v>1227.837806</v>
      </c>
      <c r="N151" s="35" t="str">
        <f t="shared" si="1"/>
        <v>135 (96-177)</v>
      </c>
      <c r="O151" s="37">
        <f>340304+322053</f>
        <v>662357</v>
      </c>
      <c r="P151" s="35" t="str">
        <f t="shared" si="2"/>
        <v>891 (627-1,172)</v>
      </c>
      <c r="Q151" s="37">
        <f>334343+316098</f>
        <v>650441</v>
      </c>
      <c r="R151" s="35" t="str">
        <f t="shared" si="3"/>
        <v>875 (627-1,151)</v>
      </c>
      <c r="S151" s="37">
        <f>356643+337209</f>
        <v>693852</v>
      </c>
      <c r="T151" s="35" t="str">
        <f t="shared" si="4"/>
        <v>934 (669-1,228)</v>
      </c>
    </row>
    <row r="152">
      <c r="A152" s="16" t="s">
        <v>179</v>
      </c>
      <c r="B152" s="17">
        <v>186.26925497901226</v>
      </c>
      <c r="C152" s="18">
        <v>139.70194123425918</v>
      </c>
      <c r="D152" s="17">
        <v>241.6466010538537</v>
      </c>
      <c r="E152" s="10">
        <f>(B152/100000)*'Birth Pop per Year'!C152</f>
        <v>123.0923118</v>
      </c>
      <c r="F152" s="8">
        <f>(C152/100000)*'Birth Pop per Year'!G152</f>
        <v>99.49153149</v>
      </c>
      <c r="G152" s="8">
        <f>(D152/100000)*'Birth Pop per Year'!C152</f>
        <v>159.6873234</v>
      </c>
      <c r="H152" s="8">
        <f>(B152/100000)*'Birth Pop per Year'!G152</f>
        <v>132.6553753</v>
      </c>
      <c r="I152" s="8">
        <f>(C152/100000)*'Birth Pop per Year'!G152</f>
        <v>99.49153149</v>
      </c>
      <c r="J152" s="8">
        <f>(D152/100000)*'Birth Pop per Year'!G152</f>
        <v>172.0934599</v>
      </c>
      <c r="K152" s="8">
        <f>(B152/100000)*'Birth Pop per Year'!K152</f>
        <v>126.4339822</v>
      </c>
      <c r="L152" s="34">
        <f>(C152/100000)*'Birth Pop per Year'!K152</f>
        <v>94.82548665</v>
      </c>
      <c r="M152" s="34">
        <f>(D152/100000)*'Birth Pop per Year'!K152</f>
        <v>164.0224634</v>
      </c>
      <c r="N152" s="35" t="str">
        <f t="shared" si="1"/>
        <v>186 (140-242)</v>
      </c>
      <c r="O152" s="37">
        <f>34112+31971</f>
        <v>66083</v>
      </c>
      <c r="P152" s="35" t="str">
        <f t="shared" si="2"/>
        <v>123 (99-160)</v>
      </c>
      <c r="Q152" s="37">
        <f>36761+34456</f>
        <v>71217</v>
      </c>
      <c r="R152" s="35" t="str">
        <f t="shared" si="3"/>
        <v>133 (99-172)</v>
      </c>
      <c r="S152" s="37">
        <f>35043+32834</f>
        <v>67877</v>
      </c>
      <c r="T152" s="35" t="str">
        <f t="shared" si="4"/>
        <v>126 (95-164)</v>
      </c>
    </row>
    <row r="153">
      <c r="A153" s="16" t="s">
        <v>180</v>
      </c>
      <c r="B153" s="17">
        <v>118.7125557680051</v>
      </c>
      <c r="C153" s="18">
        <v>80.72453792224347</v>
      </c>
      <c r="D153" s="17">
        <v>162.2404928829403</v>
      </c>
      <c r="E153" s="10">
        <f>(B153/100000)*'Birth Pop per Year'!C153</f>
        <v>5.064277629</v>
      </c>
      <c r="F153" s="8">
        <f>(C153/100000)*'Birth Pop per Year'!G153</f>
        <v>3.202342419</v>
      </c>
      <c r="G153" s="8">
        <f>(D153/100000)*'Birth Pop per Year'!C153</f>
        <v>6.921179426</v>
      </c>
      <c r="H153" s="8">
        <f>(B153/100000)*'Birth Pop per Year'!G153</f>
        <v>4.709327087</v>
      </c>
      <c r="I153" s="8">
        <f>(C153/100000)*'Birth Pop per Year'!G153</f>
        <v>3.202342419</v>
      </c>
      <c r="J153" s="8">
        <f>(D153/100000)*'Birth Pop per Year'!G153</f>
        <v>6.436080353</v>
      </c>
      <c r="K153" s="8">
        <f>(B153/100000)*'Birth Pop per Year'!K153</f>
        <v>4.446972339</v>
      </c>
      <c r="L153" s="34">
        <f>(C153/100000)*'Birth Pop per Year'!K153</f>
        <v>3.023941191</v>
      </c>
      <c r="M153" s="34">
        <f>(D153/100000)*'Birth Pop per Year'!K153</f>
        <v>6.077528863</v>
      </c>
      <c r="N153" s="35" t="str">
        <f t="shared" si="1"/>
        <v>119 (81-162)</v>
      </c>
      <c r="O153" s="37">
        <f>2070+2196</f>
        <v>4266</v>
      </c>
      <c r="P153" s="35" t="str">
        <f t="shared" si="2"/>
        <v>5 (3-7)</v>
      </c>
      <c r="Q153" s="37">
        <f>1926+2041</f>
        <v>3967</v>
      </c>
      <c r="R153" s="35" t="str">
        <f t="shared" si="3"/>
        <v>5 (3-6)</v>
      </c>
      <c r="S153" s="37">
        <f>1819+1927</f>
        <v>3746</v>
      </c>
      <c r="T153" s="35" t="str">
        <f t="shared" si="4"/>
        <v>4 (3-6)</v>
      </c>
    </row>
    <row r="154">
      <c r="A154" s="16" t="s">
        <v>181</v>
      </c>
      <c r="B154" s="17">
        <v>100.77111124447033</v>
      </c>
      <c r="C154" s="18">
        <v>70.10164260484893</v>
      </c>
      <c r="D154" s="17">
        <v>129.68803881897054</v>
      </c>
      <c r="E154" s="10">
        <f>(B154/100000)*'Birth Pop per Year'!C154</f>
        <v>55.09156652</v>
      </c>
      <c r="F154" s="8">
        <f>(C154/100000)*'Birth Pop per Year'!G154</f>
        <v>43.86470083</v>
      </c>
      <c r="G154" s="8">
        <f>(D154/100000)*'Birth Pop per Year'!C154</f>
        <v>70.90045082</v>
      </c>
      <c r="H154" s="8">
        <f>(B154/100000)*'Birth Pop per Year'!G154</f>
        <v>63.05550744</v>
      </c>
      <c r="I154" s="8">
        <f>(C154/100000)*'Birth Pop per Year'!G154</f>
        <v>43.86470083</v>
      </c>
      <c r="J154" s="8">
        <f>(D154/100000)*'Birth Pop per Year'!G154</f>
        <v>81.14969653</v>
      </c>
      <c r="K154" s="8">
        <f>(B154/100000)*'Birth Pop per Year'!K154</f>
        <v>59.27759848</v>
      </c>
      <c r="L154" s="34">
        <f>(C154/100000)*'Birth Pop per Year'!K154</f>
        <v>41.23659025</v>
      </c>
      <c r="M154" s="34">
        <f>(D154/100000)*'Birth Pop per Year'!K154</f>
        <v>76.28769195</v>
      </c>
      <c r="N154" s="35" t="str">
        <f t="shared" si="1"/>
        <v>101 (70-130)</v>
      </c>
      <c r="O154" s="37">
        <f>26596+28074</f>
        <v>54670</v>
      </c>
      <c r="P154" s="35" t="str">
        <f t="shared" si="2"/>
        <v>55 (44-71)</v>
      </c>
      <c r="Q154" s="37">
        <f>30431+32142</f>
        <v>62573</v>
      </c>
      <c r="R154" s="35" t="str">
        <f t="shared" si="3"/>
        <v>63 (44-81)</v>
      </c>
      <c r="S154" s="37">
        <f>28603+30221</f>
        <v>58824</v>
      </c>
      <c r="T154" s="35" t="str">
        <f t="shared" si="4"/>
        <v>59 (41-76)</v>
      </c>
    </row>
    <row r="155">
      <c r="A155" s="16" t="s">
        <v>182</v>
      </c>
      <c r="B155" s="17">
        <v>65.61155092121007</v>
      </c>
      <c r="C155" s="18">
        <v>43.56176741490177</v>
      </c>
      <c r="D155" s="17">
        <v>89.2747332206629</v>
      </c>
      <c r="E155" s="10">
        <f>(B155/100000)*'Birth Pop per Year'!C155</f>
        <v>115.3326403</v>
      </c>
      <c r="F155" s="8">
        <f>(C155/100000)*'Birth Pop per Year'!G155</f>
        <v>86.83864087</v>
      </c>
      <c r="G155" s="8">
        <f>(D155/100000)*'Birth Pop per Year'!C155</f>
        <v>156.9280188</v>
      </c>
      <c r="H155" s="8">
        <f>(B155/100000)*'Birth Pop per Year'!G155</f>
        <v>130.7940023</v>
      </c>
      <c r="I155" s="8">
        <f>(C155/100000)*'Birth Pop per Year'!G155</f>
        <v>86.83864087</v>
      </c>
      <c r="J155" s="8">
        <f>(D155/100000)*'Birth Pop per Year'!G155</f>
        <v>177.9656097</v>
      </c>
      <c r="K155" s="8">
        <f>(B155/100000)*'Birth Pop per Year'!K155</f>
        <v>139.1122347</v>
      </c>
      <c r="L155" s="34">
        <f>(C155/100000)*'Birth Pop per Year'!K155</f>
        <v>92.36140174</v>
      </c>
      <c r="M155" s="34">
        <f>(D155/100000)*'Birth Pop per Year'!K155</f>
        <v>189.2838604</v>
      </c>
      <c r="N155" s="35" t="str">
        <f t="shared" si="1"/>
        <v>66 (44-89)</v>
      </c>
      <c r="O155" s="37">
        <f>85532+90249</f>
        <v>175781</v>
      </c>
      <c r="P155" s="35" t="str">
        <f t="shared" si="2"/>
        <v>115 (87-157)</v>
      </c>
      <c r="Q155" s="37">
        <f>96963+102383</f>
        <v>199346</v>
      </c>
      <c r="R155" s="35" t="str">
        <f t="shared" si="3"/>
        <v>131 (87-178)</v>
      </c>
      <c r="S155" s="37">
        <f>103118+108906</f>
        <v>212024</v>
      </c>
      <c r="T155" s="35" t="str">
        <f t="shared" si="4"/>
        <v>139 (92-189)</v>
      </c>
    </row>
    <row r="156">
      <c r="A156" s="16" t="s">
        <v>183</v>
      </c>
      <c r="B156" s="17">
        <v>101.29024554672043</v>
      </c>
      <c r="C156" s="18">
        <v>78.13818942175577</v>
      </c>
      <c r="D156" s="17">
        <v>124.44230167168512</v>
      </c>
      <c r="E156" s="10">
        <f>(B156/100000)*'Birth Pop per Year'!C156</f>
        <v>380.2375044</v>
      </c>
      <c r="F156" s="8">
        <f>(C156/100000)*'Birth Pop per Year'!G156</f>
        <v>299.0301626</v>
      </c>
      <c r="G156" s="8">
        <f>(D156/100000)*'Birth Pop per Year'!C156</f>
        <v>467.1489339</v>
      </c>
      <c r="H156" s="8">
        <f>(B156/100000)*'Birth Pop per Year'!G156</f>
        <v>387.6316923</v>
      </c>
      <c r="I156" s="8">
        <f>(C156/100000)*'Birth Pop per Year'!G156</f>
        <v>299.0301626</v>
      </c>
      <c r="J156" s="8">
        <f>(D156/100000)*'Birth Pop per Year'!G156</f>
        <v>476.233222</v>
      </c>
      <c r="K156" s="8">
        <f>(B156/100000)*'Birth Pop per Year'!K156</f>
        <v>349.9851467</v>
      </c>
      <c r="L156" s="34">
        <f>(C156/100000)*'Birth Pop per Year'!K156</f>
        <v>269.9885418</v>
      </c>
      <c r="M156" s="34">
        <f>(D156/100000)*'Birth Pop per Year'!K156</f>
        <v>429.9817517</v>
      </c>
      <c r="N156" s="35" t="str">
        <f t="shared" si="1"/>
        <v>101 (78-124)</v>
      </c>
      <c r="O156" s="37">
        <f>182304+193090</f>
        <v>375394</v>
      </c>
      <c r="P156" s="35" t="str">
        <f t="shared" si="2"/>
        <v>380 (299-467)</v>
      </c>
      <c r="Q156" s="37">
        <f>185852+196842</f>
        <v>382694</v>
      </c>
      <c r="R156" s="35" t="str">
        <f t="shared" si="3"/>
        <v>388 (299-476)</v>
      </c>
      <c r="S156" s="37">
        <f>167797+177730</f>
        <v>345527</v>
      </c>
      <c r="T156" s="35" t="str">
        <f t="shared" si="4"/>
        <v>350 (270-430)</v>
      </c>
    </row>
    <row r="157">
      <c r="A157" s="16" t="s">
        <v>184</v>
      </c>
      <c r="B157" s="17">
        <v>139.1126255794513</v>
      </c>
      <c r="C157" s="18">
        <v>96.30874078577399</v>
      </c>
      <c r="D157" s="17">
        <v>187.75340375408464</v>
      </c>
      <c r="E157" s="10">
        <f>(B157/100000)*'Birth Pop per Year'!C157</f>
        <v>9.565384135</v>
      </c>
      <c r="F157" s="8">
        <f>(C157/100000)*'Birth Pop per Year'!G157</f>
        <v>6.363118504</v>
      </c>
      <c r="G157" s="8">
        <f>(D157/100000)*'Birth Pop per Year'!C157</f>
        <v>12.90992404</v>
      </c>
      <c r="H157" s="8">
        <f>(B157/100000)*'Birth Pop per Year'!G157</f>
        <v>9.191171172</v>
      </c>
      <c r="I157" s="8">
        <f>(C157/100000)*'Birth Pop per Year'!G157</f>
        <v>6.363118504</v>
      </c>
      <c r="J157" s="8">
        <f>(D157/100000)*'Birth Pop per Year'!G157</f>
        <v>12.40486739</v>
      </c>
      <c r="K157" s="8">
        <f>(B157/100000)*'Birth Pop per Year'!K157</f>
        <v>9.666936352</v>
      </c>
      <c r="L157" s="34">
        <f>(C157/100000)*'Birth Pop per Year'!K157</f>
        <v>6.692494397</v>
      </c>
      <c r="M157" s="34">
        <f>(D157/100000)*'Birth Pop per Year'!K157</f>
        <v>13.04698403</v>
      </c>
      <c r="N157" s="35" t="str">
        <f t="shared" si="1"/>
        <v>139 (96-188)</v>
      </c>
      <c r="O157" s="37">
        <f>3346+3530</f>
        <v>6876</v>
      </c>
      <c r="P157" s="35" t="str">
        <f t="shared" si="2"/>
        <v>10 (6-13)</v>
      </c>
      <c r="Q157" s="37">
        <f>3213+3394</f>
        <v>6607</v>
      </c>
      <c r="R157" s="35" t="str">
        <f t="shared" si="3"/>
        <v>9 (6-12)</v>
      </c>
      <c r="S157" s="37">
        <f>3378+3571</f>
        <v>6949</v>
      </c>
      <c r="T157" s="35" t="str">
        <f t="shared" si="4"/>
        <v>10 (7-13)</v>
      </c>
    </row>
    <row r="158">
      <c r="A158" s="16" t="s">
        <v>185</v>
      </c>
      <c r="B158" s="17">
        <v>148.8296958045912</v>
      </c>
      <c r="C158" s="18">
        <v>107.81363790568811</v>
      </c>
      <c r="D158" s="17">
        <v>194.53330317765466</v>
      </c>
      <c r="E158" s="10">
        <f>(B158/100000)*'Birth Pop per Year'!C158</f>
        <v>5.887702766</v>
      </c>
      <c r="F158" s="8">
        <f>(C158/100000)*'Birth Pop per Year'!G158</f>
        <v>3.570787687</v>
      </c>
      <c r="G158" s="8">
        <f>(D158/100000)*'Birth Pop per Year'!C158</f>
        <v>7.695737474</v>
      </c>
      <c r="H158" s="8">
        <f>(B158/100000)*'Birth Pop per Year'!G158</f>
        <v>4.929239525</v>
      </c>
      <c r="I158" s="8">
        <f>(C158/100000)*'Birth Pop per Year'!G158</f>
        <v>3.570787687</v>
      </c>
      <c r="J158" s="8">
        <f>(D158/100000)*'Birth Pop per Year'!G158</f>
        <v>6.442943001</v>
      </c>
      <c r="K158" s="8">
        <f>(B158/100000)*'Birth Pop per Year'!K158</f>
        <v>5.021513936</v>
      </c>
      <c r="L158" s="34">
        <f>(C158/100000)*'Birth Pop per Year'!K158</f>
        <v>3.637632143</v>
      </c>
      <c r="M158" s="34">
        <f>(D158/100000)*'Birth Pop per Year'!K158</f>
        <v>6.563553649</v>
      </c>
      <c r="N158" s="35" t="str">
        <f t="shared" si="1"/>
        <v>149 (108-195)</v>
      </c>
      <c r="O158" s="37">
        <f>1911+2045</f>
        <v>3956</v>
      </c>
      <c r="P158" s="35" t="str">
        <f t="shared" si="2"/>
        <v>6 (4-8)</v>
      </c>
      <c r="Q158" s="37">
        <f>1600+1712</f>
        <v>3312</v>
      </c>
      <c r="R158" s="35" t="str">
        <f t="shared" si="3"/>
        <v>5 (4-6)</v>
      </c>
      <c r="S158" s="37">
        <f>1630+1744</f>
        <v>3374</v>
      </c>
      <c r="T158" s="35" t="str">
        <f t="shared" si="4"/>
        <v>5 (4-7)</v>
      </c>
    </row>
    <row r="159">
      <c r="A159" s="16" t="s">
        <v>186</v>
      </c>
      <c r="B159" s="17">
        <v>108.51132290184923</v>
      </c>
      <c r="C159" s="18">
        <v>64.6683641536273</v>
      </c>
      <c r="D159" s="17">
        <v>132.62495021337128</v>
      </c>
      <c r="E159" s="10">
        <f>(B159/100000)*'Birth Pop per Year'!C159</f>
        <v>0.4058323477</v>
      </c>
      <c r="F159" s="8">
        <f>(C159/100000)*'Birth Pop per Year'!G159</f>
        <v>0.248973202</v>
      </c>
      <c r="G159" s="8">
        <f>(D159/100000)*'Birth Pop per Year'!C159</f>
        <v>0.4960173138</v>
      </c>
      <c r="H159" s="8">
        <f>(B159/100000)*'Birth Pop per Year'!G159</f>
        <v>0.4177685932</v>
      </c>
      <c r="I159" s="8">
        <f>(C159/100000)*'Birth Pop per Year'!G159</f>
        <v>0.248973202</v>
      </c>
      <c r="J159" s="8">
        <f>(D159/100000)*'Birth Pop per Year'!G159</f>
        <v>0.5106060583</v>
      </c>
      <c r="K159" s="8">
        <f>(B159/100000)*'Birth Pop per Year'!K159</f>
        <v>0.4600880091</v>
      </c>
      <c r="L159" s="34">
        <f>(C159/100000)*'Birth Pop per Year'!K159</f>
        <v>0.274193864</v>
      </c>
      <c r="M159" s="34">
        <f>(D159/100000)*'Birth Pop per Year'!K159</f>
        <v>0.5623297889</v>
      </c>
      <c r="N159" s="35" t="str">
        <f t="shared" si="1"/>
        <v>109 (65-133)</v>
      </c>
      <c r="O159" s="37">
        <f>183+191</f>
        <v>374</v>
      </c>
      <c r="P159" s="35" t="str">
        <f t="shared" si="2"/>
        <v>0 (0-0)</v>
      </c>
      <c r="Q159" s="37">
        <f>188+197</f>
        <v>385</v>
      </c>
      <c r="R159" s="35" t="str">
        <f t="shared" si="3"/>
        <v>0 (0-1)</v>
      </c>
      <c r="S159" s="37">
        <f>207+217</f>
        <v>424</v>
      </c>
      <c r="T159" s="35" t="str">
        <f t="shared" si="4"/>
        <v>0 (0-1)</v>
      </c>
    </row>
    <row r="160">
      <c r="A160" s="16" t="s">
        <v>187</v>
      </c>
      <c r="B160" s="17">
        <v>132.4203253260588</v>
      </c>
      <c r="C160" s="18">
        <v>92.89187000484719</v>
      </c>
      <c r="D160" s="17">
        <v>171.94878064727035</v>
      </c>
      <c r="E160" s="10">
        <f>(B160/100000)*'Birth Pop per Year'!C160</f>
        <v>240.4501509</v>
      </c>
      <c r="F160" s="8">
        <f>(C160/100000)*'Birth Pop per Year'!G160</f>
        <v>161.4228471</v>
      </c>
      <c r="G160" s="8">
        <f>(D160/100000)*'Birth Pop per Year'!C160</f>
        <v>312.2263154</v>
      </c>
      <c r="H160" s="8">
        <f>(B160/100000)*'Birth Pop per Year'!G160</f>
        <v>230.1134203</v>
      </c>
      <c r="I160" s="8">
        <f>(C160/100000)*'Birth Pop per Year'!G160</f>
        <v>161.4228471</v>
      </c>
      <c r="J160" s="8">
        <f>(D160/100000)*'Birth Pop per Year'!G160</f>
        <v>298.8039936</v>
      </c>
      <c r="K160" s="8">
        <f>(B160/100000)*'Birth Pop per Year'!K160</f>
        <v>218.1028968</v>
      </c>
      <c r="L160" s="34">
        <f>(C160/100000)*'Birth Pop per Year'!K160</f>
        <v>152.9975545</v>
      </c>
      <c r="M160" s="34">
        <f>(D160/100000)*'Birth Pop per Year'!K160</f>
        <v>283.2082392</v>
      </c>
      <c r="N160" s="35" t="str">
        <f t="shared" si="1"/>
        <v>132 (93-172)</v>
      </c>
      <c r="O160" s="37">
        <f>88424+93157</f>
        <v>181581</v>
      </c>
      <c r="P160" s="35" t="str">
        <f t="shared" si="2"/>
        <v>240 (161-312)</v>
      </c>
      <c r="Q160" s="37">
        <f>84570+89205</f>
        <v>173775</v>
      </c>
      <c r="R160" s="35" t="str">
        <f t="shared" si="3"/>
        <v>230 (161-299)</v>
      </c>
      <c r="S160" s="37">
        <f>80146+84559</f>
        <v>164705</v>
      </c>
      <c r="T160" s="35" t="str">
        <f t="shared" si="4"/>
        <v>218 (153-283)</v>
      </c>
    </row>
    <row r="161">
      <c r="A161" s="16" t="s">
        <v>188</v>
      </c>
      <c r="B161" s="17">
        <v>278.33929317723494</v>
      </c>
      <c r="C161" s="18">
        <v>177.663378623767</v>
      </c>
      <c r="D161" s="17">
        <v>387.89837666189123</v>
      </c>
      <c r="E161" s="10">
        <f>(B161/100000)*'Birth Pop per Year'!C161</f>
        <v>146.5567714</v>
      </c>
      <c r="F161" s="8">
        <f>(C161/100000)*'Birth Pop per Year'!G161</f>
        <v>95.86005257</v>
      </c>
      <c r="G161" s="8">
        <f>(D161/100000)*'Birth Pop per Year'!C161</f>
        <v>204.2440112</v>
      </c>
      <c r="H161" s="8">
        <f>(B161/100000)*'Birth Pop per Year'!G161</f>
        <v>150.180749</v>
      </c>
      <c r="I161" s="8">
        <f>(C161/100000)*'Birth Pop per Year'!G161</f>
        <v>95.86005257</v>
      </c>
      <c r="J161" s="8">
        <f>(D161/100000)*'Birth Pop per Year'!G161</f>
        <v>209.2944481</v>
      </c>
      <c r="K161" s="8">
        <f>(B161/100000)*'Birth Pop per Year'!K161</f>
        <v>143.514523</v>
      </c>
      <c r="L161" s="34">
        <f>(C161/100000)*'Birth Pop per Year'!K161</f>
        <v>91.60501465</v>
      </c>
      <c r="M161" s="34">
        <f>(D161/100000)*'Birth Pop per Year'!K161</f>
        <v>200.004282</v>
      </c>
      <c r="N161" s="35" t="str">
        <f t="shared" si="1"/>
        <v>278 (178-388)</v>
      </c>
      <c r="O161" s="37">
        <f>25564+27090</f>
        <v>52654</v>
      </c>
      <c r="P161" s="35" t="str">
        <f t="shared" si="2"/>
        <v>147 (96-204)</v>
      </c>
      <c r="Q161" s="37">
        <f>26199+27757</f>
        <v>53956</v>
      </c>
      <c r="R161" s="35" t="str">
        <f t="shared" si="3"/>
        <v>150 (96-209)</v>
      </c>
      <c r="S161" s="37">
        <f>25040+26521</f>
        <v>51561</v>
      </c>
      <c r="T161" s="35" t="str">
        <f t="shared" si="4"/>
        <v>144 (92-200)</v>
      </c>
    </row>
    <row r="162">
      <c r="A162" s="16" t="s">
        <v>189</v>
      </c>
      <c r="B162" s="17">
        <v>65.63833082587695</v>
      </c>
      <c r="C162" s="18">
        <v>46.704196933797064</v>
      </c>
      <c r="D162" s="17">
        <v>88.35929149637282</v>
      </c>
      <c r="E162" s="10">
        <f>(B162/100000)*'Birth Pop per Year'!C162</f>
        <v>55.80505248</v>
      </c>
      <c r="F162" s="8">
        <f>(C162/100000)*'Birth Pop per Year'!G162</f>
        <v>40.79751715</v>
      </c>
      <c r="G162" s="8">
        <f>(D162/100000)*'Birth Pop per Year'!C162</f>
        <v>75.12218604</v>
      </c>
      <c r="H162" s="8">
        <f>(B162/100000)*'Birth Pop per Year'!G162</f>
        <v>57.33705113</v>
      </c>
      <c r="I162" s="8">
        <f>(C162/100000)*'Birth Pop per Year'!G162</f>
        <v>40.79751715</v>
      </c>
      <c r="J162" s="8">
        <f>(D162/100000)*'Birth Pop per Year'!G162</f>
        <v>77.1844919</v>
      </c>
      <c r="K162" s="8">
        <f>(B162/100000)*'Birth Pop per Year'!K162</f>
        <v>54.55989335</v>
      </c>
      <c r="L162" s="34">
        <f>(C162/100000)*'Birth Pop per Year'!K162</f>
        <v>38.82146258</v>
      </c>
      <c r="M162" s="34">
        <f>(D162/100000)*'Birth Pop per Year'!K162</f>
        <v>73.44601028</v>
      </c>
      <c r="N162" s="35" t="str">
        <f t="shared" si="1"/>
        <v>66 (47-88)</v>
      </c>
      <c r="O162" s="37">
        <f>41322+43697</f>
        <v>85019</v>
      </c>
      <c r="P162" s="35" t="str">
        <f t="shared" si="2"/>
        <v>56 (41-75)</v>
      </c>
      <c r="Q162" s="37">
        <f>42411+44942</f>
        <v>87353</v>
      </c>
      <c r="R162" s="35" t="str">
        <f t="shared" si="3"/>
        <v>57 (41-77)</v>
      </c>
      <c r="S162" s="37">
        <f>40348+42774</f>
        <v>83122</v>
      </c>
      <c r="T162" s="35" t="str">
        <f t="shared" si="4"/>
        <v>55 (39-73)</v>
      </c>
    </row>
    <row r="163">
      <c r="A163" s="16" t="s">
        <v>190</v>
      </c>
      <c r="B163" s="17">
        <v>290.7614222222223</v>
      </c>
      <c r="C163" s="18">
        <v>225.30204444444445</v>
      </c>
      <c r="D163" s="17">
        <v>359.2654222222222</v>
      </c>
      <c r="E163" s="10">
        <f>(B163/100000)*'Birth Pop per Year'!C163</f>
        <v>0.5989685298</v>
      </c>
      <c r="F163" s="8">
        <f>(C163/100000)*'Birth Pop per Year'!G163</f>
        <v>0.5587490702</v>
      </c>
      <c r="G163" s="8">
        <f>(D163/100000)*'Birth Pop per Year'!C163</f>
        <v>0.7400867698</v>
      </c>
      <c r="H163" s="8">
        <f>(B163/100000)*'Birth Pop per Year'!G163</f>
        <v>0.7210883271</v>
      </c>
      <c r="I163" s="8">
        <f>(C163/100000)*'Birth Pop per Year'!G163</f>
        <v>0.5587490702</v>
      </c>
      <c r="J163" s="8">
        <f>(D163/100000)*'Birth Pop per Year'!G163</f>
        <v>0.8909782471</v>
      </c>
      <c r="K163" s="8">
        <f>(B163/100000)*'Birth Pop per Year'!K163</f>
        <v>0.6978274133</v>
      </c>
      <c r="L163" s="34">
        <f>(C163/100000)*'Birth Pop per Year'!K163</f>
        <v>0.5407249067</v>
      </c>
      <c r="M163" s="34">
        <f>(D163/100000)*'Birth Pop per Year'!K163</f>
        <v>0.8622370133</v>
      </c>
      <c r="N163" s="35" t="str">
        <f t="shared" si="1"/>
        <v>291 (225-359)</v>
      </c>
      <c r="O163" s="37">
        <f>100+106</f>
        <v>206</v>
      </c>
      <c r="P163" s="35" t="str">
        <f t="shared" si="2"/>
        <v>1 (1-1)</v>
      </c>
      <c r="Q163" s="37">
        <f>120+128</f>
        <v>248</v>
      </c>
      <c r="R163" s="35" t="str">
        <f t="shared" si="3"/>
        <v>1 (1-1)</v>
      </c>
      <c r="S163" s="37">
        <f>116+124</f>
        <v>240</v>
      </c>
      <c r="T163" s="35" t="str">
        <f t="shared" si="4"/>
        <v>1 (1-1)</v>
      </c>
    </row>
    <row r="164">
      <c r="A164" s="16" t="s">
        <v>191</v>
      </c>
      <c r="B164" s="17">
        <v>74.92466007094833</v>
      </c>
      <c r="C164" s="18">
        <v>55.49974820070247</v>
      </c>
      <c r="D164" s="17">
        <v>98.51205305624687</v>
      </c>
      <c r="E164" s="10">
        <f>(B164/100000)*'Birth Pop per Year'!C164</f>
        <v>241.6889715</v>
      </c>
      <c r="F164" s="8">
        <f>(C164/100000)*'Birth Pop per Year'!G164</f>
        <v>190.4829058</v>
      </c>
      <c r="G164" s="8">
        <f>(D164/100000)*'Birth Pop per Year'!C164</f>
        <v>317.7762403</v>
      </c>
      <c r="H164" s="8">
        <f>(B164/100000)*'Birth Pop per Year'!G164</f>
        <v>257.1519228</v>
      </c>
      <c r="I164" s="8">
        <f>(C164/100000)*'Birth Pop per Year'!G164</f>
        <v>190.4829058</v>
      </c>
      <c r="J164" s="8">
        <f>(D164/100000)*'Birth Pop per Year'!G164</f>
        <v>338.1071578</v>
      </c>
      <c r="K164" s="8">
        <f>(B164/100000)*'Birth Pop per Year'!K164</f>
        <v>240.9105043</v>
      </c>
      <c r="L164" s="34">
        <f>(C164/100000)*'Birth Pop per Year'!K164</f>
        <v>178.4522254</v>
      </c>
      <c r="M164" s="34">
        <f>(D164/100000)*'Birth Pop per Year'!K164</f>
        <v>316.7527</v>
      </c>
      <c r="N164" s="35" t="str">
        <f t="shared" si="1"/>
        <v>75 (55-99)</v>
      </c>
      <c r="O164" s="37">
        <f>156256+166320</f>
        <v>322576</v>
      </c>
      <c r="P164" s="35" t="str">
        <f t="shared" si="2"/>
        <v>242 (190-318)</v>
      </c>
      <c r="Q164" s="37">
        <f>166108+177106</f>
        <v>343214</v>
      </c>
      <c r="R164" s="35" t="str">
        <f t="shared" si="3"/>
        <v>257 (190-338)</v>
      </c>
      <c r="S164" s="37">
        <f>155597+165940</f>
        <v>321537</v>
      </c>
      <c r="T164" s="35" t="str">
        <f t="shared" si="4"/>
        <v>241 (178-317)</v>
      </c>
    </row>
    <row r="165">
      <c r="A165" s="16" t="s">
        <v>192</v>
      </c>
      <c r="B165" s="17">
        <v>93.0903924575254</v>
      </c>
      <c r="C165" s="18">
        <v>62.06026163835027</v>
      </c>
      <c r="D165" s="17">
        <v>127.77112690248582</v>
      </c>
      <c r="E165" s="10">
        <f>(B165/100000)*'Birth Pop per Year'!C165</f>
        <v>88.46379995</v>
      </c>
      <c r="F165" s="8">
        <f>(C165/100000)*'Birth Pop per Year'!G165</f>
        <v>64.61590321</v>
      </c>
      <c r="G165" s="8">
        <f>(D165/100000)*'Birth Pop per Year'!C165</f>
        <v>121.4209019</v>
      </c>
      <c r="H165" s="8">
        <f>(B165/100000)*'Birth Pop per Year'!G165</f>
        <v>96.92385482</v>
      </c>
      <c r="I165" s="8">
        <f>(C165/100000)*'Birth Pop per Year'!G165</f>
        <v>64.61590321</v>
      </c>
      <c r="J165" s="8">
        <f>(D165/100000)*'Birth Pop per Year'!G165</f>
        <v>133.0327419</v>
      </c>
      <c r="K165" s="8">
        <f>(B165/100000)*'Birth Pop per Year'!K165</f>
        <v>98.55759121</v>
      </c>
      <c r="L165" s="34">
        <f>(C165/100000)*'Birth Pop per Year'!K165</f>
        <v>65.7050608</v>
      </c>
      <c r="M165" s="34">
        <f>(D165/100000)*'Birth Pop per Year'!K165</f>
        <v>135.2751252</v>
      </c>
      <c r="N165" s="35" t="str">
        <f t="shared" si="1"/>
        <v>93 (62-128)</v>
      </c>
      <c r="O165" s="37">
        <f>46243+48787</f>
        <v>95030</v>
      </c>
      <c r="P165" s="35" t="str">
        <f t="shared" si="2"/>
        <v>88 (65-121)</v>
      </c>
      <c r="Q165" s="37">
        <f>50689+53429</f>
        <v>104118</v>
      </c>
      <c r="R165" s="35" t="str">
        <f t="shared" si="3"/>
        <v>97 (65-133)</v>
      </c>
      <c r="S165" s="37">
        <f>51546+54327</f>
        <v>105873</v>
      </c>
      <c r="T165" s="35" t="str">
        <f t="shared" si="4"/>
        <v>99 (66-135)</v>
      </c>
    </row>
    <row r="166">
      <c r="A166" s="16" t="s">
        <v>193</v>
      </c>
      <c r="B166" s="17">
        <v>191.67453670974095</v>
      </c>
      <c r="C166" s="18">
        <v>150.31318931448106</v>
      </c>
      <c r="D166" s="17">
        <v>235.05351080720868</v>
      </c>
      <c r="E166" s="10">
        <f>(B166/100000)*'Birth Pop per Year'!C166</f>
        <v>147.1868767</v>
      </c>
      <c r="F166" s="8">
        <f>(C166/100000)*'Birth Pop per Year'!G166</f>
        <v>115.2376066</v>
      </c>
      <c r="G166" s="8">
        <f>(D166/100000)*'Birth Pop per Year'!C166</f>
        <v>180.4975909</v>
      </c>
      <c r="H166" s="8">
        <f>(B166/100000)*'Birth Pop per Year'!G166</f>
        <v>146.9472836</v>
      </c>
      <c r="I166" s="8">
        <f>(C166/100000)*'Birth Pop per Year'!G166</f>
        <v>115.2376066</v>
      </c>
      <c r="J166" s="8">
        <f>(D166/100000)*'Birth Pop per Year'!G166</f>
        <v>180.2037741</v>
      </c>
      <c r="K166" s="8">
        <f>(B166/100000)*'Birth Pop per Year'!K166</f>
        <v>157.3782119</v>
      </c>
      <c r="L166" s="34">
        <f>(C166/100000)*'Birth Pop per Year'!K166</f>
        <v>123.4176504</v>
      </c>
      <c r="M166" s="34">
        <f>(D166/100000)*'Birth Pop per Year'!K166</f>
        <v>192.9953861</v>
      </c>
      <c r="N166" s="35" t="str">
        <f t="shared" si="1"/>
        <v>192 (150-235)</v>
      </c>
      <c r="O166" s="37">
        <f>37444+39346</f>
        <v>76790</v>
      </c>
      <c r="P166" s="35" t="str">
        <f t="shared" si="2"/>
        <v>147 (115-180)</v>
      </c>
      <c r="Q166" s="37">
        <f>37379+39286</f>
        <v>76665</v>
      </c>
      <c r="R166" s="35" t="str">
        <f t="shared" si="3"/>
        <v>147 (115-180)</v>
      </c>
      <c r="S166" s="37">
        <f>40030+42077</f>
        <v>82107</v>
      </c>
      <c r="T166" s="35" t="str">
        <f t="shared" si="4"/>
        <v>157 (123-193)</v>
      </c>
    </row>
    <row r="167">
      <c r="A167" s="16" t="s">
        <v>194</v>
      </c>
      <c r="B167" s="17">
        <v>144.35825726798433</v>
      </c>
      <c r="C167" s="18">
        <v>98.46953972584363</v>
      </c>
      <c r="D167" s="17">
        <v>194.07103460530342</v>
      </c>
      <c r="E167" s="10">
        <f>(B167/100000)*'Birth Pop per Year'!C167</f>
        <v>987.896967</v>
      </c>
      <c r="F167" s="8">
        <f>(C167/100000)*'Birth Pop per Year'!G167</f>
        <v>718.4810272</v>
      </c>
      <c r="G167" s="8">
        <f>(D167/100000)*'Birth Pop per Year'!C167</f>
        <v>1328.099896</v>
      </c>
      <c r="H167" s="8">
        <f>(B167/100000)*'Birth Pop per Year'!G167</f>
        <v>1053.307137</v>
      </c>
      <c r="I167" s="8">
        <f>(C167/100000)*'Birth Pop per Year'!G167</f>
        <v>718.4810272</v>
      </c>
      <c r="J167" s="8">
        <f>(D167/100000)*'Birth Pop per Year'!G167</f>
        <v>1416.035423</v>
      </c>
      <c r="K167" s="8">
        <f>(B167/100000)*'Birth Pop per Year'!K167</f>
        <v>1058.489598</v>
      </c>
      <c r="L167" s="34">
        <f>(C167/100000)*'Birth Pop per Year'!K167</f>
        <v>722.0160837</v>
      </c>
      <c r="M167" s="34">
        <f>(D167/100000)*'Birth Pop per Year'!K167</f>
        <v>1423.002573</v>
      </c>
      <c r="N167" s="35" t="str">
        <f t="shared" si="1"/>
        <v>144 (98-194)</v>
      </c>
      <c r="O167" s="37">
        <f>333181+351156</f>
        <v>684337</v>
      </c>
      <c r="P167" s="35" t="str">
        <f t="shared" si="2"/>
        <v>988 (718-1,328)</v>
      </c>
      <c r="Q167" s="37">
        <f>355207+374441</f>
        <v>729648</v>
      </c>
      <c r="R167" s="35" t="str">
        <f t="shared" si="3"/>
        <v>1,053 (718-1,416)</v>
      </c>
      <c r="S167" s="37">
        <f>356938+376300</f>
        <v>733238</v>
      </c>
      <c r="T167" s="35" t="str">
        <f t="shared" si="4"/>
        <v>1,058 (722-1,423)</v>
      </c>
    </row>
    <row r="168">
      <c r="A168" s="16" t="s">
        <v>195</v>
      </c>
      <c r="B168" s="17">
        <v>136.64176174114527</v>
      </c>
      <c r="C168" s="18">
        <v>97.39862601617965</v>
      </c>
      <c r="D168" s="17">
        <v>185.34107474923508</v>
      </c>
      <c r="E168" s="10">
        <f>(B168/100000)*'Birth Pop per Year'!C168</f>
        <v>348.6810812</v>
      </c>
      <c r="F168" s="8">
        <f>(C168/100000)*'Birth Pop per Year'!G168</f>
        <v>243.6572728</v>
      </c>
      <c r="G168" s="8">
        <f>(D168/100000)*'Birth Pop per Year'!C168</f>
        <v>472.9515011</v>
      </c>
      <c r="H168" s="8">
        <f>(B168/100000)*'Birth Pop per Year'!G168</f>
        <v>341.8298633</v>
      </c>
      <c r="I168" s="8">
        <f>(C168/100000)*'Birth Pop per Year'!G168</f>
        <v>243.6572728</v>
      </c>
      <c r="J168" s="8">
        <f>(D168/100000)*'Birth Pop per Year'!G168</f>
        <v>463.6584996</v>
      </c>
      <c r="K168" s="8">
        <f>(B168/100000)*'Birth Pop per Year'!K168</f>
        <v>331.5544028</v>
      </c>
      <c r="L168" s="34">
        <f>(C168/100000)*'Birth Pop per Year'!K168</f>
        <v>236.3328961</v>
      </c>
      <c r="M168" s="34">
        <f>(D168/100000)*'Birth Pop per Year'!K168</f>
        <v>449.7208508</v>
      </c>
      <c r="N168" s="35" t="str">
        <f t="shared" si="1"/>
        <v>137 (97-185)</v>
      </c>
      <c r="O168" s="37">
        <f>125319+129860</f>
        <v>255179</v>
      </c>
      <c r="P168" s="35" t="str">
        <f t="shared" si="2"/>
        <v>349 (244-473)</v>
      </c>
      <c r="Q168" s="37">
        <f>122917+127248</f>
        <v>250165</v>
      </c>
      <c r="R168" s="35" t="str">
        <f t="shared" si="3"/>
        <v>342 (244-464)</v>
      </c>
      <c r="S168" s="37">
        <f>119224+123421</f>
        <v>242645</v>
      </c>
      <c r="T168" s="35" t="str">
        <f t="shared" si="4"/>
        <v>332 (236-450)</v>
      </c>
    </row>
    <row r="169">
      <c r="A169" s="16" t="s">
        <v>196</v>
      </c>
      <c r="B169" s="17">
        <v>123.83265125620996</v>
      </c>
      <c r="C169" s="18">
        <v>98.06037358359772</v>
      </c>
      <c r="D169" s="17">
        <v>154.63366603567331</v>
      </c>
      <c r="E169" s="10">
        <f>(B169/100000)*'Birth Pop per Year'!C169</f>
        <v>325.8098971</v>
      </c>
      <c r="F169" s="8">
        <f>(C169/100000)*'Birth Pop per Year'!G169</f>
        <v>245.1156322</v>
      </c>
      <c r="G169" s="8">
        <f>(D169/100000)*'Birth Pop per Year'!C169</f>
        <v>406.848907</v>
      </c>
      <c r="H169" s="8">
        <f>(B169/100000)*'Birth Pop per Year'!G169</f>
        <v>309.5370484</v>
      </c>
      <c r="I169" s="8">
        <f>(C169/100000)*'Birth Pop per Year'!G169</f>
        <v>245.1156322</v>
      </c>
      <c r="J169" s="8">
        <f>(D169/100000)*'Birth Pop per Year'!G169</f>
        <v>386.528497</v>
      </c>
      <c r="K169" s="8">
        <f>(B169/100000)*'Birth Pop per Year'!K169</f>
        <v>281.9570403</v>
      </c>
      <c r="L169" s="34">
        <f>(C169/100000)*'Birth Pop per Year'!K169</f>
        <v>223.2756258</v>
      </c>
      <c r="M169" s="34">
        <f>(D169/100000)*'Birth Pop per Year'!K169</f>
        <v>352.0884869</v>
      </c>
      <c r="N169" s="35" t="str">
        <f t="shared" si="1"/>
        <v>124 (98-155)</v>
      </c>
      <c r="O169" s="37">
        <f>128731+134374</f>
        <v>263105</v>
      </c>
      <c r="P169" s="35" t="str">
        <f t="shared" si="2"/>
        <v>326 (245-407)</v>
      </c>
      <c r="Q169" s="37">
        <f>122254+127710</f>
        <v>249964</v>
      </c>
      <c r="R169" s="35" t="str">
        <f t="shared" si="3"/>
        <v>310 (245-387)</v>
      </c>
      <c r="S169" s="37">
        <f>111331+116361</f>
        <v>227692</v>
      </c>
      <c r="T169" s="35" t="str">
        <f t="shared" si="4"/>
        <v>282 (223-352)</v>
      </c>
    </row>
    <row r="170">
      <c r="A170" s="16" t="s">
        <v>197</v>
      </c>
      <c r="B170" s="17">
        <v>233.52912961560807</v>
      </c>
      <c r="C170" s="18">
        <v>159.78308868436346</v>
      </c>
      <c r="D170" s="17">
        <v>317.10797600435205</v>
      </c>
      <c r="E170" s="10">
        <f>(B170/100000)*'Birth Pop per Year'!C170</f>
        <v>1210.958296</v>
      </c>
      <c r="F170" s="8">
        <f>(C170/100000)*'Birth Pop per Year'!G170</f>
        <v>778.6709261</v>
      </c>
      <c r="G170" s="8">
        <f>(D170/100000)*'Birth Pop per Year'!C170</f>
        <v>1644.353896</v>
      </c>
      <c r="H170" s="8">
        <f>(B170/100000)*'Birth Pop per Year'!G170</f>
        <v>1138.057507</v>
      </c>
      <c r="I170" s="8">
        <f>(C170/100000)*'Birth Pop per Year'!G170</f>
        <v>778.6709261</v>
      </c>
      <c r="J170" s="8">
        <f>(D170/100000)*'Birth Pop per Year'!G170</f>
        <v>1545.362299</v>
      </c>
      <c r="K170" s="8">
        <f>(B170/100000)*'Birth Pop per Year'!K170</f>
        <v>1061.011577</v>
      </c>
      <c r="L170" s="34">
        <f>(C170/100000)*'Birth Pop per Year'!K170</f>
        <v>725.9552895</v>
      </c>
      <c r="M170" s="34">
        <f>(D170/100000)*'Birth Pop per Year'!K170</f>
        <v>1440.742036</v>
      </c>
      <c r="N170" s="35" t="str">
        <f t="shared" si="1"/>
        <v>234 (160-317)</v>
      </c>
      <c r="O170" s="37">
        <f>254328+264219</f>
        <v>518547</v>
      </c>
      <c r="P170" s="35" t="str">
        <f t="shared" si="2"/>
        <v>1,211 (779-1,644)</v>
      </c>
      <c r="Q170" s="37">
        <f>238856+248474</f>
        <v>487330</v>
      </c>
      <c r="R170" s="35" t="str">
        <f t="shared" si="3"/>
        <v>1,138 (779-1,545)</v>
      </c>
      <c r="S170" s="37">
        <f>222644+231694</f>
        <v>454338</v>
      </c>
      <c r="T170" s="35" t="str">
        <f t="shared" si="4"/>
        <v>1,061 (726-1,441)</v>
      </c>
    </row>
    <row r="171">
      <c r="A171" s="16" t="s">
        <v>198</v>
      </c>
      <c r="B171" s="17">
        <v>167.75627697841728</v>
      </c>
      <c r="C171" s="18">
        <v>124.5714928057554</v>
      </c>
      <c r="D171" s="17">
        <v>220.07630395683458</v>
      </c>
      <c r="E171" s="10">
        <f>(B171/100000)*'Birth Pop per Year'!C171</f>
        <v>1.748020406</v>
      </c>
      <c r="F171" s="8">
        <f>(C171/100000)*'Birth Pop per Year'!G171</f>
        <v>1.134846299</v>
      </c>
      <c r="G171" s="8">
        <f>(D171/100000)*'Birth Pop per Year'!C171</f>
        <v>2.293195087</v>
      </c>
      <c r="H171" s="8">
        <f>(B171/100000)*'Birth Pop per Year'!G171</f>
        <v>1.528259683</v>
      </c>
      <c r="I171" s="8">
        <f>(C171/100000)*'Birth Pop per Year'!G171</f>
        <v>1.134846299</v>
      </c>
      <c r="J171" s="8">
        <f>(D171/100000)*'Birth Pop per Year'!G171</f>
        <v>2.004895129</v>
      </c>
      <c r="K171" s="8">
        <f>(B171/100000)*'Birth Pop per Year'!K171</f>
        <v>1.377279034</v>
      </c>
      <c r="L171" s="34">
        <f>(C171/100000)*'Birth Pop per Year'!K171</f>
        <v>1.022731956</v>
      </c>
      <c r="M171" s="34">
        <f>(D171/100000)*'Birth Pop per Year'!K171</f>
        <v>1.806826455</v>
      </c>
      <c r="N171" s="35" t="str">
        <f t="shared" si="1"/>
        <v>168 (125-220)</v>
      </c>
      <c r="O171" s="37">
        <f>513+529</f>
        <v>1042</v>
      </c>
      <c r="P171" s="35" t="str">
        <f t="shared" si="2"/>
        <v>2 (1-2)</v>
      </c>
      <c r="Q171" s="37">
        <f>448+463</f>
        <v>911</v>
      </c>
      <c r="R171" s="35" t="str">
        <f t="shared" si="3"/>
        <v>2 (1-2)</v>
      </c>
      <c r="S171" s="37">
        <f>404+417</f>
        <v>821</v>
      </c>
      <c r="T171" s="35" t="str">
        <f t="shared" si="4"/>
        <v>1 (1-2)</v>
      </c>
    </row>
    <row r="172">
      <c r="A172" s="16" t="s">
        <v>199</v>
      </c>
      <c r="B172" s="17">
        <v>93.94021859180855</v>
      </c>
      <c r="C172" s="18">
        <v>61.10674413253567</v>
      </c>
      <c r="D172" s="17">
        <v>143.19043028071792</v>
      </c>
      <c r="E172" s="10">
        <f>(B172/100000)*'Birth Pop per Year'!C172</f>
        <v>3.937973963</v>
      </c>
      <c r="F172" s="8">
        <f>(C172/100000)*'Birth Pop per Year'!G172</f>
        <v>2.461990721</v>
      </c>
      <c r="G172" s="8">
        <f>(D172/100000)*'Birth Pop per Year'!C172</f>
        <v>6.002542837</v>
      </c>
      <c r="H172" s="8">
        <f>(B172/100000)*'Birth Pop per Year'!G172</f>
        <v>3.784851407</v>
      </c>
      <c r="I172" s="8">
        <f>(C172/100000)*'Birth Pop per Year'!G172</f>
        <v>2.461990721</v>
      </c>
      <c r="J172" s="8">
        <f>(D172/100000)*'Birth Pop per Year'!G172</f>
        <v>5.769142436</v>
      </c>
      <c r="K172" s="8">
        <f>(B172/100000)*'Birth Pop per Year'!K172</f>
        <v>3.564091893</v>
      </c>
      <c r="L172" s="34">
        <f>(C172/100000)*'Birth Pop per Year'!K172</f>
        <v>2.318389872</v>
      </c>
      <c r="M172" s="34">
        <f>(D172/100000)*'Birth Pop per Year'!K172</f>
        <v>5.432644925</v>
      </c>
      <c r="N172" s="35" t="str">
        <f t="shared" si="1"/>
        <v>94 (61-143)</v>
      </c>
      <c r="O172" s="37">
        <f>2071+2121</f>
        <v>4192</v>
      </c>
      <c r="P172" s="35" t="str">
        <f t="shared" si="2"/>
        <v>4 (2-6)</v>
      </c>
      <c r="Q172" s="37">
        <f>1990+2039</f>
        <v>4029</v>
      </c>
      <c r="R172" s="35" t="str">
        <f t="shared" si="3"/>
        <v>4 (2-6)</v>
      </c>
      <c r="S172" s="37">
        <f>1873+1921</f>
        <v>3794</v>
      </c>
      <c r="T172" s="35" t="str">
        <f t="shared" si="4"/>
        <v>4 (2-5)</v>
      </c>
    </row>
    <row r="173">
      <c r="A173" s="16" t="s">
        <v>200</v>
      </c>
      <c r="B173" s="17">
        <v>78.57258227848102</v>
      </c>
      <c r="C173" s="18">
        <v>52.67934493670886</v>
      </c>
      <c r="D173" s="17">
        <v>114.28739240506329</v>
      </c>
      <c r="E173" s="10">
        <f>(B173/100000)*'Birth Pop per Year'!C173</f>
        <v>2.354820291</v>
      </c>
      <c r="F173" s="8">
        <f>(C173/100000)*'Birth Pop per Year'!G173</f>
        <v>1.434458563</v>
      </c>
      <c r="G173" s="8">
        <f>(D173/100000)*'Birth Pop per Year'!C173</f>
        <v>3.42519315</v>
      </c>
      <c r="H173" s="8">
        <f>(B173/100000)*'Birth Pop per Year'!G173</f>
        <v>2.139531415</v>
      </c>
      <c r="I173" s="8">
        <f>(C173/100000)*'Birth Pop per Year'!G173</f>
        <v>1.434458563</v>
      </c>
      <c r="J173" s="8">
        <f>(D173/100000)*'Birth Pop per Year'!G173</f>
        <v>3.112045695</v>
      </c>
      <c r="K173" s="8">
        <f>(B173/100000)*'Birth Pop per Year'!K173</f>
        <v>1.94309996</v>
      </c>
      <c r="L173" s="34">
        <f>(C173/100000)*'Birth Pop per Year'!K173</f>
        <v>1.3027602</v>
      </c>
      <c r="M173" s="34">
        <f>(D173/100000)*'Birth Pop per Year'!K173</f>
        <v>2.826327214</v>
      </c>
      <c r="N173" s="35" t="str">
        <f t="shared" si="1"/>
        <v>79 (53-114)</v>
      </c>
      <c r="O173" s="37">
        <f>1475+1522</f>
        <v>2997</v>
      </c>
      <c r="P173" s="35" t="str">
        <f t="shared" si="2"/>
        <v>2 (1-3)</v>
      </c>
      <c r="Q173" s="37">
        <f>1340+1383</f>
        <v>2723</v>
      </c>
      <c r="R173" s="35" t="str">
        <f t="shared" si="3"/>
        <v>2 (1-3)</v>
      </c>
      <c r="S173" s="37">
        <f>1216+1257</f>
        <v>2473</v>
      </c>
      <c r="T173" s="35" t="str">
        <f t="shared" si="4"/>
        <v>2 (1-3)</v>
      </c>
    </row>
    <row r="174">
      <c r="A174" s="16" t="s">
        <v>201</v>
      </c>
      <c r="B174" s="17">
        <v>103.57140039738023</v>
      </c>
      <c r="C174" s="18">
        <v>73.31458679814557</v>
      </c>
      <c r="D174" s="17">
        <v>145.46544999632056</v>
      </c>
      <c r="E174" s="10">
        <f>(B174/100000)*'Birth Pop per Year'!C174</f>
        <v>7.428140837</v>
      </c>
      <c r="F174" s="8">
        <f>(C174/100000)*'Birth Pop per Year'!G174</f>
        <v>4.722925682</v>
      </c>
      <c r="G174" s="8">
        <f>(D174/100000)*'Birth Pop per Year'!C174</f>
        <v>10.43278207</v>
      </c>
      <c r="H174" s="8">
        <f>(B174/100000)*'Birth Pop per Year'!G174</f>
        <v>6.672069614</v>
      </c>
      <c r="I174" s="8">
        <f>(C174/100000)*'Birth Pop per Year'!G174</f>
        <v>4.722925682</v>
      </c>
      <c r="J174" s="8">
        <f>(D174/100000)*'Birth Pop per Year'!G174</f>
        <v>9.370884289</v>
      </c>
      <c r="K174" s="8">
        <f>(B174/100000)*'Birth Pop per Year'!K174</f>
        <v>6.115891193</v>
      </c>
      <c r="L174" s="34">
        <f>(C174/100000)*'Birth Pop per Year'!K174</f>
        <v>4.32922635</v>
      </c>
      <c r="M174" s="34">
        <f>(D174/100000)*'Birth Pop per Year'!K174</f>
        <v>8.589734822</v>
      </c>
      <c r="N174" s="35" t="str">
        <f t="shared" si="1"/>
        <v>104 (73-145)</v>
      </c>
      <c r="O174" s="37">
        <f>3498+3674</f>
        <v>7172</v>
      </c>
      <c r="P174" s="35" t="str">
        <f t="shared" si="2"/>
        <v>7 (5-10)</v>
      </c>
      <c r="Q174" s="37">
        <f>3141+3301</f>
        <v>6442</v>
      </c>
      <c r="R174" s="35" t="str">
        <f t="shared" si="3"/>
        <v>7 (5-9)</v>
      </c>
      <c r="S174" s="37">
        <f>2878+3027</f>
        <v>5905</v>
      </c>
      <c r="T174" s="35" t="str">
        <f t="shared" si="4"/>
        <v>6 (4-9)</v>
      </c>
    </row>
    <row r="175">
      <c r="A175" s="16" t="s">
        <v>202</v>
      </c>
      <c r="B175" s="17">
        <v>99.91054545454546</v>
      </c>
      <c r="C175" s="18">
        <v>64.64800000000001</v>
      </c>
      <c r="D175" s="17">
        <v>146.92727272727274</v>
      </c>
      <c r="E175" s="10">
        <f>(B175/100000)*'Birth Pop per Year'!C175</f>
        <v>0.4845661455</v>
      </c>
      <c r="F175" s="8">
        <f>(C175/100000)*'Birth Pop per Year'!G175</f>
        <v>0.29026952</v>
      </c>
      <c r="G175" s="8">
        <f>(D175/100000)*'Birth Pop per Year'!C175</f>
        <v>0.7125972727</v>
      </c>
      <c r="H175" s="8">
        <f>(B175/100000)*'Birth Pop per Year'!G175</f>
        <v>0.4485983491</v>
      </c>
      <c r="I175" s="8">
        <f>(C175/100000)*'Birth Pop per Year'!G175</f>
        <v>0.29026952</v>
      </c>
      <c r="J175" s="8">
        <f>(D175/100000)*'Birth Pop per Year'!G175</f>
        <v>0.6597034545</v>
      </c>
      <c r="K175" s="8">
        <f>(B175/100000)*'Birth Pop per Year'!K175</f>
        <v>0.4016403927</v>
      </c>
      <c r="L175" s="34">
        <f>(C175/100000)*'Birth Pop per Year'!K175</f>
        <v>0.25988496</v>
      </c>
      <c r="M175" s="34">
        <f>(D175/100000)*'Birth Pop per Year'!K175</f>
        <v>0.5906476364</v>
      </c>
      <c r="N175" s="35" t="str">
        <f t="shared" si="1"/>
        <v>100 (65-147)</v>
      </c>
      <c r="O175" s="37">
        <f>238+247</f>
        <v>485</v>
      </c>
      <c r="P175" s="35" t="str">
        <f t="shared" si="2"/>
        <v>0 (0-1)</v>
      </c>
      <c r="Q175" s="37">
        <f>220+229</f>
        <v>449</v>
      </c>
      <c r="R175" s="35" t="str">
        <f t="shared" si="3"/>
        <v>0 (0-1)</v>
      </c>
      <c r="S175" s="37">
        <f>197+205</f>
        <v>402</v>
      </c>
      <c r="T175" s="35" t="str">
        <f t="shared" si="4"/>
        <v>0 (0-1)</v>
      </c>
    </row>
    <row r="176">
      <c r="A176" s="16" t="s">
        <v>203</v>
      </c>
      <c r="B176" s="17">
        <v>77.8279362223222</v>
      </c>
      <c r="C176" s="18">
        <v>50.032244714349986</v>
      </c>
      <c r="D176" s="17">
        <v>114.5182490128455</v>
      </c>
      <c r="E176" s="10">
        <f>(B176/100000)*'Birth Pop per Year'!C176</f>
        <v>68.67770576</v>
      </c>
      <c r="F176" s="8">
        <f>(C176/100000)*'Birth Pop per Year'!G176</f>
        <v>39.43291367</v>
      </c>
      <c r="G176" s="8">
        <f>(D176/100000)*'Birth Pop per Year'!C176</f>
        <v>101.0543385</v>
      </c>
      <c r="H176" s="8">
        <f>(B176/100000)*'Birth Pop per Year'!G176</f>
        <v>61.34008793</v>
      </c>
      <c r="I176" s="8">
        <f>(C176/100000)*'Birth Pop per Year'!G176</f>
        <v>39.43291367</v>
      </c>
      <c r="J176" s="8">
        <f>(D176/100000)*'Birth Pop per Year'!G176</f>
        <v>90.25755796</v>
      </c>
      <c r="K176" s="8">
        <f>(B176/100000)*'Birth Pop per Year'!K176</f>
        <v>52.5657664</v>
      </c>
      <c r="L176" s="34">
        <f>(C176/100000)*'Birth Pop per Year'!K176</f>
        <v>33.7922784</v>
      </c>
      <c r="M176" s="34">
        <f>(D176/100000)*'Birth Pop per Year'!K176</f>
        <v>77.34677057</v>
      </c>
      <c r="N176" s="35" t="str">
        <f t="shared" si="1"/>
        <v>78 (50-115)</v>
      </c>
      <c r="O176" s="37">
        <f>42665+45578</f>
        <v>88243</v>
      </c>
      <c r="P176" s="35" t="str">
        <f t="shared" si="2"/>
        <v>69 (39-101)</v>
      </c>
      <c r="Q176" s="37">
        <f>38125+40690</f>
        <v>78815</v>
      </c>
      <c r="R176" s="35" t="str">
        <f t="shared" si="3"/>
        <v>61 (39-90)</v>
      </c>
      <c r="S176" s="37">
        <f>32674+34867</f>
        <v>67541</v>
      </c>
      <c r="T176" s="35" t="str">
        <f t="shared" si="4"/>
        <v>53 (34-77)</v>
      </c>
    </row>
    <row r="177">
      <c r="A177" s="16" t="s">
        <v>204</v>
      </c>
      <c r="B177" s="17">
        <v>132.14130639730638</v>
      </c>
      <c r="C177" s="18">
        <v>97.74836363636364</v>
      </c>
      <c r="D177" s="17">
        <v>171.9647138047138</v>
      </c>
      <c r="E177" s="10">
        <f>(B177/100000)*'Birth Pop per Year'!C177</f>
        <v>0.847025774</v>
      </c>
      <c r="F177" s="8">
        <f>(C177/100000)*'Birth Pop per Year'!G177</f>
        <v>0.6060398545</v>
      </c>
      <c r="G177" s="8">
        <f>(D177/100000)*'Birth Pop per Year'!C177</f>
        <v>1.102293815</v>
      </c>
      <c r="H177" s="8">
        <f>(B177/100000)*'Birth Pop per Year'!G177</f>
        <v>0.8192760997</v>
      </c>
      <c r="I177" s="8">
        <f>(C177/100000)*'Birth Pop per Year'!G177</f>
        <v>0.6060398545</v>
      </c>
      <c r="J177" s="8">
        <f>(D177/100000)*'Birth Pop per Year'!G177</f>
        <v>1.066181226</v>
      </c>
      <c r="K177" s="8">
        <f>(B177/100000)*'Birth Pop per Year'!K177</f>
        <v>0.7730266424</v>
      </c>
      <c r="L177" s="34">
        <f>(C177/100000)*'Birth Pop per Year'!K177</f>
        <v>0.5718279273</v>
      </c>
      <c r="M177" s="34">
        <f>(D177/100000)*'Birth Pop per Year'!K177</f>
        <v>1.005993576</v>
      </c>
      <c r="N177" s="35" t="str">
        <f t="shared" si="1"/>
        <v>132 (98-172)</v>
      </c>
      <c r="O177" s="37">
        <f>316+325</f>
        <v>641</v>
      </c>
      <c r="P177" s="35" t="str">
        <f t="shared" si="2"/>
        <v>1 (1-1)</v>
      </c>
      <c r="Q177" s="37">
        <f>305+315</f>
        <v>620</v>
      </c>
      <c r="R177" s="35" t="str">
        <f t="shared" si="3"/>
        <v>1 (1-1)</v>
      </c>
      <c r="S177" s="37">
        <f>288+297</f>
        <v>585</v>
      </c>
      <c r="T177" s="35" t="str">
        <f t="shared" si="4"/>
        <v>1 (1-1)</v>
      </c>
    </row>
    <row r="178">
      <c r="A178" s="16" t="s">
        <v>205</v>
      </c>
      <c r="B178" s="17">
        <v>127.44153266846585</v>
      </c>
      <c r="C178" s="18">
        <v>87.3413952339917</v>
      </c>
      <c r="D178" s="17">
        <v>175.78142437029777</v>
      </c>
      <c r="E178" s="10">
        <f>(B178/100000)*'Birth Pop per Year'!C178</f>
        <v>237.3063292</v>
      </c>
      <c r="F178" s="8">
        <f>(C178/100000)*'Birth Pop per Year'!G178</f>
        <v>152.7566066</v>
      </c>
      <c r="G178" s="8">
        <f>(D178/100000)*'Birth Pop per Year'!C178</f>
        <v>327.3190747</v>
      </c>
      <c r="H178" s="8">
        <f>(B178/100000)*'Birth Pop per Year'!G178</f>
        <v>222.890143</v>
      </c>
      <c r="I178" s="8">
        <f>(C178/100000)*'Birth Pop per Year'!G178</f>
        <v>152.7566066</v>
      </c>
      <c r="J178" s="8">
        <f>(D178/100000)*'Birth Pop per Year'!G178</f>
        <v>307.43468</v>
      </c>
      <c r="K178" s="8">
        <f>(B178/100000)*'Birth Pop per Year'!K178</f>
        <v>209.2832105</v>
      </c>
      <c r="L178" s="34">
        <f>(C178/100000)*'Birth Pop per Year'!K178</f>
        <v>143.4311658</v>
      </c>
      <c r="M178" s="34">
        <f>(D178/100000)*'Birth Pop per Year'!K178</f>
        <v>288.6664973</v>
      </c>
      <c r="N178" s="35" t="str">
        <f t="shared" si="1"/>
        <v>127 (87-176)</v>
      </c>
      <c r="O178" s="37">
        <f>91284+94924</f>
        <v>186208</v>
      </c>
      <c r="P178" s="35" t="str">
        <f t="shared" si="2"/>
        <v>237 (153-327)</v>
      </c>
      <c r="Q178" s="37">
        <f>85702+89194</f>
        <v>174896</v>
      </c>
      <c r="R178" s="35" t="str">
        <f t="shared" si="3"/>
        <v>223 (153-307)</v>
      </c>
      <c r="S178" s="37">
        <f>80425+83794</f>
        <v>164219</v>
      </c>
      <c r="T178" s="35" t="str">
        <f t="shared" si="4"/>
        <v>209 (143-289)</v>
      </c>
    </row>
    <row r="179">
      <c r="A179" s="16" t="s">
        <v>206</v>
      </c>
      <c r="B179" s="17">
        <v>110.18462193823218</v>
      </c>
      <c r="C179" s="18">
        <v>76.21793397231097</v>
      </c>
      <c r="D179" s="17">
        <v>164.03424920127796</v>
      </c>
      <c r="E179" s="10">
        <f>(B179/100000)*'Birth Pop per Year'!C179</f>
        <v>1.350863465</v>
      </c>
      <c r="F179" s="8">
        <f>(C179/100000)*'Birth Pop per Year'!G179</f>
        <v>0.832299839</v>
      </c>
      <c r="G179" s="8">
        <f>(D179/100000)*'Birth Pop per Year'!C179</f>
        <v>2.011059895</v>
      </c>
      <c r="H179" s="8">
        <f>(B179/100000)*'Birth Pop per Year'!G179</f>
        <v>1.203216072</v>
      </c>
      <c r="I179" s="8">
        <f>(C179/100000)*'Birth Pop per Year'!G179</f>
        <v>0.832299839</v>
      </c>
      <c r="J179" s="8">
        <f>(D179/100000)*'Birth Pop per Year'!G179</f>
        <v>1.791254001</v>
      </c>
      <c r="K179" s="8">
        <f>(B179/100000)*'Birth Pop per Year'!K179</f>
        <v>1.062179755</v>
      </c>
      <c r="L179" s="34">
        <f>(C179/100000)*'Birth Pop per Year'!K179</f>
        <v>0.7347408835</v>
      </c>
      <c r="M179" s="34">
        <f>(D179/100000)*'Birth Pop per Year'!K179</f>
        <v>1.581290162</v>
      </c>
      <c r="N179" s="35" t="str">
        <f t="shared" si="1"/>
        <v>110 (76-164)</v>
      </c>
      <c r="O179" s="37">
        <f>602+624</f>
        <v>1226</v>
      </c>
      <c r="P179" s="35" t="str">
        <f t="shared" si="2"/>
        <v>1 (1-2)</v>
      </c>
      <c r="Q179" s="37">
        <f>536+556</f>
        <v>1092</v>
      </c>
      <c r="R179" s="35" t="str">
        <f t="shared" si="3"/>
        <v>1 (1-2)</v>
      </c>
      <c r="S179" s="37">
        <f>473+491</f>
        <v>964</v>
      </c>
      <c r="T179" s="35" t="str">
        <f t="shared" si="4"/>
        <v>1 (1-2)</v>
      </c>
    </row>
    <row r="180">
      <c r="A180" s="16" t="s">
        <v>207</v>
      </c>
      <c r="B180" s="17">
        <v>124.53448981417962</v>
      </c>
      <c r="C180" s="18">
        <v>84.64453604557521</v>
      </c>
      <c r="D180" s="17">
        <v>170.26199779282368</v>
      </c>
      <c r="E180" s="10">
        <f>(B180/100000)*'Birth Pop per Year'!C180</f>
        <v>18.93422383</v>
      </c>
      <c r="F180" s="8">
        <f>(C180/100000)*'Birth Pop per Year'!G180</f>
        <v>12.33440179</v>
      </c>
      <c r="G180" s="8">
        <f>(D180/100000)*'Birth Pop per Year'!C180</f>
        <v>25.88663414</v>
      </c>
      <c r="H180" s="8">
        <f>(B180/100000)*'Birth Pop per Year'!G180</f>
        <v>18.14716586</v>
      </c>
      <c r="I180" s="8">
        <f>(C180/100000)*'Birth Pop per Year'!G180</f>
        <v>12.33440179</v>
      </c>
      <c r="J180" s="8">
        <f>(D180/100000)*'Birth Pop per Year'!G180</f>
        <v>24.81057832</v>
      </c>
      <c r="K180" s="8">
        <f>(B180/100000)*'Birth Pop per Year'!K180</f>
        <v>17.05499838</v>
      </c>
      <c r="L180" s="34">
        <f>(C180/100000)*'Birth Pop per Year'!K180</f>
        <v>11.59206921</v>
      </c>
      <c r="M180" s="34">
        <f>(D180/100000)*'Birth Pop per Year'!K180</f>
        <v>23.3173806</v>
      </c>
      <c r="N180" s="35" t="str">
        <f t="shared" si="1"/>
        <v>125 (85-170)</v>
      </c>
      <c r="O180" s="37">
        <f>7489+7715</f>
        <v>15204</v>
      </c>
      <c r="P180" s="35" t="str">
        <f t="shared" si="2"/>
        <v>19 (12-26)</v>
      </c>
      <c r="Q180" s="37">
        <f>7178+7394</f>
        <v>14572</v>
      </c>
      <c r="R180" s="35" t="str">
        <f t="shared" si="3"/>
        <v>18 (12-25)</v>
      </c>
      <c r="S180" s="37">
        <f>6742+6953</f>
        <v>13695</v>
      </c>
      <c r="T180" s="35" t="str">
        <f t="shared" si="4"/>
        <v>17 (12-23)</v>
      </c>
    </row>
    <row r="181">
      <c r="A181" s="16" t="s">
        <v>208</v>
      </c>
      <c r="B181" s="17">
        <v>120.51245301506188</v>
      </c>
      <c r="C181" s="18">
        <v>85.62726924754395</v>
      </c>
      <c r="D181" s="17">
        <v>169.89537549115863</v>
      </c>
      <c r="E181" s="10">
        <f>(B181/100000)*'Birth Pop per Year'!C181</f>
        <v>295.343484</v>
      </c>
      <c r="F181" s="8">
        <f>(C181/100000)*'Birth Pop per Year'!G181</f>
        <v>203.5026244</v>
      </c>
      <c r="G181" s="8">
        <f>(D181/100000)*'Birth Pop per Year'!C181</f>
        <v>416.3676936</v>
      </c>
      <c r="H181" s="8">
        <f>(B181/100000)*'Birth Pop per Year'!G181</f>
        <v>286.411101</v>
      </c>
      <c r="I181" s="8">
        <f>(C181/100000)*'Birth Pop per Year'!G181</f>
        <v>203.5026244</v>
      </c>
      <c r="J181" s="8">
        <f>(D181/100000)*'Birth Pop per Year'!G181</f>
        <v>403.7750483</v>
      </c>
      <c r="K181" s="8">
        <f>(B181/100000)*'Birth Pop per Year'!K181</f>
        <v>274.7238033</v>
      </c>
      <c r="L181" s="34">
        <f>(C181/100000)*'Birth Pop per Year'!K181</f>
        <v>195.1984918</v>
      </c>
      <c r="M181" s="34">
        <f>(D181/100000)*'Birth Pop per Year'!K181</f>
        <v>387.2985948</v>
      </c>
      <c r="N181" s="35" t="str">
        <f t="shared" si="1"/>
        <v>121 (86-170)</v>
      </c>
      <c r="O181" s="37">
        <f>121365+123708</f>
        <v>245073</v>
      </c>
      <c r="P181" s="35" t="str">
        <f t="shared" si="2"/>
        <v>295 (204-416)</v>
      </c>
      <c r="Q181" s="37">
        <f>117744+119917</f>
        <v>237661</v>
      </c>
      <c r="R181" s="35" t="str">
        <f t="shared" si="3"/>
        <v>286 (204-404)</v>
      </c>
      <c r="S181" s="37">
        <f>112951+115012</f>
        <v>227963</v>
      </c>
      <c r="T181" s="35" t="str">
        <f t="shared" si="4"/>
        <v>275 (195-387)</v>
      </c>
    </row>
    <row r="182">
      <c r="A182" s="16" t="s">
        <v>209</v>
      </c>
      <c r="B182" s="17">
        <v>106.8806779661017</v>
      </c>
      <c r="C182" s="18">
        <v>72.9503040086091</v>
      </c>
      <c r="D182" s="17">
        <v>156.07972020446596</v>
      </c>
      <c r="E182" s="10">
        <f>(B182/100000)*'Birth Pop per Year'!C182</f>
        <v>30.89385997</v>
      </c>
      <c r="F182" s="8">
        <f>(C182/100000)*'Birth Pop per Year'!G182</f>
        <v>16.85954476</v>
      </c>
      <c r="G182" s="8">
        <f>(D182/100000)*'Birth Pop per Year'!C182</f>
        <v>45.11484313</v>
      </c>
      <c r="H182" s="8">
        <f>(B182/100000)*'Birth Pop per Year'!G182</f>
        <v>24.70119348</v>
      </c>
      <c r="I182" s="8">
        <f>(C182/100000)*'Birth Pop per Year'!G182</f>
        <v>16.85954476</v>
      </c>
      <c r="J182" s="8">
        <f>(D182/100000)*'Birth Pop per Year'!G182</f>
        <v>36.07158414</v>
      </c>
      <c r="K182" s="8">
        <f>(B182/100000)*'Birth Pop per Year'!K182</f>
        <v>19.79109514</v>
      </c>
      <c r="L182" s="34">
        <f>(C182/100000)*'Birth Pop per Year'!K182</f>
        <v>13.50820779</v>
      </c>
      <c r="M182" s="34">
        <f>(D182/100000)*'Birth Pop per Year'!K182</f>
        <v>28.90128179</v>
      </c>
      <c r="N182" s="35" t="str">
        <f t="shared" si="1"/>
        <v>107 (73-156)</v>
      </c>
      <c r="O182" s="37">
        <f>14202+14703</f>
        <v>28905</v>
      </c>
      <c r="P182" s="35" t="str">
        <f t="shared" si="2"/>
        <v>31 (17-45)</v>
      </c>
      <c r="Q182" s="37">
        <f>11356+11755</f>
        <v>23111</v>
      </c>
      <c r="R182" s="35" t="str">
        <f t="shared" si="3"/>
        <v>25 (17-36)</v>
      </c>
      <c r="S182" s="37">
        <f>9095+9422</f>
        <v>18517</v>
      </c>
      <c r="T182" s="35" t="str">
        <f t="shared" si="4"/>
        <v>20 (14-29)</v>
      </c>
    </row>
    <row r="183">
      <c r="A183" s="16" t="s">
        <v>210</v>
      </c>
      <c r="B183" s="17">
        <v>137.98033725007363</v>
      </c>
      <c r="C183" s="18">
        <v>92.56908701587216</v>
      </c>
      <c r="D183" s="17">
        <v>207.84379914884505</v>
      </c>
      <c r="E183" s="10">
        <f>(B183/100000)*'Birth Pop per Year'!C183</f>
        <v>25.84233736</v>
      </c>
      <c r="F183" s="8">
        <f>(C183/100000)*'Birth Pop per Year'!G183</f>
        <v>14.17140153</v>
      </c>
      <c r="G183" s="8">
        <f>(D183/100000)*'Birth Pop per Year'!C183</f>
        <v>38.92706514</v>
      </c>
      <c r="H183" s="8">
        <f>(B183/100000)*'Birth Pop per Year'!G183</f>
        <v>21.12340983</v>
      </c>
      <c r="I183" s="8">
        <f>(C183/100000)*'Birth Pop per Year'!G183</f>
        <v>14.17140153</v>
      </c>
      <c r="J183" s="8">
        <f>(D183/100000)*'Birth Pop per Year'!G183</f>
        <v>31.81880721</v>
      </c>
      <c r="K183" s="8">
        <f>(B183/100000)*'Birth Pop per Year'!K183</f>
        <v>14.63005516</v>
      </c>
      <c r="L183" s="34">
        <f>(C183/100000)*'Birth Pop per Year'!K183</f>
        <v>9.815100296</v>
      </c>
      <c r="M183" s="34">
        <f>(D183/100000)*'Birth Pop per Year'!K183</f>
        <v>22.03767802</v>
      </c>
      <c r="N183" s="35" t="str">
        <f t="shared" si="1"/>
        <v>138 (93-208)</v>
      </c>
      <c r="O183" s="37">
        <f>9131+9598</f>
        <v>18729</v>
      </c>
      <c r="P183" s="35" t="str">
        <f t="shared" si="2"/>
        <v>26 (14-39)</v>
      </c>
      <c r="Q183" s="37">
        <f>7464+7845</f>
        <v>15309</v>
      </c>
      <c r="R183" s="35" t="str">
        <f t="shared" si="3"/>
        <v>21 (14-32)</v>
      </c>
      <c r="S183" s="38">
        <f>5169+5434</f>
        <v>10603</v>
      </c>
      <c r="T183" s="35" t="str">
        <f t="shared" si="4"/>
        <v>15 (10-22)</v>
      </c>
    </row>
    <row r="184">
      <c r="A184" s="16" t="s">
        <v>211</v>
      </c>
      <c r="B184" s="17">
        <v>80.72427201394943</v>
      </c>
      <c r="C184" s="18">
        <v>53.00078465562336</v>
      </c>
      <c r="D184" s="17">
        <v>119.04791630340019</v>
      </c>
      <c r="E184" s="10">
        <f>(B184/100000)*'Birth Pop per Year'!C184</f>
        <v>0.3971634183</v>
      </c>
      <c r="F184" s="8">
        <f>(C184/100000)*'Birth Pop per Year'!G184</f>
        <v>0.2326734446</v>
      </c>
      <c r="G184" s="8">
        <f>(D184/100000)*'Birth Pop per Year'!C184</f>
        <v>0.5857157482</v>
      </c>
      <c r="H184" s="8">
        <f>(B184/100000)*'Birth Pop per Year'!G184</f>
        <v>0.3543795541</v>
      </c>
      <c r="I184" s="8">
        <f>(C184/100000)*'Birth Pop per Year'!G184</f>
        <v>0.2326734446</v>
      </c>
      <c r="J184" s="8">
        <f>(D184/100000)*'Birth Pop per Year'!G184</f>
        <v>0.5226203526</v>
      </c>
      <c r="K184" s="8">
        <f>(B184/100000)*'Birth Pop per Year'!K184</f>
        <v>0.3196681172</v>
      </c>
      <c r="L184" s="34">
        <f>(C184/100000)*'Birth Pop per Year'!K184</f>
        <v>0.2098831072</v>
      </c>
      <c r="M184" s="34">
        <f>(D184/100000)*'Birth Pop per Year'!K184</f>
        <v>0.4714297486</v>
      </c>
      <c r="N184" s="35" t="str">
        <f t="shared" si="1"/>
        <v>81 (53-119)</v>
      </c>
      <c r="O184" s="37">
        <f>242+250</f>
        <v>492</v>
      </c>
      <c r="P184" s="35" t="str">
        <f t="shared" si="2"/>
        <v>0 (0-1)</v>
      </c>
      <c r="Q184" s="37">
        <f>216+223</f>
        <v>439</v>
      </c>
      <c r="R184" s="35" t="str">
        <f t="shared" si="3"/>
        <v>0 (0-1)</v>
      </c>
      <c r="S184" s="37">
        <f>195+201</f>
        <v>396</v>
      </c>
      <c r="T184" s="35" t="str">
        <f t="shared" si="4"/>
        <v>0 (0-0)</v>
      </c>
    </row>
    <row r="185">
      <c r="A185" s="16" t="s">
        <v>212</v>
      </c>
      <c r="B185" s="17">
        <v>79.26568431324715</v>
      </c>
      <c r="C185" s="18">
        <v>54.87624298609417</v>
      </c>
      <c r="D185" s="17">
        <v>114.97879482800684</v>
      </c>
      <c r="E185" s="10">
        <f>(B185/100000)*'Birth Pop per Year'!C185</f>
        <v>1.46641516</v>
      </c>
      <c r="F185" s="8">
        <f>(C185/100000)*'Birth Pop per Year'!G185</f>
        <v>0.852776816</v>
      </c>
      <c r="G185" s="8">
        <f>(D185/100000)*'Birth Pop per Year'!C185</f>
        <v>2.127107704</v>
      </c>
      <c r="H185" s="8">
        <f>(B185/100000)*'Birth Pop per Year'!G185</f>
        <v>1.231788734</v>
      </c>
      <c r="I185" s="8">
        <f>(C185/100000)*'Birth Pop per Year'!G185</f>
        <v>0.852776816</v>
      </c>
      <c r="J185" s="8">
        <f>(D185/100000)*'Birth Pop per Year'!G185</f>
        <v>1.786770472</v>
      </c>
      <c r="K185" s="8">
        <f>(B185/100000)*'Birth Pop per Year'!K185</f>
        <v>1.09228113</v>
      </c>
      <c r="L185" s="34">
        <f>(C185/100000)*'Birth Pop per Year'!K185</f>
        <v>0.7561946283</v>
      </c>
      <c r="M185" s="34">
        <f>(D185/100000)*'Birth Pop per Year'!K185</f>
        <v>1.584407793</v>
      </c>
      <c r="N185" s="35" t="str">
        <f t="shared" si="1"/>
        <v>79 (55-115)</v>
      </c>
      <c r="O185" s="37">
        <f>912+938</f>
        <v>1850</v>
      </c>
      <c r="P185" s="35" t="str">
        <f t="shared" si="2"/>
        <v>1 (1-2)</v>
      </c>
      <c r="Q185" s="37">
        <f>766+788</f>
        <v>1554</v>
      </c>
      <c r="R185" s="35" t="str">
        <f t="shared" si="3"/>
        <v>1 (1-2)</v>
      </c>
      <c r="S185" s="37">
        <f>679+699</f>
        <v>1378</v>
      </c>
      <c r="T185" s="35" t="str">
        <f t="shared" si="4"/>
        <v>1 (1-2)</v>
      </c>
    </row>
    <row r="186">
      <c r="A186" s="16" t="s">
        <v>213</v>
      </c>
      <c r="B186" s="17">
        <v>107.1177147298873</v>
      </c>
      <c r="C186" s="18">
        <v>75.94166342790516</v>
      </c>
      <c r="D186" s="17">
        <v>147.08701127089</v>
      </c>
      <c r="E186" s="10">
        <f>(B186/100000)*'Birth Pop per Year'!C186</f>
        <v>1.170796622</v>
      </c>
      <c r="F186" s="8">
        <f>(C186/100000)*'Birth Pop per Year'!G186</f>
        <v>0.7958686327</v>
      </c>
      <c r="G186" s="8">
        <f>(D186/100000)*'Birth Pop per Year'!C186</f>
        <v>1.607661033</v>
      </c>
      <c r="H186" s="8">
        <f>(B186/100000)*'Birth Pop per Year'!G186</f>
        <v>1.12259365</v>
      </c>
      <c r="I186" s="8">
        <f>(C186/100000)*'Birth Pop per Year'!G186</f>
        <v>0.7958686327</v>
      </c>
      <c r="J186" s="8">
        <f>(D186/100000)*'Birth Pop per Year'!G186</f>
        <v>1.541471878</v>
      </c>
      <c r="K186" s="8">
        <f>(B186/100000)*'Birth Pop per Year'!K186</f>
        <v>1.007977696</v>
      </c>
      <c r="L186" s="34">
        <f>(C186/100000)*'Birth Pop per Year'!K186</f>
        <v>0.7146110529</v>
      </c>
      <c r="M186" s="34">
        <f>(D186/100000)*'Birth Pop per Year'!K186</f>
        <v>1.384088776</v>
      </c>
      <c r="N186" s="35" t="str">
        <f t="shared" si="1"/>
        <v>107 (76-147)</v>
      </c>
      <c r="O186" s="37">
        <f>538+555</f>
        <v>1093</v>
      </c>
      <c r="P186" s="35" t="str">
        <f t="shared" si="2"/>
        <v>1 (1-2)</v>
      </c>
      <c r="Q186" s="37">
        <f>516+532</f>
        <v>1048</v>
      </c>
      <c r="R186" s="35" t="str">
        <f t="shared" si="3"/>
        <v>1 (1-2)</v>
      </c>
      <c r="S186" s="37">
        <f>463+478</f>
        <v>941</v>
      </c>
      <c r="T186" s="35" t="str">
        <f t="shared" si="4"/>
        <v>1 (1-1)</v>
      </c>
    </row>
    <row r="187">
      <c r="A187" s="16" t="s">
        <v>214</v>
      </c>
      <c r="B187" s="17">
        <v>114.96008227374719</v>
      </c>
      <c r="C187" s="18">
        <v>79.72106207928196</v>
      </c>
      <c r="D187" s="17">
        <v>153.0875467464473</v>
      </c>
      <c r="E187" s="10">
        <f>(B187/100000)*'Birth Pop per Year'!C187</f>
        <v>12.1593279</v>
      </c>
      <c r="F187" s="8">
        <f>(C187/100000)*'Birth Pop per Year'!G187</f>
        <v>8.016750003</v>
      </c>
      <c r="G187" s="8">
        <f>(D187/100000)*'Birth Pop per Year'!C187</f>
        <v>16.19206982</v>
      </c>
      <c r="H187" s="8">
        <f>(B187/100000)*'Birth Pop per Year'!G187</f>
        <v>11.56038587</v>
      </c>
      <c r="I187" s="8">
        <f>(C187/100000)*'Birth Pop per Year'!G187</f>
        <v>8.016750003</v>
      </c>
      <c r="J187" s="8">
        <f>(D187/100000)*'Birth Pop per Year'!G187</f>
        <v>15.3944837</v>
      </c>
      <c r="K187" s="8">
        <f>(B187/100000)*'Birth Pop per Year'!K187</f>
        <v>10.77635811</v>
      </c>
      <c r="L187" s="34">
        <f>(C187/100000)*'Birth Pop per Year'!K187</f>
        <v>7.473052359</v>
      </c>
      <c r="M187" s="34">
        <f>(D187/100000)*'Birth Pop per Year'!K187</f>
        <v>14.35042663</v>
      </c>
      <c r="N187" s="35" t="str">
        <f t="shared" si="1"/>
        <v>115 (80-153)</v>
      </c>
      <c r="O187" s="37">
        <f>5194+5383</f>
        <v>10577</v>
      </c>
      <c r="P187" s="35" t="str">
        <f t="shared" si="2"/>
        <v>12 (8-16)</v>
      </c>
      <c r="Q187" s="37">
        <f>4938+5118</f>
        <v>10056</v>
      </c>
      <c r="R187" s="35" t="str">
        <f t="shared" si="3"/>
        <v>12 (8-15)</v>
      </c>
      <c r="S187" s="37">
        <f>4602+4772</f>
        <v>9374</v>
      </c>
      <c r="T187" s="35" t="str">
        <f t="shared" si="4"/>
        <v>11 (7-14)</v>
      </c>
    </row>
    <row r="188">
      <c r="A188" s="16" t="s">
        <v>215</v>
      </c>
      <c r="B188" s="17">
        <v>89.32714586859062</v>
      </c>
      <c r="C188" s="18">
        <v>57.65661233336302</v>
      </c>
      <c r="D188" s="17">
        <v>135.61484872776936</v>
      </c>
      <c r="E188" s="10">
        <f>(B188/100000)*'Birth Pop per Year'!C188</f>
        <v>12.78360785</v>
      </c>
      <c r="F188" s="8">
        <f>(C188/100000)*'Birth Pop per Year'!G188</f>
        <v>7.600294638</v>
      </c>
      <c r="G188" s="8">
        <f>(D188/100000)*'Birth Pop per Year'!C188</f>
        <v>19.407841</v>
      </c>
      <c r="H188" s="8">
        <f>(B188/100000)*'Birth Pop per Year'!G188</f>
        <v>11.77510437</v>
      </c>
      <c r="I188" s="8">
        <f>(C188/100000)*'Birth Pop per Year'!G188</f>
        <v>7.600294638</v>
      </c>
      <c r="J188" s="8">
        <f>(D188/100000)*'Birth Pop per Year'!G188</f>
        <v>17.87674936</v>
      </c>
      <c r="K188" s="8">
        <f>(B188/100000)*'Birth Pop per Year'!K188</f>
        <v>10.5129118</v>
      </c>
      <c r="L188" s="34">
        <f>(C188/100000)*'Birth Pop per Year'!K188</f>
        <v>6.785606706</v>
      </c>
      <c r="M188" s="34">
        <f>(D188/100000)*'Birth Pop per Year'!K188</f>
        <v>15.96051155</v>
      </c>
      <c r="N188" s="35" t="str">
        <f t="shared" si="1"/>
        <v>89 (58-136)</v>
      </c>
      <c r="O188" s="37">
        <f>7024+7287</f>
        <v>14311</v>
      </c>
      <c r="P188" s="35" t="str">
        <f t="shared" si="2"/>
        <v>13 (8-19)</v>
      </c>
      <c r="Q188" s="37">
        <f>6469+6713</f>
        <v>13182</v>
      </c>
      <c r="R188" s="35" t="str">
        <f t="shared" si="3"/>
        <v>12 (8-18)</v>
      </c>
      <c r="S188" s="37">
        <f>5774+5995</f>
        <v>11769</v>
      </c>
      <c r="T188" s="35" t="str">
        <f t="shared" si="4"/>
        <v>11 (7-16)</v>
      </c>
    </row>
    <row r="189">
      <c r="A189" s="16" t="s">
        <v>216</v>
      </c>
      <c r="B189" s="17">
        <v>114.3967983991996</v>
      </c>
      <c r="C189" s="18">
        <v>77.32376188094047</v>
      </c>
      <c r="D189" s="17">
        <v>162.06213106553275</v>
      </c>
      <c r="E189" s="10">
        <f>(B189/100000)*'Birth Pop per Year'!C189</f>
        <v>0.9906762741</v>
      </c>
      <c r="F189" s="8">
        <f>(C189/100000)*'Birth Pop per Year'!G189</f>
        <v>0.6131774317</v>
      </c>
      <c r="G189" s="8">
        <f>(D189/100000)*'Birth Pop per Year'!C189</f>
        <v>1.403458055</v>
      </c>
      <c r="H189" s="8">
        <f>(B189/100000)*'Birth Pop per Year'!G189</f>
        <v>0.9071666113</v>
      </c>
      <c r="I189" s="8">
        <f>(C189/100000)*'Birth Pop per Year'!G189</f>
        <v>0.6131774317</v>
      </c>
      <c r="J189" s="8">
        <f>(D189/100000)*'Birth Pop per Year'!G189</f>
        <v>1.285152699</v>
      </c>
      <c r="K189" s="8">
        <f>(B189/100000)*'Birth Pop per Year'!K189</f>
        <v>0.8648397959</v>
      </c>
      <c r="L189" s="34">
        <f>(C189/100000)*'Birth Pop per Year'!K189</f>
        <v>0.5845676398</v>
      </c>
      <c r="M189" s="34">
        <f>(D189/100000)*'Birth Pop per Year'!K189</f>
        <v>1.225189711</v>
      </c>
      <c r="N189" s="35" t="str">
        <f t="shared" si="1"/>
        <v>114 (77-162)</v>
      </c>
      <c r="O189" s="37">
        <f>425+441</f>
        <v>866</v>
      </c>
      <c r="P189" s="35" t="str">
        <f t="shared" si="2"/>
        <v>1 (1-1)</v>
      </c>
      <c r="Q189" s="37">
        <f>389+404</f>
        <v>793</v>
      </c>
      <c r="R189" s="35" t="str">
        <f t="shared" si="3"/>
        <v>1 (1-1)</v>
      </c>
      <c r="S189" s="37">
        <f>371+385</f>
        <v>756</v>
      </c>
      <c r="T189" s="35" t="str">
        <f t="shared" si="4"/>
        <v>1 (1-1)</v>
      </c>
    </row>
    <row r="190">
      <c r="A190" s="16" t="s">
        <v>217</v>
      </c>
      <c r="B190" s="17">
        <v>83.53637332189095</v>
      </c>
      <c r="C190" s="18">
        <v>56.89115079680504</v>
      </c>
      <c r="D190" s="17">
        <v>115.94272504159002</v>
      </c>
      <c r="E190" s="10">
        <f>(B190/100000)*'Birth Pop per Year'!C190</f>
        <v>549.6710072</v>
      </c>
      <c r="F190" s="8">
        <f>(C190/100000)*'Birth Pop per Year'!G190</f>
        <v>336.1345375</v>
      </c>
      <c r="G190" s="8">
        <f>(D190/100000)*'Birth Pop per Year'!C190</f>
        <v>762.9054496</v>
      </c>
      <c r="H190" s="8">
        <f>(B190/100000)*'Birth Pop per Year'!G190</f>
        <v>493.5646374</v>
      </c>
      <c r="I190" s="8">
        <f>(C190/100000)*'Birth Pop per Year'!G190</f>
        <v>336.1345375</v>
      </c>
      <c r="J190" s="8">
        <f>(D190/100000)*'Birth Pop per Year'!G190</f>
        <v>685.0336778</v>
      </c>
      <c r="K190" s="8">
        <f>(B190/100000)*'Birth Pop per Year'!K190</f>
        <v>455.0384974</v>
      </c>
      <c r="L190" s="34">
        <f>(C190/100000)*'Birth Pop per Year'!K190</f>
        <v>309.8969077</v>
      </c>
      <c r="M190" s="34">
        <f>(D190/100000)*'Birth Pop per Year'!K190</f>
        <v>631.5620524</v>
      </c>
      <c r="N190" s="35" t="str">
        <f t="shared" si="1"/>
        <v>84 (57-116)</v>
      </c>
      <c r="O190" s="37">
        <f>321996+336006</f>
        <v>658002</v>
      </c>
      <c r="P190" s="35" t="str">
        <f t="shared" si="2"/>
        <v>550 (336-763)</v>
      </c>
      <c r="Q190" s="37">
        <f>288968+301870</f>
        <v>590838</v>
      </c>
      <c r="R190" s="35" t="str">
        <f t="shared" si="3"/>
        <v>494 (336-685)</v>
      </c>
      <c r="S190" s="37">
        <f>266317+278402</f>
        <v>544719</v>
      </c>
      <c r="T190" s="35" t="str">
        <f t="shared" si="4"/>
        <v>455 (310-632)</v>
      </c>
    </row>
    <row r="191">
      <c r="A191" s="16" t="s">
        <v>218</v>
      </c>
      <c r="B191" s="17">
        <v>69.03372564713588</v>
      </c>
      <c r="C191" s="18">
        <v>44.18158441416695</v>
      </c>
      <c r="D191" s="17">
        <v>99.40856493187566</v>
      </c>
      <c r="E191" s="10">
        <f>(B191/100000)*'Birth Pop per Year'!C191</f>
        <v>33.72297498</v>
      </c>
      <c r="F191" s="8">
        <f>(C191/100000)*'Birth Pop per Year'!G191</f>
        <v>20.54134404</v>
      </c>
      <c r="G191" s="8">
        <f>(D191/100000)*'Birth Pop per Year'!C191</f>
        <v>48.56108397</v>
      </c>
      <c r="H191" s="8">
        <f>(B191/100000)*'Birth Pop per Year'!G191</f>
        <v>32.09585007</v>
      </c>
      <c r="I191" s="8">
        <f>(C191/100000)*'Birth Pop per Year'!G191</f>
        <v>20.54134404</v>
      </c>
      <c r="J191" s="8">
        <f>(D191/100000)*'Birth Pop per Year'!G191</f>
        <v>46.21802409</v>
      </c>
      <c r="K191" s="8">
        <f>(B191/100000)*'Birth Pop per Year'!K191</f>
        <v>28.40047473</v>
      </c>
      <c r="L191" s="34">
        <f>(C191/100000)*'Birth Pop per Year'!K191</f>
        <v>18.17630383</v>
      </c>
      <c r="M191" s="34">
        <f>(D191/100000)*'Birth Pop per Year'!K191</f>
        <v>40.89668361</v>
      </c>
      <c r="N191" s="35" t="str">
        <f t="shared" si="1"/>
        <v>69 (44-99)</v>
      </c>
      <c r="O191" s="37">
        <f>23872+24978</f>
        <v>48850</v>
      </c>
      <c r="P191" s="35" t="str">
        <f t="shared" si="2"/>
        <v>34 (21-49)</v>
      </c>
      <c r="Q191" s="37">
        <f>22706+23787</f>
        <v>46493</v>
      </c>
      <c r="R191" s="35" t="str">
        <f t="shared" si="3"/>
        <v>32 (21-46)</v>
      </c>
      <c r="S191" s="37">
        <f>20091+21049</f>
        <v>41140</v>
      </c>
      <c r="T191" s="35" t="str">
        <f t="shared" si="4"/>
        <v>28 (18-41)</v>
      </c>
    </row>
    <row r="192">
      <c r="A192" s="16" t="s">
        <v>219</v>
      </c>
      <c r="B192" s="17">
        <v>106.97868624088083</v>
      </c>
      <c r="C192" s="18">
        <v>76.9495813311599</v>
      </c>
      <c r="D192" s="17">
        <v>148.89431184403298</v>
      </c>
      <c r="E192" s="10">
        <f>(B192/100000)*'Birth Pop per Year'!C192</f>
        <v>99.14677662</v>
      </c>
      <c r="F192" s="8">
        <f>(C192/100000)*'Birth Pop per Year'!G192</f>
        <v>62.17603121</v>
      </c>
      <c r="G192" s="8">
        <f>(D192/100000)*'Birth Pop per Year'!C192</f>
        <v>137.9937593</v>
      </c>
      <c r="H192" s="8">
        <f>(B192/100000)*'Birth Pop per Year'!G192</f>
        <v>86.43984827</v>
      </c>
      <c r="I192" s="8">
        <f>(C192/100000)*'Birth Pop per Year'!G192</f>
        <v>62.17603121</v>
      </c>
      <c r="J192" s="8">
        <f>(D192/100000)*'Birth Pop per Year'!G192</f>
        <v>120.3080929</v>
      </c>
      <c r="K192" s="8">
        <f>(B192/100000)*'Birth Pop per Year'!K192</f>
        <v>76.54538958</v>
      </c>
      <c r="L192" s="34">
        <f>(C192/100000)*'Birth Pop per Year'!K192</f>
        <v>55.05896443</v>
      </c>
      <c r="M192" s="34">
        <f>(D192/100000)*'Birth Pop per Year'!K192</f>
        <v>106.536858</v>
      </c>
      <c r="N192" s="35" t="str">
        <f t="shared" si="1"/>
        <v>107 (77-149)</v>
      </c>
      <c r="O192" s="37">
        <f>45298+47381</f>
        <v>92679</v>
      </c>
      <c r="P192" s="35" t="str">
        <f t="shared" si="2"/>
        <v>99 (62-138)</v>
      </c>
      <c r="Q192" s="37">
        <f>39499+41302</f>
        <v>80801</v>
      </c>
      <c r="R192" s="35" t="str">
        <f t="shared" si="3"/>
        <v>86 (62-120)</v>
      </c>
      <c r="S192" s="37">
        <f>34971+36581</f>
        <v>71552</v>
      </c>
      <c r="T192" s="35" t="str">
        <f t="shared" si="4"/>
        <v>77 (55-107)</v>
      </c>
    </row>
    <row r="193">
      <c r="A193" s="16" t="s">
        <v>220</v>
      </c>
      <c r="B193" s="17">
        <v>142.5808081146808</v>
      </c>
      <c r="C193" s="18">
        <v>101.03408257133009</v>
      </c>
      <c r="D193" s="17">
        <v>190.2651181132992</v>
      </c>
      <c r="E193" s="10">
        <f>(B193/100000)*'Birth Pop per Year'!C193</f>
        <v>535.245502</v>
      </c>
      <c r="F193" s="8">
        <f>(C193/100000)*'Birth Pop per Year'!G193</f>
        <v>369.8221248</v>
      </c>
      <c r="G193" s="8">
        <f>(D193/100000)*'Birth Pop per Year'!C193</f>
        <v>714.2514481</v>
      </c>
      <c r="H193" s="8">
        <f>(B193/100000)*'Birth Pop per Year'!G193</f>
        <v>521.8985126</v>
      </c>
      <c r="I193" s="8">
        <f>(C193/100000)*'Birth Pop per Year'!G193</f>
        <v>369.8221248</v>
      </c>
      <c r="J193" s="8">
        <f>(D193/100000)*'Birth Pop per Year'!G193</f>
        <v>696.4407304</v>
      </c>
      <c r="K193" s="8">
        <f>(B193/100000)*'Birth Pop per Year'!K193</f>
        <v>486.3089171</v>
      </c>
      <c r="L193" s="34">
        <f>(C193/100000)*'Birth Pop per Year'!K193</f>
        <v>344.6030075</v>
      </c>
      <c r="M193" s="34">
        <f>(D193/100000)*'Birth Pop per Year'!K193</f>
        <v>648.9486543</v>
      </c>
      <c r="N193" s="35" t="str">
        <f t="shared" si="1"/>
        <v>143 (101-190)</v>
      </c>
      <c r="O193" s="37">
        <f>184308+191090</f>
        <v>375398</v>
      </c>
      <c r="P193" s="35" t="str">
        <f t="shared" si="2"/>
        <v>535 (370-714)</v>
      </c>
      <c r="Q193" s="37">
        <f>179648+186389</f>
        <v>366037</v>
      </c>
      <c r="R193" s="35" t="str">
        <f t="shared" si="3"/>
        <v>522 (370-696)</v>
      </c>
      <c r="S193" s="37">
        <f>167337+173739</f>
        <v>341076</v>
      </c>
      <c r="T193" s="35" t="str">
        <f t="shared" si="4"/>
        <v>486 (345-649)</v>
      </c>
    </row>
    <row r="194">
      <c r="A194" s="16" t="s">
        <v>221</v>
      </c>
      <c r="B194" s="17">
        <v>105.90953006642009</v>
      </c>
      <c r="C194" s="18">
        <v>74.36201047216728</v>
      </c>
      <c r="D194" s="17">
        <v>141.5131593227911</v>
      </c>
      <c r="E194" s="10">
        <f>(B194/100000)*'Birth Pop per Year'!C194</f>
        <v>243.6914741</v>
      </c>
      <c r="F194" s="8">
        <f>(C194/100000)*'Birth Pop per Year'!G194</f>
        <v>165.2539523</v>
      </c>
      <c r="G194" s="8">
        <f>(D194/100000)*'Birth Pop per Year'!C194</f>
        <v>325.6132888</v>
      </c>
      <c r="H194" s="8">
        <f>(B194/100000)*'Birth Pop per Year'!G194</f>
        <v>235.3616896</v>
      </c>
      <c r="I194" s="8">
        <f>(C194/100000)*'Birth Pop per Year'!G194</f>
        <v>165.2539523</v>
      </c>
      <c r="J194" s="8">
        <f>(D194/100000)*'Birth Pop per Year'!G194</f>
        <v>314.4832788</v>
      </c>
      <c r="K194" s="8">
        <f>(B194/100000)*'Birth Pop per Year'!K194</f>
        <v>229.4921834</v>
      </c>
      <c r="L194" s="34">
        <f>(C194/100000)*'Birth Pop per Year'!K194</f>
        <v>161.1328096</v>
      </c>
      <c r="M194" s="34">
        <f>(D194/100000)*'Birth Pop per Year'!K194</f>
        <v>306.6406195</v>
      </c>
      <c r="N194" s="35" t="str">
        <f t="shared" si="1"/>
        <v>106 (74-142)</v>
      </c>
      <c r="O194" s="37">
        <f>112372+117722</f>
        <v>230094</v>
      </c>
      <c r="P194" s="35" t="str">
        <f t="shared" si="2"/>
        <v>244 (165-326)</v>
      </c>
      <c r="Q194" s="37">
        <f>108529+113700</f>
        <v>222229</v>
      </c>
      <c r="R194" s="35" t="str">
        <f t="shared" si="3"/>
        <v>235 (165-314)</v>
      </c>
      <c r="S194" s="37">
        <f>105773+110914</f>
        <v>216687</v>
      </c>
      <c r="T194" s="35" t="str">
        <f t="shared" si="4"/>
        <v>229 (161-307)</v>
      </c>
    </row>
    <row r="195">
      <c r="A195" s="16" t="s">
        <v>222</v>
      </c>
      <c r="B195" s="17">
        <v>117.05605373937098</v>
      </c>
      <c r="C195" s="18">
        <v>86.86791356448059</v>
      </c>
      <c r="D195" s="17">
        <v>150.32461638108697</v>
      </c>
      <c r="E195" s="10">
        <f>(B195/100000)*'Birth Pop per Year'!C195</f>
        <v>2251.58607</v>
      </c>
      <c r="F195" s="8">
        <f>(C195/100000)*'Birth Pop per Year'!G195</f>
        <v>1564.728273</v>
      </c>
      <c r="G195" s="8">
        <f>(D195/100000)*'Birth Pop per Year'!C195</f>
        <v>2891.510532</v>
      </c>
      <c r="H195" s="8">
        <f>(B195/100000)*'Birth Pop per Year'!G195</f>
        <v>2108.499091</v>
      </c>
      <c r="I195" s="8">
        <f>(C195/100000)*'Birth Pop per Year'!G195</f>
        <v>1564.728273</v>
      </c>
      <c r="J195" s="8">
        <f>(D195/100000)*'Birth Pop per Year'!G195</f>
        <v>2707.756727</v>
      </c>
      <c r="K195" s="8">
        <f>(B195/100000)*'Birth Pop per Year'!K195</f>
        <v>1921.286662</v>
      </c>
      <c r="L195" s="34">
        <f>(C195/100000)*'Birth Pop per Year'!K195</f>
        <v>1425.796944</v>
      </c>
      <c r="M195" s="34">
        <f>(D195/100000)*'Birth Pop per Year'!K195</f>
        <v>2467.336555</v>
      </c>
      <c r="N195" s="35" t="str">
        <f t="shared" si="1"/>
        <v>117 (87-150)</v>
      </c>
      <c r="O195" s="37">
        <f>944662+978849</f>
        <v>1923511</v>
      </c>
      <c r="P195" s="35" t="str">
        <f t="shared" si="2"/>
        <v>2,252 (1,565-2,892)</v>
      </c>
      <c r="Q195" s="37">
        <f>884354+916919</f>
        <v>1801273</v>
      </c>
      <c r="R195" s="35" t="str">
        <f t="shared" si="3"/>
        <v>2,108 (1,565-2,708)</v>
      </c>
      <c r="S195" s="37">
        <f>805640+835699</f>
        <v>1641339</v>
      </c>
      <c r="T195" s="35" t="str">
        <f t="shared" si="4"/>
        <v>1,921 (1,426-2,467)</v>
      </c>
    </row>
    <row r="196">
      <c r="A196" s="16" t="s">
        <v>223</v>
      </c>
      <c r="B196" s="17">
        <v>114.78149465868626</v>
      </c>
      <c r="C196" s="18">
        <v>82.05870012879764</v>
      </c>
      <c r="D196" s="17">
        <v>158.07626895976972</v>
      </c>
      <c r="E196" s="10">
        <f>(B196/100000)*'Birth Pop per Year'!C196</f>
        <v>146.4279006</v>
      </c>
      <c r="F196" s="8">
        <f>(C196/100000)*'Birth Pop per Year'!G196</f>
        <v>99.69147361</v>
      </c>
      <c r="G196" s="8">
        <f>(D196/100000)*'Birth Pop per Year'!C196</f>
        <v>201.6594771</v>
      </c>
      <c r="H196" s="8">
        <f>(B196/100000)*'Birth Pop per Year'!G196</f>
        <v>139.4457422</v>
      </c>
      <c r="I196" s="8">
        <f>(C196/100000)*'Birth Pop per Year'!G196</f>
        <v>99.69147361</v>
      </c>
      <c r="J196" s="8">
        <f>(D196/100000)*'Birth Pop per Year'!G196</f>
        <v>192.0436976</v>
      </c>
      <c r="K196" s="8">
        <f>(B196/100000)*'Birth Pop per Year'!K196</f>
        <v>130.9301031</v>
      </c>
      <c r="L196" s="34">
        <f>(C196/100000)*'Birth Pop per Year'!K196</f>
        <v>93.60353865</v>
      </c>
      <c r="M196" s="34">
        <f>(D196/100000)*'Birth Pop per Year'!K196</f>
        <v>180.3160192</v>
      </c>
      <c r="N196" s="35" t="str">
        <f t="shared" si="1"/>
        <v>115 (82-158)</v>
      </c>
      <c r="O196" s="37">
        <f>62742+64829</f>
        <v>127571</v>
      </c>
      <c r="P196" s="35" t="str">
        <f t="shared" si="2"/>
        <v>146 (100-202)</v>
      </c>
      <c r="Q196" s="37">
        <f>59725+61763</f>
        <v>121488</v>
      </c>
      <c r="R196" s="35" t="str">
        <f t="shared" si="3"/>
        <v>139 (100-192)</v>
      </c>
      <c r="S196" s="37">
        <f>56064+58005</f>
        <v>114069</v>
      </c>
      <c r="T196" s="35" t="str">
        <f t="shared" si="4"/>
        <v>131 (94-180)</v>
      </c>
    </row>
    <row r="197">
      <c r="A197" s="16" t="s">
        <v>224</v>
      </c>
      <c r="B197" s="17">
        <v>108.99870917738241</v>
      </c>
      <c r="C197" s="18">
        <v>67.97110516117668</v>
      </c>
      <c r="D197" s="17">
        <v>156.7621884798309</v>
      </c>
      <c r="E197" s="10">
        <f>(B197/100000)*'Birth Pop per Year'!C197</f>
        <v>77.24411523</v>
      </c>
      <c r="F197" s="8">
        <f>(C197/100000)*'Birth Pop per Year'!G197</f>
        <v>47.73746658</v>
      </c>
      <c r="G197" s="8">
        <f>(D197/100000)*'Birth Pop per Year'!C197</f>
        <v>111.0926601</v>
      </c>
      <c r="H197" s="8">
        <f>(B197/100000)*'Birth Pop per Year'!G197</f>
        <v>76.55197343</v>
      </c>
      <c r="I197" s="8">
        <f>(C197/100000)*'Birth Pop per Year'!G197</f>
        <v>47.73746658</v>
      </c>
      <c r="J197" s="8">
        <f>(D197/100000)*'Birth Pop per Year'!G197</f>
        <v>110.0972202</v>
      </c>
      <c r="K197" s="8">
        <f>(B197/100000)*'Birth Pop per Year'!K197</f>
        <v>72.72284878</v>
      </c>
      <c r="L197" s="34">
        <f>(C197/100000)*'Birth Pop per Year'!K197</f>
        <v>45.34964165</v>
      </c>
      <c r="M197" s="34">
        <f>(D197/100000)*'Birth Pop per Year'!K197</f>
        <v>104.5901645</v>
      </c>
      <c r="N197" s="35" t="str">
        <f t="shared" si="1"/>
        <v>109 (68-157)</v>
      </c>
      <c r="O197" s="37">
        <f>34577+36290</f>
        <v>70867</v>
      </c>
      <c r="P197" s="35" t="str">
        <f t="shared" si="2"/>
        <v>77 (48-111)</v>
      </c>
      <c r="Q197" s="37">
        <f>34284+35948</f>
        <v>70232</v>
      </c>
      <c r="R197" s="35" t="str">
        <f t="shared" si="3"/>
        <v>77 (48-110)</v>
      </c>
      <c r="S197" s="37">
        <f>32573+34146</f>
        <v>66719</v>
      </c>
      <c r="T197" s="35" t="str">
        <f t="shared" si="4"/>
        <v>73 (45-105)</v>
      </c>
    </row>
    <row r="198">
      <c r="A198" s="16" t="s">
        <v>225</v>
      </c>
      <c r="B198" s="17">
        <v>158.86766323548008</v>
      </c>
      <c r="C198" s="18">
        <v>109.47183517066696</v>
      </c>
      <c r="D198" s="17">
        <v>220.946203911529</v>
      </c>
      <c r="E198" s="10">
        <f>(B198/100000)*'Birth Pop per Year'!C198</f>
        <v>707.2264104</v>
      </c>
      <c r="F198" s="8">
        <f>(C198/100000)*'Birth Pop per Year'!G198</f>
        <v>469.9932405</v>
      </c>
      <c r="G198" s="8">
        <f>(D198/100000)*'Birth Pop per Year'!C198</f>
        <v>983.5795876</v>
      </c>
      <c r="H198" s="8">
        <f>(B198/100000)*'Birth Pop per Year'!G198</f>
        <v>682.0633612</v>
      </c>
      <c r="I198" s="8">
        <f>(C198/100000)*'Birth Pop per Year'!G198</f>
        <v>469.9932405</v>
      </c>
      <c r="J198" s="8">
        <f>(D198/100000)*'Birth Pop per Year'!G198</f>
        <v>948.5839183</v>
      </c>
      <c r="K198" s="8">
        <f>(B198/100000)*'Birth Pop per Year'!K198</f>
        <v>596.5544302</v>
      </c>
      <c r="L198" s="34">
        <f>(C198/100000)*'Birth Pop per Year'!K198</f>
        <v>411.0711199</v>
      </c>
      <c r="M198" s="34">
        <f>(D198/100000)*'Birth Pop per Year'!K198</f>
        <v>829.6618335</v>
      </c>
      <c r="N198" s="35" t="str">
        <f t="shared" si="1"/>
        <v>159 (109-221)</v>
      </c>
      <c r="O198" s="37">
        <f>217367+227800</f>
        <v>445167</v>
      </c>
      <c r="P198" s="35" t="str">
        <f t="shared" si="2"/>
        <v>707 (470-984)</v>
      </c>
      <c r="Q198" s="37">
        <f>209760+219568</f>
        <v>429328</v>
      </c>
      <c r="R198" s="35" t="str">
        <f t="shared" si="3"/>
        <v>682 (470-949)</v>
      </c>
      <c r="S198" s="37">
        <f>183424+192080</f>
        <v>375504</v>
      </c>
      <c r="T198" s="35" t="str">
        <f t="shared" si="4"/>
        <v>597 (411-830)</v>
      </c>
    </row>
    <row r="199">
      <c r="A199" s="16" t="s">
        <v>226</v>
      </c>
      <c r="B199" s="17">
        <v>116.59564061927556</v>
      </c>
      <c r="C199" s="18">
        <v>88.23453884701934</v>
      </c>
      <c r="D199" s="17">
        <v>148.10797592178244</v>
      </c>
      <c r="E199" s="10">
        <f>(B199/100000)*'Birth Pop per Year'!C199</f>
        <v>2769.17095</v>
      </c>
      <c r="F199" s="8">
        <f>(C199/100000)*'Birth Pop per Year'!G199</f>
        <v>1936.24872</v>
      </c>
      <c r="G199" s="8">
        <f>(D199/100000)*'Birth Pop per Year'!C199</f>
        <v>3517.595531</v>
      </c>
      <c r="H199" s="8">
        <f>(B199/100000)*'Birth Pop per Year'!G199</f>
        <v>2558.61438</v>
      </c>
      <c r="I199" s="8">
        <f>(C199/100000)*'Birth Pop per Year'!G199</f>
        <v>1936.24872</v>
      </c>
      <c r="J199" s="8">
        <f>(D199/100000)*'Birth Pop per Year'!G199</f>
        <v>3250.13178</v>
      </c>
      <c r="K199" s="8">
        <f>(B199/100000)*'Birth Pop per Year'!K199</f>
        <v>2323.366352</v>
      </c>
      <c r="L199" s="34">
        <f>(C199/100000)*'Birth Pop per Year'!K199</f>
        <v>1758.223185</v>
      </c>
      <c r="M199" s="34">
        <f>(D199/100000)*'Birth Pop per Year'!K199</f>
        <v>2951.303204</v>
      </c>
      <c r="N199" s="35" t="str">
        <f t="shared" si="1"/>
        <v>117 (88-148)</v>
      </c>
      <c r="O199" s="37">
        <f>1162497+1212524</f>
        <v>2375021</v>
      </c>
      <c r="P199" s="35" t="str">
        <f t="shared" si="2"/>
        <v>2,769 (1,936-3,518)</v>
      </c>
      <c r="Q199" s="37">
        <f>1073988+1120446</f>
        <v>2194434</v>
      </c>
      <c r="R199" s="35" t="str">
        <f t="shared" si="3"/>
        <v>2,559 (1,936-3,250)</v>
      </c>
      <c r="S199" s="37">
        <f>974901+1017769</f>
        <v>1992670</v>
      </c>
      <c r="T199" s="35" t="str">
        <f t="shared" si="4"/>
        <v>2,323 (1,758-2,951)</v>
      </c>
    </row>
    <row r="200">
      <c r="A200" s="16" t="s">
        <v>227</v>
      </c>
      <c r="B200" s="17">
        <v>58.687658864589196</v>
      </c>
      <c r="C200" s="18">
        <v>42.54855267682717</v>
      </c>
      <c r="D200" s="17">
        <v>77.7611479955807</v>
      </c>
      <c r="E200" s="10">
        <f>(B200/100000)*'Birth Pop per Year'!C200</f>
        <v>76.12845733</v>
      </c>
      <c r="F200" s="8">
        <f>(C200/100000)*'Birth Pop per Year'!G200</f>
        <v>53.43077051</v>
      </c>
      <c r="G200" s="8">
        <f>(D200/100000)*'Birth Pop per Year'!C200</f>
        <v>100.870206</v>
      </c>
      <c r="H200" s="8">
        <f>(B200/100000)*'Birth Pop per Year'!G200</f>
        <v>73.6976145</v>
      </c>
      <c r="I200" s="8">
        <f>(C200/100000)*'Birth Pop per Year'!G200</f>
        <v>53.43077051</v>
      </c>
      <c r="J200" s="8">
        <f>(D200/100000)*'Birth Pop per Year'!G200</f>
        <v>97.64933921</v>
      </c>
      <c r="K200" s="8">
        <f>(B200/100000)*'Birth Pop per Year'!K200</f>
        <v>72.23805242</v>
      </c>
      <c r="L200" s="34">
        <f>(C200/100000)*'Birth Pop per Year'!K200</f>
        <v>52.372588</v>
      </c>
      <c r="M200" s="34">
        <f>(D200/100000)*'Birth Pop per Year'!K200</f>
        <v>95.71541946</v>
      </c>
      <c r="N200" s="35" t="str">
        <f t="shared" si="1"/>
        <v>59 (43-78)</v>
      </c>
      <c r="O200" s="37">
        <f>63385+66333</f>
        <v>129718</v>
      </c>
      <c r="P200" s="35" t="str">
        <f t="shared" si="2"/>
        <v>76 (53-101)</v>
      </c>
      <c r="Q200" s="37">
        <f>61345+64231</f>
        <v>125576</v>
      </c>
      <c r="R200" s="35" t="str">
        <f t="shared" si="3"/>
        <v>74 (53-98)</v>
      </c>
      <c r="S200" s="37">
        <f>60108+62981</f>
        <v>123089</v>
      </c>
      <c r="T200" s="35" t="str">
        <f t="shared" si="4"/>
        <v>72 (52-96)</v>
      </c>
    </row>
    <row r="201">
      <c r="A201" s="13"/>
      <c r="B201" s="17"/>
      <c r="C201" s="17"/>
      <c r="D201" s="29"/>
      <c r="E201" s="30"/>
      <c r="F201" s="17"/>
      <c r="G201" s="17"/>
      <c r="H201" s="17"/>
      <c r="I201" s="17"/>
      <c r="J201" s="17"/>
      <c r="K201" s="17"/>
      <c r="L201" s="34"/>
      <c r="M201" s="34"/>
      <c r="N201" s="35"/>
      <c r="O201" s="35"/>
      <c r="P201" s="35"/>
      <c r="Q201" s="35"/>
      <c r="R201" s="35"/>
      <c r="S201" s="35"/>
      <c r="T201" s="35"/>
    </row>
    <row r="202">
      <c r="A202" s="13"/>
      <c r="B202" s="17"/>
      <c r="C202" s="17"/>
      <c r="D202" s="29"/>
      <c r="E202" s="30"/>
      <c r="F202" s="17"/>
      <c r="G202" s="17"/>
      <c r="H202" s="17"/>
      <c r="I202" s="17"/>
      <c r="J202" s="17"/>
      <c r="K202" s="17"/>
      <c r="L202" s="34"/>
      <c r="M202" s="34"/>
      <c r="N202" s="35"/>
      <c r="O202" s="35"/>
      <c r="P202" s="35"/>
      <c r="Q202" s="35"/>
      <c r="R202" s="35"/>
      <c r="S202" s="35"/>
      <c r="T202" s="35"/>
    </row>
    <row r="203">
      <c r="A203" s="13"/>
      <c r="B203" s="17"/>
      <c r="C203" s="17"/>
      <c r="D203" s="29"/>
      <c r="E203" s="30"/>
      <c r="F203" s="17"/>
      <c r="G203" s="17"/>
      <c r="H203" s="17"/>
      <c r="I203" s="17"/>
      <c r="J203" s="17"/>
      <c r="K203" s="17"/>
      <c r="L203" s="34"/>
      <c r="M203" s="34"/>
      <c r="N203" s="35"/>
      <c r="O203" s="35"/>
      <c r="P203" s="35"/>
      <c r="Q203" s="35"/>
      <c r="R203" s="35"/>
      <c r="S203" s="35"/>
      <c r="T203" s="35"/>
    </row>
    <row r="204">
      <c r="A204" s="13"/>
      <c r="B204" s="17"/>
      <c r="C204" s="17"/>
      <c r="D204" s="29"/>
      <c r="E204" s="30"/>
      <c r="F204" s="17"/>
      <c r="G204" s="17"/>
      <c r="H204" s="17"/>
      <c r="I204" s="17"/>
      <c r="J204" s="17"/>
      <c r="K204" s="17"/>
      <c r="L204" s="34"/>
      <c r="M204" s="34"/>
      <c r="N204" s="35"/>
      <c r="O204" s="35"/>
      <c r="P204" s="35"/>
      <c r="Q204" s="35"/>
      <c r="R204" s="35"/>
      <c r="S204" s="35"/>
      <c r="T204" s="35"/>
    </row>
    <row r="205">
      <c r="A205" s="13"/>
      <c r="B205" s="17"/>
      <c r="C205" s="17"/>
      <c r="D205" s="29"/>
      <c r="E205" s="30"/>
      <c r="F205" s="17"/>
      <c r="G205" s="17"/>
      <c r="H205" s="17"/>
      <c r="I205" s="17"/>
      <c r="J205" s="17"/>
      <c r="K205" s="17"/>
      <c r="L205" s="34"/>
      <c r="M205" s="34"/>
      <c r="N205" s="35"/>
      <c r="O205" s="35"/>
      <c r="P205" s="35"/>
      <c r="Q205" s="35"/>
      <c r="R205" s="35"/>
      <c r="S205" s="35"/>
      <c r="T205" s="35"/>
    </row>
    <row r="206">
      <c r="A206" s="13"/>
      <c r="B206" s="17"/>
      <c r="C206" s="17"/>
      <c r="D206" s="29"/>
      <c r="E206" s="30"/>
      <c r="F206" s="17"/>
      <c r="G206" s="17"/>
      <c r="H206" s="17"/>
      <c r="I206" s="17"/>
      <c r="J206" s="17"/>
      <c r="K206" s="17"/>
      <c r="L206" s="34"/>
      <c r="M206" s="34"/>
      <c r="N206" s="35"/>
      <c r="O206" s="35"/>
      <c r="P206" s="35"/>
      <c r="Q206" s="35"/>
      <c r="R206" s="35"/>
      <c r="S206" s="35"/>
      <c r="T206" s="35"/>
    </row>
    <row r="207">
      <c r="A207" s="13"/>
      <c r="B207" s="17"/>
      <c r="C207" s="17"/>
      <c r="D207" s="29"/>
      <c r="E207" s="30"/>
      <c r="F207" s="17"/>
      <c r="G207" s="17"/>
      <c r="H207" s="17"/>
      <c r="I207" s="17"/>
      <c r="J207" s="17"/>
      <c r="K207" s="17"/>
      <c r="L207" s="34"/>
      <c r="M207" s="34"/>
      <c r="N207" s="35"/>
      <c r="O207" s="35"/>
      <c r="P207" s="35"/>
      <c r="Q207" s="35"/>
      <c r="R207" s="35"/>
      <c r="S207" s="35"/>
      <c r="T207" s="35"/>
    </row>
    <row r="208">
      <c r="A208" s="13"/>
      <c r="B208" s="17"/>
      <c r="C208" s="17"/>
      <c r="D208" s="29"/>
      <c r="E208" s="30"/>
      <c r="F208" s="17"/>
      <c r="G208" s="17"/>
      <c r="H208" s="17"/>
      <c r="I208" s="17"/>
      <c r="J208" s="17"/>
      <c r="K208" s="17"/>
      <c r="L208" s="34"/>
      <c r="M208" s="34"/>
      <c r="N208" s="35"/>
      <c r="O208" s="35"/>
      <c r="P208" s="35"/>
      <c r="Q208" s="35"/>
      <c r="R208" s="35"/>
      <c r="S208" s="35"/>
      <c r="T208" s="35"/>
    </row>
    <row r="209">
      <c r="A209" s="13"/>
      <c r="B209" s="17"/>
      <c r="C209" s="17"/>
      <c r="D209" s="29"/>
      <c r="E209" s="30"/>
      <c r="F209" s="17"/>
      <c r="G209" s="17"/>
      <c r="H209" s="17"/>
      <c r="I209" s="17"/>
      <c r="J209" s="17"/>
      <c r="K209" s="17"/>
      <c r="L209" s="34"/>
      <c r="M209" s="34"/>
      <c r="N209" s="35"/>
      <c r="O209" s="35"/>
      <c r="P209" s="35"/>
      <c r="Q209" s="35"/>
      <c r="R209" s="35"/>
      <c r="S209" s="35"/>
      <c r="T209" s="35"/>
    </row>
    <row r="210">
      <c r="A210" s="13"/>
      <c r="B210" s="17"/>
      <c r="C210" s="17"/>
      <c r="D210" s="29"/>
      <c r="E210" s="30"/>
      <c r="F210" s="17"/>
      <c r="G210" s="17"/>
      <c r="H210" s="17"/>
      <c r="I210" s="17"/>
      <c r="J210" s="17"/>
      <c r="K210" s="17"/>
      <c r="L210" s="34"/>
      <c r="M210" s="34"/>
      <c r="N210" s="35"/>
      <c r="O210" s="35"/>
      <c r="P210" s="35"/>
      <c r="Q210" s="35"/>
      <c r="R210" s="35"/>
      <c r="S210" s="35"/>
      <c r="T210" s="35"/>
    </row>
    <row r="211">
      <c r="A211" s="13"/>
      <c r="B211" s="17"/>
      <c r="C211" s="17"/>
      <c r="D211" s="29"/>
      <c r="E211" s="30"/>
      <c r="F211" s="17"/>
      <c r="G211" s="17"/>
      <c r="H211" s="17"/>
      <c r="I211" s="17"/>
      <c r="J211" s="17"/>
      <c r="K211" s="17"/>
      <c r="L211" s="34"/>
      <c r="M211" s="34"/>
      <c r="N211" s="35"/>
      <c r="O211" s="35"/>
      <c r="P211" s="35"/>
      <c r="Q211" s="35"/>
      <c r="R211" s="35"/>
      <c r="S211" s="35"/>
      <c r="T211" s="35"/>
    </row>
    <row r="212">
      <c r="A212" s="13"/>
      <c r="B212" s="17"/>
      <c r="C212" s="17"/>
      <c r="D212" s="29"/>
      <c r="E212" s="30"/>
      <c r="F212" s="17"/>
      <c r="G212" s="17"/>
      <c r="H212" s="17"/>
      <c r="I212" s="17"/>
      <c r="J212" s="17"/>
      <c r="K212" s="17"/>
      <c r="L212" s="34"/>
      <c r="M212" s="34"/>
      <c r="N212" s="35"/>
      <c r="O212" s="35"/>
      <c r="P212" s="35"/>
      <c r="Q212" s="35"/>
      <c r="R212" s="35"/>
      <c r="S212" s="35"/>
      <c r="T212" s="35"/>
    </row>
    <row r="213">
      <c r="A213" s="13"/>
      <c r="B213" s="17"/>
      <c r="C213" s="17"/>
      <c r="D213" s="29"/>
      <c r="E213" s="30"/>
      <c r="F213" s="17"/>
      <c r="G213" s="17"/>
      <c r="H213" s="17"/>
      <c r="I213" s="17"/>
      <c r="J213" s="17"/>
      <c r="K213" s="17"/>
      <c r="L213" s="34"/>
      <c r="M213" s="34"/>
      <c r="N213" s="35"/>
      <c r="O213" s="35"/>
      <c r="P213" s="35"/>
      <c r="Q213" s="35"/>
      <c r="R213" s="35"/>
      <c r="S213" s="35"/>
      <c r="T213" s="35"/>
    </row>
    <row r="214">
      <c r="A214" s="13"/>
      <c r="B214" s="17"/>
      <c r="C214" s="17"/>
      <c r="D214" s="29"/>
      <c r="E214" s="30"/>
      <c r="F214" s="17"/>
      <c r="G214" s="17"/>
      <c r="H214" s="17"/>
      <c r="I214" s="17"/>
      <c r="J214" s="17"/>
      <c r="K214" s="17"/>
      <c r="L214" s="34"/>
      <c r="M214" s="34"/>
      <c r="N214" s="35"/>
      <c r="O214" s="35"/>
      <c r="P214" s="35"/>
      <c r="Q214" s="35"/>
      <c r="R214" s="35"/>
      <c r="S214" s="35"/>
      <c r="T214" s="35"/>
    </row>
    <row r="215">
      <c r="A215" s="13"/>
      <c r="B215" s="17"/>
      <c r="C215" s="17"/>
      <c r="D215" s="29"/>
      <c r="E215" s="30"/>
      <c r="F215" s="17"/>
      <c r="G215" s="17"/>
      <c r="H215" s="17"/>
      <c r="I215" s="17"/>
      <c r="J215" s="17"/>
      <c r="K215" s="17"/>
      <c r="L215" s="34"/>
      <c r="M215" s="34"/>
      <c r="N215" s="35"/>
      <c r="O215" s="35"/>
      <c r="P215" s="35"/>
      <c r="Q215" s="35"/>
      <c r="R215" s="35"/>
      <c r="S215" s="35"/>
      <c r="T215" s="35"/>
    </row>
    <row r="216">
      <c r="A216" s="13"/>
      <c r="B216" s="17"/>
      <c r="C216" s="17"/>
      <c r="D216" s="29"/>
      <c r="E216" s="30"/>
      <c r="F216" s="17"/>
      <c r="G216" s="17"/>
      <c r="H216" s="17"/>
      <c r="I216" s="17"/>
      <c r="J216" s="17"/>
      <c r="K216" s="17"/>
      <c r="L216" s="34"/>
      <c r="M216" s="34"/>
      <c r="N216" s="35"/>
      <c r="O216" s="35"/>
      <c r="P216" s="35"/>
      <c r="Q216" s="35"/>
      <c r="R216" s="35"/>
      <c r="S216" s="35"/>
      <c r="T216" s="35"/>
    </row>
    <row r="217">
      <c r="A217" s="13"/>
      <c r="B217" s="17"/>
      <c r="C217" s="17"/>
      <c r="D217" s="29"/>
      <c r="E217" s="30"/>
      <c r="F217" s="17"/>
      <c r="G217" s="17"/>
      <c r="H217" s="17"/>
      <c r="I217" s="17"/>
      <c r="J217" s="17"/>
      <c r="K217" s="17"/>
      <c r="L217" s="34"/>
      <c r="M217" s="34"/>
      <c r="N217" s="35"/>
      <c r="O217" s="35"/>
      <c r="P217" s="35"/>
      <c r="Q217" s="35"/>
      <c r="R217" s="35"/>
      <c r="S217" s="35"/>
      <c r="T217" s="35"/>
    </row>
    <row r="218">
      <c r="A218" s="13"/>
      <c r="B218" s="17"/>
      <c r="C218" s="17"/>
      <c r="D218" s="29"/>
      <c r="E218" s="30"/>
      <c r="F218" s="17"/>
      <c r="G218" s="17"/>
      <c r="H218" s="17"/>
      <c r="I218" s="17"/>
      <c r="J218" s="17"/>
      <c r="K218" s="17"/>
      <c r="L218" s="34"/>
      <c r="M218" s="34"/>
      <c r="N218" s="35"/>
      <c r="O218" s="35"/>
      <c r="P218" s="35"/>
      <c r="Q218" s="35"/>
      <c r="R218" s="35"/>
      <c r="S218" s="35"/>
      <c r="T218" s="35"/>
    </row>
    <row r="219">
      <c r="A219" s="13"/>
      <c r="B219" s="17"/>
      <c r="C219" s="17"/>
      <c r="D219" s="29"/>
      <c r="E219" s="30"/>
      <c r="F219" s="17"/>
      <c r="G219" s="17"/>
      <c r="H219" s="17"/>
      <c r="I219" s="17"/>
      <c r="J219" s="17"/>
      <c r="K219" s="17"/>
      <c r="L219" s="34"/>
      <c r="M219" s="34"/>
      <c r="N219" s="35"/>
      <c r="O219" s="35"/>
      <c r="P219" s="35"/>
      <c r="Q219" s="35"/>
      <c r="R219" s="35"/>
      <c r="S219" s="35"/>
      <c r="T219" s="35"/>
    </row>
    <row r="220">
      <c r="A220" s="13"/>
      <c r="B220" s="17"/>
      <c r="C220" s="17"/>
      <c r="D220" s="29"/>
      <c r="E220" s="30"/>
      <c r="F220" s="17"/>
      <c r="G220" s="17"/>
      <c r="H220" s="17"/>
      <c r="I220" s="17"/>
      <c r="J220" s="17"/>
      <c r="K220" s="17"/>
      <c r="L220" s="34"/>
      <c r="M220" s="34"/>
      <c r="N220" s="35"/>
      <c r="O220" s="35"/>
      <c r="P220" s="35"/>
      <c r="Q220" s="35"/>
      <c r="R220" s="35"/>
      <c r="S220" s="35"/>
      <c r="T220" s="35"/>
    </row>
    <row r="221">
      <c r="A221" s="13"/>
      <c r="B221" s="17"/>
      <c r="C221" s="17"/>
      <c r="D221" s="29"/>
      <c r="E221" s="30"/>
      <c r="F221" s="17"/>
      <c r="G221" s="17"/>
      <c r="H221" s="17"/>
      <c r="I221" s="17"/>
      <c r="J221" s="17"/>
      <c r="K221" s="17"/>
      <c r="L221" s="34"/>
      <c r="M221" s="34"/>
      <c r="N221" s="35"/>
      <c r="O221" s="35"/>
      <c r="P221" s="35"/>
      <c r="Q221" s="35"/>
      <c r="R221" s="35"/>
      <c r="S221" s="35"/>
      <c r="T221" s="35"/>
    </row>
    <row r="222">
      <c r="A222" s="13"/>
      <c r="B222" s="17"/>
      <c r="C222" s="17"/>
      <c r="D222" s="29"/>
      <c r="E222" s="30"/>
      <c r="F222" s="17"/>
      <c r="G222" s="17"/>
      <c r="H222" s="17"/>
      <c r="I222" s="17"/>
      <c r="J222" s="17"/>
      <c r="K222" s="17"/>
      <c r="L222" s="34"/>
      <c r="M222" s="34"/>
      <c r="N222" s="35"/>
      <c r="O222" s="35"/>
      <c r="P222" s="35"/>
      <c r="Q222" s="35"/>
      <c r="R222" s="35"/>
      <c r="S222" s="35"/>
      <c r="T222" s="35"/>
    </row>
    <row r="223">
      <c r="A223" s="13"/>
      <c r="B223" s="17"/>
      <c r="C223" s="17"/>
      <c r="D223" s="29"/>
      <c r="E223" s="30"/>
      <c r="F223" s="17"/>
      <c r="G223" s="17"/>
      <c r="H223" s="17"/>
      <c r="I223" s="17"/>
      <c r="J223" s="17"/>
      <c r="K223" s="17"/>
      <c r="L223" s="34"/>
      <c r="M223" s="34"/>
      <c r="N223" s="35"/>
      <c r="O223" s="35"/>
      <c r="P223" s="35"/>
      <c r="Q223" s="35"/>
      <c r="R223" s="35"/>
      <c r="S223" s="35"/>
      <c r="T223" s="35"/>
    </row>
    <row r="224">
      <c r="A224" s="13"/>
      <c r="B224" s="17"/>
      <c r="C224" s="17"/>
      <c r="D224" s="29"/>
      <c r="E224" s="30"/>
      <c r="F224" s="17"/>
      <c r="G224" s="17"/>
      <c r="H224" s="17"/>
      <c r="I224" s="17"/>
      <c r="J224" s="17"/>
      <c r="K224" s="17"/>
      <c r="L224" s="34"/>
      <c r="M224" s="34"/>
      <c r="N224" s="35"/>
      <c r="O224" s="35"/>
      <c r="P224" s="35"/>
      <c r="Q224" s="35"/>
      <c r="R224" s="35"/>
      <c r="S224" s="35"/>
      <c r="T224" s="35"/>
    </row>
    <row r="225">
      <c r="A225" s="13"/>
      <c r="B225" s="17"/>
      <c r="C225" s="17"/>
      <c r="D225" s="29"/>
      <c r="E225" s="30"/>
      <c r="F225" s="17"/>
      <c r="G225" s="17"/>
      <c r="H225" s="17"/>
      <c r="I225" s="17"/>
      <c r="J225" s="17"/>
      <c r="K225" s="17"/>
      <c r="L225" s="34"/>
      <c r="M225" s="34"/>
      <c r="N225" s="35"/>
      <c r="O225" s="35"/>
      <c r="P225" s="35"/>
      <c r="Q225" s="35"/>
      <c r="R225" s="35"/>
      <c r="S225" s="35"/>
      <c r="T225" s="35"/>
    </row>
    <row r="226">
      <c r="A226" s="13"/>
      <c r="B226" s="17"/>
      <c r="C226" s="17"/>
      <c r="D226" s="29"/>
      <c r="E226" s="30"/>
      <c r="F226" s="17"/>
      <c r="G226" s="17"/>
      <c r="H226" s="17"/>
      <c r="I226" s="17"/>
      <c r="J226" s="17"/>
      <c r="K226" s="17"/>
      <c r="L226" s="34"/>
      <c r="M226" s="34"/>
      <c r="N226" s="35"/>
      <c r="O226" s="35"/>
      <c r="P226" s="35"/>
      <c r="Q226" s="35"/>
      <c r="R226" s="35"/>
      <c r="S226" s="35"/>
      <c r="T226" s="35"/>
    </row>
    <row r="227">
      <c r="A227" s="13"/>
      <c r="B227" s="17"/>
      <c r="C227" s="17"/>
      <c r="D227" s="29"/>
      <c r="E227" s="30"/>
      <c r="F227" s="17"/>
      <c r="G227" s="17"/>
      <c r="H227" s="17"/>
      <c r="I227" s="17"/>
      <c r="J227" s="17"/>
      <c r="K227" s="17"/>
      <c r="L227" s="34"/>
      <c r="M227" s="34"/>
      <c r="N227" s="35"/>
      <c r="O227" s="35"/>
      <c r="P227" s="35"/>
      <c r="Q227" s="35"/>
      <c r="R227" s="35"/>
      <c r="S227" s="35"/>
      <c r="T227" s="35"/>
    </row>
    <row r="228">
      <c r="A228" s="13"/>
      <c r="B228" s="17"/>
      <c r="C228" s="17"/>
      <c r="D228" s="29"/>
      <c r="E228" s="30"/>
      <c r="F228" s="17"/>
      <c r="G228" s="17"/>
      <c r="H228" s="17"/>
      <c r="I228" s="17"/>
      <c r="J228" s="17"/>
      <c r="K228" s="17"/>
      <c r="L228" s="34"/>
      <c r="M228" s="34"/>
      <c r="N228" s="35"/>
      <c r="O228" s="35"/>
      <c r="P228" s="35"/>
      <c r="Q228" s="35"/>
      <c r="R228" s="35"/>
      <c r="S228" s="35"/>
      <c r="T228" s="35"/>
    </row>
    <row r="229">
      <c r="A229" s="13"/>
      <c r="B229" s="17"/>
      <c r="C229" s="17"/>
      <c r="D229" s="29"/>
      <c r="E229" s="30"/>
      <c r="F229" s="17"/>
      <c r="G229" s="17"/>
      <c r="H229" s="17"/>
      <c r="I229" s="17"/>
      <c r="J229" s="17"/>
      <c r="K229" s="17"/>
      <c r="L229" s="34"/>
      <c r="M229" s="34"/>
      <c r="N229" s="35"/>
      <c r="O229" s="35"/>
      <c r="P229" s="35"/>
      <c r="Q229" s="35"/>
      <c r="R229" s="35"/>
      <c r="S229" s="35"/>
      <c r="T229" s="35"/>
    </row>
    <row r="230">
      <c r="A230" s="13"/>
      <c r="B230" s="17"/>
      <c r="C230" s="17"/>
      <c r="D230" s="29"/>
      <c r="E230" s="30"/>
      <c r="F230" s="17"/>
      <c r="G230" s="17"/>
      <c r="H230" s="17"/>
      <c r="I230" s="17"/>
      <c r="J230" s="17"/>
      <c r="K230" s="17"/>
      <c r="L230" s="34"/>
      <c r="M230" s="34"/>
      <c r="N230" s="35"/>
      <c r="O230" s="35"/>
      <c r="P230" s="35"/>
      <c r="Q230" s="35"/>
      <c r="R230" s="35"/>
      <c r="S230" s="35"/>
      <c r="T230" s="35"/>
    </row>
    <row r="231">
      <c r="A231" s="13"/>
      <c r="B231" s="17"/>
      <c r="C231" s="17"/>
      <c r="D231" s="29"/>
      <c r="E231" s="30"/>
      <c r="F231" s="17"/>
      <c r="G231" s="17"/>
      <c r="H231" s="17"/>
      <c r="I231" s="17"/>
      <c r="J231" s="17"/>
      <c r="K231" s="17"/>
      <c r="L231" s="34"/>
      <c r="M231" s="34"/>
      <c r="N231" s="35"/>
      <c r="O231" s="35"/>
      <c r="P231" s="35"/>
      <c r="Q231" s="35"/>
      <c r="R231" s="35"/>
      <c r="S231" s="35"/>
      <c r="T231" s="35"/>
    </row>
    <row r="232">
      <c r="A232" s="13"/>
      <c r="B232" s="17"/>
      <c r="C232" s="17"/>
      <c r="D232" s="29"/>
      <c r="E232" s="30"/>
      <c r="F232" s="17"/>
      <c r="G232" s="17"/>
      <c r="H232" s="17"/>
      <c r="I232" s="17"/>
      <c r="J232" s="17"/>
      <c r="K232" s="17"/>
      <c r="L232" s="34"/>
      <c r="M232" s="34"/>
      <c r="N232" s="35"/>
      <c r="O232" s="35"/>
      <c r="P232" s="35"/>
      <c r="Q232" s="35"/>
      <c r="R232" s="35"/>
      <c r="S232" s="35"/>
      <c r="T232" s="35"/>
    </row>
    <row r="233">
      <c r="A233" s="13"/>
      <c r="B233" s="17"/>
      <c r="C233" s="17"/>
      <c r="D233" s="29"/>
      <c r="E233" s="30"/>
      <c r="F233" s="17"/>
      <c r="G233" s="17"/>
      <c r="H233" s="17"/>
      <c r="I233" s="17"/>
      <c r="J233" s="17"/>
      <c r="K233" s="17"/>
      <c r="L233" s="34"/>
      <c r="M233" s="34"/>
      <c r="N233" s="35"/>
      <c r="O233" s="35"/>
      <c r="P233" s="35"/>
      <c r="Q233" s="35"/>
      <c r="R233" s="35"/>
      <c r="S233" s="35"/>
      <c r="T233" s="35"/>
    </row>
    <row r="234">
      <c r="A234" s="13"/>
      <c r="B234" s="17"/>
      <c r="C234" s="17"/>
      <c r="D234" s="29"/>
      <c r="E234" s="30"/>
      <c r="F234" s="17"/>
      <c r="G234" s="17"/>
      <c r="H234" s="17"/>
      <c r="I234" s="17"/>
      <c r="J234" s="17"/>
      <c r="K234" s="17"/>
      <c r="L234" s="34"/>
      <c r="M234" s="34"/>
      <c r="N234" s="35"/>
      <c r="O234" s="35"/>
      <c r="P234" s="35"/>
      <c r="Q234" s="35"/>
      <c r="R234" s="35"/>
      <c r="S234" s="35"/>
      <c r="T234" s="35"/>
    </row>
    <row r="235">
      <c r="A235" s="13"/>
      <c r="B235" s="17"/>
      <c r="C235" s="17"/>
      <c r="D235" s="29"/>
      <c r="E235" s="30"/>
      <c r="F235" s="17"/>
      <c r="G235" s="17"/>
      <c r="H235" s="17"/>
      <c r="I235" s="17"/>
      <c r="J235" s="17"/>
      <c r="K235" s="17"/>
      <c r="L235" s="34"/>
      <c r="M235" s="34"/>
      <c r="N235" s="35"/>
      <c r="O235" s="35"/>
      <c r="P235" s="35"/>
      <c r="Q235" s="35"/>
      <c r="R235" s="35"/>
      <c r="S235" s="35"/>
      <c r="T235" s="35"/>
    </row>
    <row r="236">
      <c r="A236" s="13"/>
      <c r="B236" s="17"/>
      <c r="C236" s="17"/>
      <c r="D236" s="29"/>
      <c r="E236" s="30"/>
      <c r="F236" s="17"/>
      <c r="G236" s="17"/>
      <c r="H236" s="17"/>
      <c r="I236" s="17"/>
      <c r="J236" s="17"/>
      <c r="K236" s="17"/>
      <c r="L236" s="34"/>
      <c r="M236" s="34"/>
      <c r="N236" s="35"/>
      <c r="O236" s="35"/>
      <c r="P236" s="35"/>
      <c r="Q236" s="35"/>
      <c r="R236" s="35"/>
      <c r="S236" s="35"/>
      <c r="T236" s="35"/>
    </row>
    <row r="237">
      <c r="A237" s="13"/>
      <c r="B237" s="17"/>
      <c r="C237" s="17"/>
      <c r="D237" s="29"/>
      <c r="E237" s="30"/>
      <c r="F237" s="17"/>
      <c r="G237" s="17"/>
      <c r="H237" s="17"/>
      <c r="I237" s="17"/>
      <c r="J237" s="17"/>
      <c r="K237" s="17"/>
      <c r="L237" s="34"/>
      <c r="M237" s="34"/>
      <c r="N237" s="35"/>
      <c r="O237" s="35"/>
      <c r="P237" s="35"/>
      <c r="Q237" s="35"/>
      <c r="R237" s="35"/>
      <c r="S237" s="35"/>
      <c r="T237" s="35"/>
    </row>
    <row r="238">
      <c r="A238" s="13"/>
      <c r="B238" s="17"/>
      <c r="C238" s="17"/>
      <c r="D238" s="29"/>
      <c r="E238" s="30"/>
      <c r="F238" s="17"/>
      <c r="G238" s="17"/>
      <c r="H238" s="17"/>
      <c r="I238" s="17"/>
      <c r="J238" s="17"/>
      <c r="K238" s="17"/>
      <c r="L238" s="34"/>
      <c r="M238" s="34"/>
      <c r="N238" s="35"/>
      <c r="O238" s="35"/>
      <c r="P238" s="35"/>
      <c r="Q238" s="35"/>
      <c r="R238" s="35"/>
      <c r="S238" s="35"/>
      <c r="T238" s="35"/>
    </row>
    <row r="239">
      <c r="A239" s="13"/>
      <c r="B239" s="17"/>
      <c r="C239" s="17"/>
      <c r="D239" s="29"/>
      <c r="E239" s="30"/>
      <c r="F239" s="17"/>
      <c r="G239" s="17"/>
      <c r="H239" s="17"/>
      <c r="I239" s="17"/>
      <c r="J239" s="17"/>
      <c r="K239" s="17"/>
      <c r="L239" s="34"/>
      <c r="M239" s="34"/>
      <c r="N239" s="35"/>
      <c r="O239" s="35"/>
      <c r="P239" s="35"/>
      <c r="Q239" s="35"/>
      <c r="R239" s="35"/>
      <c r="S239" s="35"/>
      <c r="T239" s="35"/>
    </row>
    <row r="240">
      <c r="A240" s="13"/>
      <c r="B240" s="17"/>
      <c r="C240" s="17"/>
      <c r="D240" s="29"/>
      <c r="E240" s="30"/>
      <c r="F240" s="17"/>
      <c r="G240" s="17"/>
      <c r="H240" s="17"/>
      <c r="I240" s="17"/>
      <c r="J240" s="17"/>
      <c r="K240" s="17"/>
      <c r="L240" s="34"/>
      <c r="M240" s="34"/>
      <c r="N240" s="35"/>
      <c r="O240" s="35"/>
      <c r="P240" s="35"/>
      <c r="Q240" s="35"/>
      <c r="R240" s="35"/>
      <c r="S240" s="35"/>
      <c r="T240" s="35"/>
    </row>
    <row r="241">
      <c r="A241" s="13"/>
      <c r="B241" s="17"/>
      <c r="C241" s="17"/>
      <c r="D241" s="29"/>
      <c r="E241" s="30"/>
      <c r="F241" s="17"/>
      <c r="G241" s="17"/>
      <c r="H241" s="17"/>
      <c r="I241" s="17"/>
      <c r="J241" s="17"/>
      <c r="K241" s="17"/>
      <c r="L241" s="34"/>
      <c r="M241" s="34"/>
      <c r="N241" s="35"/>
      <c r="O241" s="35"/>
      <c r="P241" s="35"/>
      <c r="Q241" s="35"/>
      <c r="R241" s="35"/>
      <c r="S241" s="35"/>
      <c r="T241" s="35"/>
    </row>
    <row r="242">
      <c r="A242" s="13"/>
      <c r="B242" s="17"/>
      <c r="C242" s="17"/>
      <c r="D242" s="29"/>
      <c r="E242" s="30"/>
      <c r="F242" s="17"/>
      <c r="G242" s="17"/>
      <c r="H242" s="17"/>
      <c r="I242" s="17"/>
      <c r="J242" s="17"/>
      <c r="K242" s="17"/>
      <c r="L242" s="34"/>
      <c r="M242" s="34"/>
      <c r="N242" s="35"/>
      <c r="O242" s="35"/>
      <c r="P242" s="35"/>
      <c r="Q242" s="35"/>
      <c r="R242" s="35"/>
      <c r="S242" s="35"/>
      <c r="T242" s="35"/>
    </row>
    <row r="243">
      <c r="A243" s="13"/>
      <c r="B243" s="17"/>
      <c r="C243" s="17"/>
      <c r="D243" s="29"/>
      <c r="E243" s="30"/>
      <c r="F243" s="17"/>
      <c r="G243" s="17"/>
      <c r="H243" s="17"/>
      <c r="I243" s="17"/>
      <c r="J243" s="17"/>
      <c r="K243" s="17"/>
      <c r="L243" s="34"/>
      <c r="M243" s="34"/>
      <c r="N243" s="35"/>
      <c r="O243" s="35"/>
      <c r="P243" s="35"/>
      <c r="Q243" s="35"/>
      <c r="R243" s="35"/>
      <c r="S243" s="35"/>
      <c r="T243" s="35"/>
    </row>
    <row r="244">
      <c r="A244" s="13"/>
      <c r="B244" s="17"/>
      <c r="C244" s="17"/>
      <c r="D244" s="29"/>
      <c r="E244" s="30"/>
      <c r="F244" s="17"/>
      <c r="G244" s="17"/>
      <c r="H244" s="17"/>
      <c r="I244" s="17"/>
      <c r="J244" s="17"/>
      <c r="K244" s="17"/>
      <c r="L244" s="34"/>
      <c r="M244" s="34"/>
      <c r="N244" s="35"/>
      <c r="O244" s="35"/>
      <c r="P244" s="35"/>
      <c r="Q244" s="35"/>
      <c r="R244" s="35"/>
      <c r="S244" s="35"/>
      <c r="T244" s="35"/>
    </row>
    <row r="245">
      <c r="A245" s="13"/>
      <c r="B245" s="17"/>
      <c r="C245" s="17"/>
      <c r="D245" s="29"/>
      <c r="E245" s="30"/>
      <c r="F245" s="17"/>
      <c r="G245" s="17"/>
      <c r="H245" s="17"/>
      <c r="I245" s="17"/>
      <c r="J245" s="17"/>
      <c r="K245" s="17"/>
      <c r="L245" s="34"/>
      <c r="M245" s="34"/>
      <c r="N245" s="35"/>
      <c r="O245" s="35"/>
      <c r="P245" s="35"/>
      <c r="Q245" s="35"/>
      <c r="R245" s="35"/>
      <c r="S245" s="35"/>
      <c r="T245" s="35"/>
    </row>
    <row r="246">
      <c r="A246" s="13"/>
      <c r="B246" s="17"/>
      <c r="C246" s="17"/>
      <c r="D246" s="29"/>
      <c r="E246" s="30"/>
      <c r="F246" s="17"/>
      <c r="G246" s="17"/>
      <c r="H246" s="17"/>
      <c r="I246" s="17"/>
      <c r="J246" s="17"/>
      <c r="K246" s="17"/>
      <c r="L246" s="34"/>
      <c r="M246" s="34"/>
      <c r="N246" s="35"/>
      <c r="O246" s="35"/>
      <c r="P246" s="35"/>
      <c r="Q246" s="35"/>
      <c r="R246" s="35"/>
      <c r="S246" s="35"/>
      <c r="T246" s="35"/>
    </row>
    <row r="247">
      <c r="A247" s="13"/>
      <c r="B247" s="17"/>
      <c r="C247" s="17"/>
      <c r="D247" s="29"/>
      <c r="E247" s="30"/>
      <c r="F247" s="17"/>
      <c r="G247" s="17"/>
      <c r="H247" s="17"/>
      <c r="I247" s="17"/>
      <c r="J247" s="17"/>
      <c r="K247" s="17"/>
      <c r="L247" s="34"/>
      <c r="M247" s="34"/>
      <c r="N247" s="35"/>
      <c r="O247" s="35"/>
      <c r="P247" s="35"/>
      <c r="Q247" s="35"/>
      <c r="R247" s="35"/>
      <c r="S247" s="35"/>
      <c r="T247" s="35"/>
    </row>
    <row r="248">
      <c r="A248" s="13"/>
      <c r="B248" s="17"/>
      <c r="C248" s="17"/>
      <c r="D248" s="29"/>
      <c r="E248" s="30"/>
      <c r="F248" s="17"/>
      <c r="G248" s="17"/>
      <c r="H248" s="17"/>
      <c r="I248" s="17"/>
      <c r="J248" s="17"/>
      <c r="K248" s="17"/>
      <c r="L248" s="34"/>
      <c r="M248" s="34"/>
      <c r="N248" s="35"/>
      <c r="O248" s="35"/>
      <c r="P248" s="35"/>
      <c r="Q248" s="35"/>
      <c r="R248" s="35"/>
      <c r="S248" s="35"/>
      <c r="T248" s="35"/>
    </row>
    <row r="249">
      <c r="A249" s="13"/>
      <c r="B249" s="17"/>
      <c r="C249" s="17"/>
      <c r="D249" s="29"/>
      <c r="E249" s="30"/>
      <c r="F249" s="17"/>
      <c r="G249" s="17"/>
      <c r="H249" s="17"/>
      <c r="I249" s="17"/>
      <c r="J249" s="17"/>
      <c r="K249" s="17"/>
      <c r="L249" s="34"/>
      <c r="M249" s="34"/>
      <c r="N249" s="35"/>
      <c r="O249" s="35"/>
      <c r="P249" s="35"/>
      <c r="Q249" s="35"/>
      <c r="R249" s="35"/>
      <c r="S249" s="35"/>
      <c r="T249" s="35"/>
    </row>
    <row r="250">
      <c r="A250" s="13"/>
      <c r="B250" s="17"/>
      <c r="C250" s="17"/>
      <c r="D250" s="29"/>
      <c r="E250" s="30"/>
      <c r="F250" s="17"/>
      <c r="G250" s="17"/>
      <c r="H250" s="17"/>
      <c r="I250" s="17"/>
      <c r="J250" s="17"/>
      <c r="K250" s="17"/>
      <c r="L250" s="34"/>
      <c r="M250" s="34"/>
      <c r="N250" s="35"/>
      <c r="O250" s="35"/>
      <c r="P250" s="35"/>
      <c r="Q250" s="35"/>
      <c r="R250" s="35"/>
      <c r="S250" s="35"/>
      <c r="T250" s="35"/>
    </row>
    <row r="251">
      <c r="A251" s="13"/>
      <c r="B251" s="17"/>
      <c r="C251" s="17"/>
      <c r="D251" s="29"/>
      <c r="E251" s="30"/>
      <c r="F251" s="17"/>
      <c r="G251" s="17"/>
      <c r="H251" s="17"/>
      <c r="I251" s="17"/>
      <c r="J251" s="17"/>
      <c r="K251" s="17"/>
      <c r="L251" s="34"/>
      <c r="M251" s="34"/>
      <c r="N251" s="35"/>
      <c r="O251" s="35"/>
      <c r="P251" s="35"/>
      <c r="Q251" s="35"/>
      <c r="R251" s="35"/>
      <c r="S251" s="35"/>
      <c r="T251" s="35"/>
    </row>
    <row r="252">
      <c r="A252" s="13"/>
      <c r="B252" s="17"/>
      <c r="C252" s="17"/>
      <c r="D252" s="29"/>
      <c r="E252" s="30"/>
      <c r="F252" s="17"/>
      <c r="G252" s="17"/>
      <c r="H252" s="17"/>
      <c r="I252" s="17"/>
      <c r="J252" s="17"/>
      <c r="K252" s="17"/>
      <c r="L252" s="34"/>
      <c r="M252" s="34"/>
      <c r="N252" s="35"/>
      <c r="O252" s="35"/>
      <c r="P252" s="35"/>
      <c r="Q252" s="35"/>
      <c r="R252" s="35"/>
      <c r="S252" s="35"/>
      <c r="T252" s="35"/>
    </row>
    <row r="253">
      <c r="A253" s="13"/>
      <c r="B253" s="17"/>
      <c r="C253" s="17"/>
      <c r="D253" s="29"/>
      <c r="E253" s="30"/>
      <c r="F253" s="17"/>
      <c r="G253" s="17"/>
      <c r="H253" s="17"/>
      <c r="I253" s="17"/>
      <c r="J253" s="17"/>
      <c r="K253" s="17"/>
      <c r="L253" s="34"/>
      <c r="M253" s="34"/>
      <c r="N253" s="35"/>
      <c r="O253" s="35"/>
      <c r="P253" s="35"/>
      <c r="Q253" s="35"/>
      <c r="R253" s="35"/>
      <c r="S253" s="35"/>
      <c r="T253" s="35"/>
    </row>
    <row r="254">
      <c r="A254" s="13"/>
      <c r="B254" s="17"/>
      <c r="C254" s="17"/>
      <c r="D254" s="29"/>
      <c r="E254" s="30"/>
      <c r="F254" s="17"/>
      <c r="G254" s="17"/>
      <c r="H254" s="17"/>
      <c r="I254" s="17"/>
      <c r="J254" s="17"/>
      <c r="K254" s="17"/>
      <c r="L254" s="34"/>
      <c r="M254" s="34"/>
      <c r="N254" s="35"/>
      <c r="O254" s="35"/>
      <c r="P254" s="35"/>
      <c r="Q254" s="35"/>
      <c r="R254" s="35"/>
      <c r="S254" s="35"/>
      <c r="T254" s="35"/>
    </row>
    <row r="255">
      <c r="A255" s="13"/>
      <c r="B255" s="17"/>
      <c r="C255" s="17"/>
      <c r="D255" s="29"/>
      <c r="E255" s="30"/>
      <c r="F255" s="17"/>
      <c r="G255" s="17"/>
      <c r="H255" s="17"/>
      <c r="I255" s="17"/>
      <c r="J255" s="17"/>
      <c r="K255" s="17"/>
      <c r="L255" s="34"/>
      <c r="M255" s="34"/>
      <c r="N255" s="35"/>
      <c r="O255" s="35"/>
      <c r="P255" s="35"/>
      <c r="Q255" s="35"/>
      <c r="R255" s="35"/>
      <c r="S255" s="35"/>
      <c r="T255" s="35"/>
    </row>
    <row r="256">
      <c r="A256" s="13"/>
      <c r="B256" s="17"/>
      <c r="C256" s="17"/>
      <c r="D256" s="29"/>
      <c r="E256" s="30"/>
      <c r="F256" s="17"/>
      <c r="G256" s="17"/>
      <c r="H256" s="17"/>
      <c r="I256" s="17"/>
      <c r="J256" s="17"/>
      <c r="K256" s="17"/>
      <c r="L256" s="34"/>
      <c r="M256" s="34"/>
      <c r="N256" s="35"/>
      <c r="O256" s="35"/>
      <c r="P256" s="35"/>
      <c r="Q256" s="35"/>
      <c r="R256" s="35"/>
      <c r="S256" s="35"/>
      <c r="T256" s="35"/>
    </row>
    <row r="257">
      <c r="A257" s="13"/>
      <c r="B257" s="17"/>
      <c r="C257" s="17"/>
      <c r="D257" s="29"/>
      <c r="E257" s="30"/>
      <c r="F257" s="17"/>
      <c r="G257" s="17"/>
      <c r="H257" s="17"/>
      <c r="I257" s="17"/>
      <c r="J257" s="17"/>
      <c r="K257" s="17"/>
      <c r="L257" s="34"/>
      <c r="M257" s="34"/>
      <c r="N257" s="35"/>
      <c r="O257" s="35"/>
      <c r="P257" s="35"/>
      <c r="Q257" s="35"/>
      <c r="R257" s="35"/>
      <c r="S257" s="35"/>
      <c r="T257" s="35"/>
    </row>
    <row r="258">
      <c r="A258" s="13"/>
      <c r="B258" s="17"/>
      <c r="C258" s="17"/>
      <c r="D258" s="29"/>
      <c r="E258" s="30"/>
      <c r="F258" s="17"/>
      <c r="G258" s="17"/>
      <c r="H258" s="17"/>
      <c r="I258" s="17"/>
      <c r="J258" s="17"/>
      <c r="K258" s="17"/>
      <c r="L258" s="34"/>
      <c r="M258" s="34"/>
      <c r="N258" s="35"/>
      <c r="O258" s="35"/>
      <c r="P258" s="35"/>
      <c r="Q258" s="35"/>
      <c r="R258" s="35"/>
      <c r="S258" s="35"/>
      <c r="T258" s="35"/>
    </row>
    <row r="259">
      <c r="A259" s="13"/>
      <c r="B259" s="17"/>
      <c r="C259" s="17"/>
      <c r="D259" s="29"/>
      <c r="E259" s="30"/>
      <c r="F259" s="17"/>
      <c r="G259" s="17"/>
      <c r="H259" s="17"/>
      <c r="I259" s="17"/>
      <c r="J259" s="17"/>
      <c r="K259" s="17"/>
      <c r="L259" s="34"/>
      <c r="M259" s="34"/>
      <c r="N259" s="35"/>
      <c r="O259" s="35"/>
      <c r="P259" s="35"/>
      <c r="Q259" s="35"/>
      <c r="R259" s="35"/>
      <c r="S259" s="35"/>
      <c r="T259" s="35"/>
    </row>
    <row r="260">
      <c r="A260" s="13"/>
      <c r="B260" s="17"/>
      <c r="C260" s="17"/>
      <c r="D260" s="29"/>
      <c r="E260" s="30"/>
      <c r="F260" s="17"/>
      <c r="G260" s="17"/>
      <c r="H260" s="17"/>
      <c r="I260" s="17"/>
      <c r="J260" s="17"/>
      <c r="K260" s="17"/>
      <c r="L260" s="34"/>
      <c r="M260" s="34"/>
      <c r="N260" s="35"/>
      <c r="O260" s="35"/>
      <c r="P260" s="35"/>
      <c r="Q260" s="35"/>
      <c r="R260" s="35"/>
      <c r="S260" s="35"/>
      <c r="T260" s="35"/>
    </row>
    <row r="261">
      <c r="A261" s="13"/>
      <c r="B261" s="17"/>
      <c r="C261" s="17"/>
      <c r="D261" s="29"/>
      <c r="E261" s="30"/>
      <c r="F261" s="17"/>
      <c r="G261" s="17"/>
      <c r="H261" s="17"/>
      <c r="I261" s="17"/>
      <c r="J261" s="17"/>
      <c r="K261" s="17"/>
      <c r="L261" s="34"/>
      <c r="M261" s="34"/>
      <c r="N261" s="35"/>
      <c r="O261" s="35"/>
      <c r="P261" s="35"/>
      <c r="Q261" s="35"/>
      <c r="R261" s="35"/>
      <c r="S261" s="35"/>
      <c r="T261" s="35"/>
    </row>
    <row r="262">
      <c r="A262" s="13"/>
      <c r="B262" s="17"/>
      <c r="C262" s="17"/>
      <c r="D262" s="29"/>
      <c r="E262" s="30"/>
      <c r="F262" s="17"/>
      <c r="G262" s="17"/>
      <c r="H262" s="17"/>
      <c r="I262" s="17"/>
      <c r="J262" s="17"/>
      <c r="K262" s="17"/>
      <c r="L262" s="34"/>
      <c r="M262" s="34"/>
      <c r="N262" s="35"/>
      <c r="O262" s="35"/>
      <c r="P262" s="35"/>
      <c r="Q262" s="35"/>
      <c r="R262" s="35"/>
      <c r="S262" s="35"/>
      <c r="T262" s="35"/>
    </row>
    <row r="263">
      <c r="A263" s="13"/>
      <c r="B263" s="17"/>
      <c r="C263" s="17"/>
      <c r="D263" s="29"/>
      <c r="E263" s="30"/>
      <c r="F263" s="17"/>
      <c r="G263" s="17"/>
      <c r="H263" s="17"/>
      <c r="I263" s="17"/>
      <c r="J263" s="17"/>
      <c r="K263" s="17"/>
      <c r="L263" s="34"/>
      <c r="M263" s="34"/>
      <c r="N263" s="35"/>
      <c r="O263" s="35"/>
      <c r="P263" s="35"/>
      <c r="Q263" s="35"/>
      <c r="R263" s="35"/>
      <c r="S263" s="35"/>
      <c r="T263" s="35"/>
    </row>
    <row r="264">
      <c r="A264" s="13"/>
      <c r="B264" s="17"/>
      <c r="C264" s="17"/>
      <c r="D264" s="29"/>
      <c r="E264" s="30"/>
      <c r="F264" s="17"/>
      <c r="G264" s="17"/>
      <c r="H264" s="17"/>
      <c r="I264" s="17"/>
      <c r="J264" s="17"/>
      <c r="K264" s="17"/>
      <c r="L264" s="34"/>
      <c r="M264" s="34"/>
      <c r="N264" s="35"/>
      <c r="O264" s="35"/>
      <c r="P264" s="35"/>
      <c r="Q264" s="35"/>
      <c r="R264" s="35"/>
      <c r="S264" s="35"/>
      <c r="T264" s="35"/>
    </row>
    <row r="265">
      <c r="A265" s="13"/>
      <c r="B265" s="17"/>
      <c r="C265" s="17"/>
      <c r="D265" s="29"/>
      <c r="E265" s="30"/>
      <c r="F265" s="17"/>
      <c r="G265" s="17"/>
      <c r="H265" s="17"/>
      <c r="I265" s="17"/>
      <c r="J265" s="17"/>
      <c r="K265" s="17"/>
      <c r="L265" s="34"/>
      <c r="M265" s="34"/>
      <c r="N265" s="35"/>
      <c r="O265" s="35"/>
      <c r="P265" s="35"/>
      <c r="Q265" s="35"/>
      <c r="R265" s="35"/>
      <c r="S265" s="35"/>
      <c r="T265" s="35"/>
    </row>
    <row r="266">
      <c r="A266" s="13"/>
      <c r="B266" s="17"/>
      <c r="C266" s="17"/>
      <c r="D266" s="29"/>
      <c r="E266" s="30"/>
      <c r="F266" s="17"/>
      <c r="G266" s="17"/>
      <c r="H266" s="17"/>
      <c r="I266" s="17"/>
      <c r="J266" s="17"/>
      <c r="K266" s="17"/>
      <c r="L266" s="34"/>
      <c r="M266" s="34"/>
      <c r="N266" s="35"/>
      <c r="O266" s="35"/>
      <c r="P266" s="35"/>
      <c r="Q266" s="35"/>
      <c r="R266" s="35"/>
      <c r="S266" s="35"/>
      <c r="T266" s="35"/>
    </row>
    <row r="267">
      <c r="A267" s="13"/>
      <c r="B267" s="17"/>
      <c r="C267" s="17"/>
      <c r="D267" s="29"/>
      <c r="E267" s="30"/>
      <c r="F267" s="17"/>
      <c r="G267" s="17"/>
      <c r="H267" s="17"/>
      <c r="I267" s="17"/>
      <c r="J267" s="17"/>
      <c r="K267" s="17"/>
      <c r="L267" s="34"/>
      <c r="M267" s="34"/>
      <c r="N267" s="35"/>
      <c r="O267" s="35"/>
      <c r="P267" s="35"/>
      <c r="Q267" s="35"/>
      <c r="R267" s="35"/>
      <c r="S267" s="35"/>
      <c r="T267" s="35"/>
    </row>
    <row r="268">
      <c r="A268" s="13"/>
      <c r="B268" s="17"/>
      <c r="C268" s="17"/>
      <c r="D268" s="29"/>
      <c r="E268" s="30"/>
      <c r="F268" s="17"/>
      <c r="G268" s="17"/>
      <c r="H268" s="17"/>
      <c r="I268" s="17"/>
      <c r="J268" s="17"/>
      <c r="K268" s="17"/>
      <c r="L268" s="34"/>
      <c r="M268" s="34"/>
      <c r="N268" s="35"/>
      <c r="O268" s="35"/>
      <c r="P268" s="35"/>
      <c r="Q268" s="35"/>
      <c r="R268" s="35"/>
      <c r="S268" s="35"/>
      <c r="T268" s="35"/>
    </row>
    <row r="269">
      <c r="A269" s="13"/>
      <c r="B269" s="17"/>
      <c r="C269" s="17"/>
      <c r="D269" s="29"/>
      <c r="E269" s="30"/>
      <c r="F269" s="17"/>
      <c r="G269" s="17"/>
      <c r="H269" s="17"/>
      <c r="I269" s="17"/>
      <c r="J269" s="17"/>
      <c r="K269" s="17"/>
      <c r="L269" s="34"/>
      <c r="M269" s="34"/>
      <c r="N269" s="35"/>
      <c r="O269" s="35"/>
      <c r="P269" s="35"/>
      <c r="Q269" s="35"/>
      <c r="R269" s="35"/>
      <c r="S269" s="35"/>
      <c r="T269" s="35"/>
    </row>
    <row r="270">
      <c r="A270" s="13"/>
      <c r="B270" s="17"/>
      <c r="C270" s="17"/>
      <c r="D270" s="29"/>
      <c r="E270" s="30"/>
      <c r="F270" s="17"/>
      <c r="G270" s="17"/>
      <c r="H270" s="17"/>
      <c r="I270" s="17"/>
      <c r="J270" s="17"/>
      <c r="K270" s="17"/>
      <c r="L270" s="34"/>
      <c r="M270" s="34"/>
      <c r="N270" s="35"/>
      <c r="O270" s="35"/>
      <c r="P270" s="35"/>
      <c r="Q270" s="35"/>
      <c r="R270" s="35"/>
      <c r="S270" s="35"/>
      <c r="T270" s="35"/>
    </row>
    <row r="271">
      <c r="A271" s="13"/>
      <c r="B271" s="17"/>
      <c r="C271" s="17"/>
      <c r="D271" s="29"/>
      <c r="E271" s="30"/>
      <c r="F271" s="17"/>
      <c r="G271" s="17"/>
      <c r="H271" s="17"/>
      <c r="I271" s="17"/>
      <c r="J271" s="17"/>
      <c r="K271" s="17"/>
      <c r="L271" s="34"/>
      <c r="M271" s="34"/>
      <c r="N271" s="35"/>
      <c r="O271" s="35"/>
      <c r="P271" s="35"/>
      <c r="Q271" s="35"/>
      <c r="R271" s="35"/>
      <c r="S271" s="35"/>
      <c r="T271" s="35"/>
    </row>
    <row r="272">
      <c r="A272" s="13"/>
      <c r="B272" s="17"/>
      <c r="C272" s="17"/>
      <c r="D272" s="29"/>
      <c r="E272" s="30"/>
      <c r="F272" s="17"/>
      <c r="G272" s="17"/>
      <c r="H272" s="17"/>
      <c r="I272" s="17"/>
      <c r="J272" s="17"/>
      <c r="K272" s="17"/>
      <c r="L272" s="34"/>
      <c r="M272" s="34"/>
      <c r="N272" s="35"/>
      <c r="O272" s="35"/>
      <c r="P272" s="35"/>
      <c r="Q272" s="35"/>
      <c r="R272" s="35"/>
      <c r="S272" s="35"/>
      <c r="T272" s="35"/>
    </row>
    <row r="273">
      <c r="A273" s="13"/>
      <c r="B273" s="17"/>
      <c r="C273" s="17"/>
      <c r="D273" s="29"/>
      <c r="E273" s="30"/>
      <c r="F273" s="17"/>
      <c r="G273" s="17"/>
      <c r="H273" s="17"/>
      <c r="I273" s="17"/>
      <c r="J273" s="17"/>
      <c r="K273" s="17"/>
      <c r="L273" s="34"/>
      <c r="M273" s="34"/>
      <c r="N273" s="35"/>
      <c r="O273" s="35"/>
      <c r="P273" s="35"/>
      <c r="Q273" s="35"/>
      <c r="R273" s="35"/>
      <c r="S273" s="35"/>
      <c r="T273" s="35"/>
    </row>
    <row r="274">
      <c r="A274" s="13"/>
      <c r="B274" s="17"/>
      <c r="C274" s="17"/>
      <c r="D274" s="29"/>
      <c r="E274" s="30"/>
      <c r="F274" s="17"/>
      <c r="G274" s="17"/>
      <c r="H274" s="17"/>
      <c r="I274" s="17"/>
      <c r="J274" s="17"/>
      <c r="K274" s="17"/>
      <c r="L274" s="34"/>
      <c r="M274" s="34"/>
      <c r="N274" s="35"/>
      <c r="O274" s="35"/>
      <c r="P274" s="35"/>
      <c r="Q274" s="35"/>
      <c r="R274" s="35"/>
      <c r="S274" s="35"/>
      <c r="T274" s="35"/>
    </row>
    <row r="275">
      <c r="A275" s="13"/>
      <c r="B275" s="17"/>
      <c r="C275" s="17"/>
      <c r="D275" s="29"/>
      <c r="E275" s="30"/>
      <c r="F275" s="17"/>
      <c r="G275" s="17"/>
      <c r="H275" s="17"/>
      <c r="I275" s="17"/>
      <c r="J275" s="17"/>
      <c r="K275" s="17"/>
      <c r="L275" s="34"/>
      <c r="M275" s="34"/>
      <c r="N275" s="35"/>
      <c r="O275" s="35"/>
      <c r="P275" s="35"/>
      <c r="Q275" s="35"/>
      <c r="R275" s="35"/>
      <c r="S275" s="35"/>
      <c r="T275" s="35"/>
    </row>
    <row r="276">
      <c r="A276" s="13"/>
      <c r="B276" s="17"/>
      <c r="C276" s="17"/>
      <c r="D276" s="29"/>
      <c r="E276" s="30"/>
      <c r="F276" s="17"/>
      <c r="G276" s="17"/>
      <c r="H276" s="17"/>
      <c r="I276" s="17"/>
      <c r="J276" s="17"/>
      <c r="K276" s="17"/>
      <c r="L276" s="34"/>
      <c r="M276" s="34"/>
      <c r="N276" s="35"/>
      <c r="O276" s="35"/>
      <c r="P276" s="35"/>
      <c r="Q276" s="35"/>
      <c r="R276" s="35"/>
      <c r="S276" s="35"/>
      <c r="T276" s="35"/>
    </row>
    <row r="277">
      <c r="A277" s="13"/>
      <c r="B277" s="17"/>
      <c r="C277" s="17"/>
      <c r="D277" s="29"/>
      <c r="E277" s="30"/>
      <c r="F277" s="17"/>
      <c r="G277" s="17"/>
      <c r="H277" s="17"/>
      <c r="I277" s="17"/>
      <c r="J277" s="17"/>
      <c r="K277" s="17"/>
      <c r="L277" s="34"/>
      <c r="M277" s="34"/>
      <c r="N277" s="35"/>
      <c r="O277" s="35"/>
      <c r="P277" s="35"/>
      <c r="Q277" s="35"/>
      <c r="R277" s="35"/>
      <c r="S277" s="35"/>
      <c r="T277" s="35"/>
    </row>
    <row r="278">
      <c r="A278" s="13"/>
      <c r="B278" s="17"/>
      <c r="C278" s="17"/>
      <c r="D278" s="29"/>
      <c r="E278" s="30"/>
      <c r="F278" s="17"/>
      <c r="G278" s="17"/>
      <c r="H278" s="17"/>
      <c r="I278" s="17"/>
      <c r="J278" s="17"/>
      <c r="K278" s="17"/>
      <c r="L278" s="34"/>
      <c r="M278" s="34"/>
      <c r="N278" s="35"/>
      <c r="O278" s="35"/>
      <c r="P278" s="35"/>
      <c r="Q278" s="35"/>
      <c r="R278" s="35"/>
      <c r="S278" s="35"/>
      <c r="T278" s="35"/>
    </row>
    <row r="279">
      <c r="A279" s="13"/>
      <c r="B279" s="17"/>
      <c r="C279" s="17"/>
      <c r="D279" s="29"/>
      <c r="E279" s="30"/>
      <c r="F279" s="17"/>
      <c r="G279" s="17"/>
      <c r="H279" s="17"/>
      <c r="I279" s="17"/>
      <c r="J279" s="17"/>
      <c r="K279" s="17"/>
      <c r="L279" s="34"/>
      <c r="M279" s="34"/>
      <c r="N279" s="35"/>
      <c r="O279" s="35"/>
      <c r="P279" s="35"/>
      <c r="Q279" s="35"/>
      <c r="R279" s="35"/>
      <c r="S279" s="35"/>
      <c r="T279" s="35"/>
    </row>
    <row r="280">
      <c r="A280" s="13"/>
      <c r="B280" s="17"/>
      <c r="C280" s="17"/>
      <c r="D280" s="29"/>
      <c r="E280" s="30"/>
      <c r="F280" s="17"/>
      <c r="G280" s="17"/>
      <c r="H280" s="17"/>
      <c r="I280" s="17"/>
      <c r="J280" s="17"/>
      <c r="K280" s="17"/>
      <c r="L280" s="34"/>
      <c r="M280" s="34"/>
      <c r="N280" s="35"/>
      <c r="O280" s="35"/>
      <c r="P280" s="35"/>
      <c r="Q280" s="35"/>
      <c r="R280" s="35"/>
      <c r="S280" s="35"/>
      <c r="T280" s="35"/>
    </row>
    <row r="281">
      <c r="A281" s="13"/>
      <c r="B281" s="17"/>
      <c r="C281" s="17"/>
      <c r="D281" s="29"/>
      <c r="E281" s="30"/>
      <c r="F281" s="17"/>
      <c r="G281" s="17"/>
      <c r="H281" s="17"/>
      <c r="I281" s="17"/>
      <c r="J281" s="17"/>
      <c r="K281" s="17"/>
      <c r="L281" s="34"/>
      <c r="M281" s="34"/>
      <c r="N281" s="35"/>
      <c r="O281" s="35"/>
      <c r="P281" s="35"/>
      <c r="Q281" s="35"/>
      <c r="R281" s="35"/>
      <c r="S281" s="35"/>
      <c r="T281" s="35"/>
    </row>
    <row r="282">
      <c r="A282" s="13"/>
      <c r="B282" s="17"/>
      <c r="C282" s="17"/>
      <c r="D282" s="29"/>
      <c r="E282" s="30"/>
      <c r="F282" s="17"/>
      <c r="G282" s="17"/>
      <c r="H282" s="17"/>
      <c r="I282" s="17"/>
      <c r="J282" s="17"/>
      <c r="K282" s="17"/>
      <c r="L282" s="34"/>
      <c r="M282" s="34"/>
      <c r="N282" s="35"/>
      <c r="O282" s="35"/>
      <c r="P282" s="35"/>
      <c r="Q282" s="35"/>
      <c r="R282" s="35"/>
      <c r="S282" s="35"/>
      <c r="T282" s="35"/>
    </row>
    <row r="283">
      <c r="A283" s="13"/>
      <c r="B283" s="17"/>
      <c r="C283" s="17"/>
      <c r="D283" s="29"/>
      <c r="E283" s="30"/>
      <c r="F283" s="17"/>
      <c r="G283" s="17"/>
      <c r="H283" s="17"/>
      <c r="I283" s="17"/>
      <c r="J283" s="17"/>
      <c r="K283" s="17"/>
      <c r="L283" s="34"/>
      <c r="M283" s="34"/>
      <c r="N283" s="35"/>
      <c r="O283" s="35"/>
      <c r="P283" s="35"/>
      <c r="Q283" s="35"/>
      <c r="R283" s="35"/>
      <c r="S283" s="35"/>
      <c r="T283" s="35"/>
    </row>
    <row r="284">
      <c r="A284" s="13"/>
      <c r="B284" s="17"/>
      <c r="C284" s="17"/>
      <c r="D284" s="29"/>
      <c r="E284" s="30"/>
      <c r="F284" s="17"/>
      <c r="G284" s="17"/>
      <c r="H284" s="17"/>
      <c r="I284" s="17"/>
      <c r="J284" s="17"/>
      <c r="K284" s="17"/>
      <c r="L284" s="34"/>
      <c r="M284" s="34"/>
      <c r="N284" s="35"/>
      <c r="O284" s="35"/>
      <c r="P284" s="35"/>
      <c r="Q284" s="35"/>
      <c r="R284" s="35"/>
      <c r="S284" s="35"/>
      <c r="T284" s="35"/>
    </row>
    <row r="285">
      <c r="A285" s="13"/>
      <c r="B285" s="17"/>
      <c r="C285" s="17"/>
      <c r="D285" s="29"/>
      <c r="E285" s="30"/>
      <c r="F285" s="17"/>
      <c r="G285" s="17"/>
      <c r="H285" s="17"/>
      <c r="I285" s="17"/>
      <c r="J285" s="17"/>
      <c r="K285" s="17"/>
      <c r="L285" s="34"/>
      <c r="M285" s="34"/>
      <c r="N285" s="35"/>
      <c r="O285" s="35"/>
      <c r="P285" s="35"/>
      <c r="Q285" s="35"/>
      <c r="R285" s="35"/>
      <c r="S285" s="35"/>
      <c r="T285" s="35"/>
    </row>
    <row r="286">
      <c r="A286" s="13"/>
      <c r="B286" s="17"/>
      <c r="C286" s="17"/>
      <c r="D286" s="29"/>
      <c r="E286" s="30"/>
      <c r="F286" s="17"/>
      <c r="G286" s="17"/>
      <c r="H286" s="17"/>
      <c r="I286" s="17"/>
      <c r="J286" s="17"/>
      <c r="K286" s="17"/>
      <c r="L286" s="34"/>
      <c r="M286" s="34"/>
      <c r="N286" s="35"/>
      <c r="O286" s="35"/>
      <c r="P286" s="35"/>
      <c r="Q286" s="35"/>
      <c r="R286" s="35"/>
      <c r="S286" s="35"/>
      <c r="T286" s="35"/>
    </row>
    <row r="287">
      <c r="A287" s="13"/>
      <c r="B287" s="17"/>
      <c r="C287" s="17"/>
      <c r="D287" s="29"/>
      <c r="E287" s="30"/>
      <c r="F287" s="17"/>
      <c r="G287" s="17"/>
      <c r="H287" s="17"/>
      <c r="I287" s="17"/>
      <c r="J287" s="17"/>
      <c r="K287" s="17"/>
      <c r="L287" s="34"/>
      <c r="M287" s="34"/>
      <c r="N287" s="35"/>
      <c r="O287" s="35"/>
      <c r="P287" s="35"/>
      <c r="Q287" s="35"/>
      <c r="R287" s="35"/>
      <c r="S287" s="35"/>
      <c r="T287" s="35"/>
    </row>
    <row r="288">
      <c r="A288" s="13"/>
      <c r="B288" s="17"/>
      <c r="C288" s="17"/>
      <c r="D288" s="29"/>
      <c r="E288" s="30"/>
      <c r="F288" s="17"/>
      <c r="G288" s="17"/>
      <c r="H288" s="17"/>
      <c r="I288" s="17"/>
      <c r="J288" s="17"/>
      <c r="K288" s="17"/>
      <c r="L288" s="34"/>
      <c r="M288" s="34"/>
      <c r="N288" s="35"/>
      <c r="O288" s="35"/>
      <c r="P288" s="35"/>
      <c r="Q288" s="35"/>
      <c r="R288" s="35"/>
      <c r="S288" s="35"/>
      <c r="T288" s="35"/>
    </row>
    <row r="289">
      <c r="A289" s="13"/>
      <c r="B289" s="17"/>
      <c r="C289" s="17"/>
      <c r="D289" s="29"/>
      <c r="E289" s="30"/>
      <c r="F289" s="17"/>
      <c r="G289" s="17"/>
      <c r="H289" s="17"/>
      <c r="I289" s="17"/>
      <c r="J289" s="17"/>
      <c r="K289" s="17"/>
      <c r="L289" s="34"/>
      <c r="M289" s="34"/>
      <c r="N289" s="35"/>
      <c r="O289" s="35"/>
      <c r="P289" s="35"/>
      <c r="Q289" s="35"/>
      <c r="R289" s="35"/>
      <c r="S289" s="35"/>
      <c r="T289" s="35"/>
    </row>
    <row r="290">
      <c r="A290" s="13"/>
      <c r="B290" s="17"/>
      <c r="C290" s="17"/>
      <c r="D290" s="29"/>
      <c r="E290" s="30"/>
      <c r="F290" s="17"/>
      <c r="G290" s="17"/>
      <c r="H290" s="17"/>
      <c r="I290" s="17"/>
      <c r="J290" s="17"/>
      <c r="K290" s="17"/>
      <c r="L290" s="34"/>
      <c r="M290" s="34"/>
      <c r="N290" s="35"/>
      <c r="O290" s="35"/>
      <c r="P290" s="35"/>
      <c r="Q290" s="35"/>
      <c r="R290" s="35"/>
      <c r="S290" s="35"/>
      <c r="T290" s="35"/>
    </row>
    <row r="291">
      <c r="A291" s="13"/>
      <c r="B291" s="17"/>
      <c r="C291" s="17"/>
      <c r="D291" s="29"/>
      <c r="E291" s="30"/>
      <c r="F291" s="17"/>
      <c r="G291" s="17"/>
      <c r="H291" s="17"/>
      <c r="I291" s="17"/>
      <c r="J291" s="17"/>
      <c r="K291" s="17"/>
      <c r="L291" s="34"/>
      <c r="M291" s="34"/>
      <c r="N291" s="35"/>
      <c r="O291" s="35"/>
      <c r="P291" s="35"/>
      <c r="Q291" s="35"/>
      <c r="R291" s="35"/>
      <c r="S291" s="35"/>
      <c r="T291" s="35"/>
    </row>
    <row r="292">
      <c r="A292" s="13"/>
      <c r="B292" s="17"/>
      <c r="C292" s="17"/>
      <c r="D292" s="29"/>
      <c r="E292" s="30"/>
      <c r="F292" s="17"/>
      <c r="G292" s="17"/>
      <c r="H292" s="17"/>
      <c r="I292" s="17"/>
      <c r="J292" s="17"/>
      <c r="K292" s="17"/>
      <c r="L292" s="34"/>
      <c r="M292" s="34"/>
      <c r="N292" s="35"/>
      <c r="O292" s="35"/>
      <c r="P292" s="35"/>
      <c r="Q292" s="35"/>
      <c r="R292" s="35"/>
      <c r="S292" s="35"/>
      <c r="T292" s="35"/>
    </row>
    <row r="293">
      <c r="A293" s="13"/>
      <c r="B293" s="17"/>
      <c r="C293" s="17"/>
      <c r="D293" s="29"/>
      <c r="E293" s="30"/>
      <c r="F293" s="17"/>
      <c r="G293" s="17"/>
      <c r="H293" s="17"/>
      <c r="I293" s="17"/>
      <c r="J293" s="17"/>
      <c r="K293" s="17"/>
      <c r="L293" s="34"/>
      <c r="M293" s="34"/>
      <c r="N293" s="35"/>
      <c r="O293" s="35"/>
      <c r="P293" s="35"/>
      <c r="Q293" s="35"/>
      <c r="R293" s="35"/>
      <c r="S293" s="35"/>
      <c r="T293" s="35"/>
    </row>
    <row r="294">
      <c r="A294" s="13"/>
      <c r="B294" s="17"/>
      <c r="C294" s="17"/>
      <c r="D294" s="29"/>
      <c r="E294" s="30"/>
      <c r="F294" s="17"/>
      <c r="G294" s="17"/>
      <c r="H294" s="17"/>
      <c r="I294" s="17"/>
      <c r="J294" s="17"/>
      <c r="K294" s="17"/>
      <c r="L294" s="34"/>
      <c r="M294" s="34"/>
      <c r="N294" s="35"/>
      <c r="O294" s="35"/>
      <c r="P294" s="35"/>
      <c r="Q294" s="35"/>
      <c r="R294" s="35"/>
      <c r="S294" s="35"/>
      <c r="T294" s="35"/>
    </row>
    <row r="295">
      <c r="A295" s="13"/>
      <c r="B295" s="17"/>
      <c r="C295" s="17"/>
      <c r="D295" s="29"/>
      <c r="E295" s="30"/>
      <c r="F295" s="17"/>
      <c r="G295" s="17"/>
      <c r="H295" s="17"/>
      <c r="I295" s="17"/>
      <c r="J295" s="17"/>
      <c r="K295" s="17"/>
      <c r="L295" s="34"/>
      <c r="M295" s="34"/>
      <c r="N295" s="35"/>
      <c r="O295" s="35"/>
      <c r="P295" s="35"/>
      <c r="Q295" s="35"/>
      <c r="R295" s="35"/>
      <c r="S295" s="35"/>
      <c r="T295" s="35"/>
    </row>
    <row r="296">
      <c r="A296" s="13"/>
      <c r="B296" s="17"/>
      <c r="C296" s="17"/>
      <c r="D296" s="29"/>
      <c r="E296" s="30"/>
      <c r="F296" s="17"/>
      <c r="G296" s="17"/>
      <c r="H296" s="17"/>
      <c r="I296" s="17"/>
      <c r="J296" s="17"/>
      <c r="K296" s="17"/>
      <c r="L296" s="34"/>
      <c r="M296" s="34"/>
      <c r="N296" s="35"/>
      <c r="O296" s="35"/>
      <c r="P296" s="35"/>
      <c r="Q296" s="35"/>
      <c r="R296" s="35"/>
      <c r="S296" s="35"/>
      <c r="T296" s="35"/>
    </row>
    <row r="297">
      <c r="A297" s="13"/>
      <c r="B297" s="17"/>
      <c r="C297" s="17"/>
      <c r="D297" s="29"/>
      <c r="E297" s="30"/>
      <c r="F297" s="17"/>
      <c r="G297" s="17"/>
      <c r="H297" s="17"/>
      <c r="I297" s="17"/>
      <c r="J297" s="17"/>
      <c r="K297" s="17"/>
      <c r="L297" s="34"/>
      <c r="M297" s="34"/>
      <c r="N297" s="35"/>
      <c r="O297" s="35"/>
      <c r="P297" s="35"/>
      <c r="Q297" s="35"/>
      <c r="R297" s="35"/>
      <c r="S297" s="35"/>
      <c r="T297" s="35"/>
    </row>
    <row r="298">
      <c r="A298" s="13"/>
      <c r="B298" s="17"/>
      <c r="C298" s="17"/>
      <c r="D298" s="29"/>
      <c r="E298" s="30"/>
      <c r="F298" s="17"/>
      <c r="G298" s="17"/>
      <c r="H298" s="17"/>
      <c r="I298" s="17"/>
      <c r="J298" s="17"/>
      <c r="K298" s="17"/>
      <c r="L298" s="34"/>
      <c r="M298" s="34"/>
      <c r="N298" s="35"/>
      <c r="O298" s="35"/>
      <c r="P298" s="35"/>
      <c r="Q298" s="35"/>
      <c r="R298" s="35"/>
      <c r="S298" s="35"/>
      <c r="T298" s="35"/>
    </row>
    <row r="299">
      <c r="A299" s="13"/>
      <c r="B299" s="17"/>
      <c r="C299" s="17"/>
      <c r="D299" s="29"/>
      <c r="E299" s="30"/>
      <c r="F299" s="17"/>
      <c r="G299" s="17"/>
      <c r="H299" s="17"/>
      <c r="I299" s="17"/>
      <c r="J299" s="17"/>
      <c r="K299" s="17"/>
      <c r="L299" s="34"/>
      <c r="M299" s="34"/>
      <c r="N299" s="35"/>
      <c r="O299" s="35"/>
      <c r="P299" s="35"/>
      <c r="Q299" s="35"/>
      <c r="R299" s="35"/>
      <c r="S299" s="35"/>
      <c r="T299" s="35"/>
    </row>
    <row r="300">
      <c r="A300" s="13"/>
      <c r="B300" s="17"/>
      <c r="C300" s="17"/>
      <c r="D300" s="29"/>
      <c r="E300" s="30"/>
      <c r="F300" s="17"/>
      <c r="G300" s="17"/>
      <c r="H300" s="17"/>
      <c r="I300" s="17"/>
      <c r="J300" s="17"/>
      <c r="K300" s="17"/>
      <c r="L300" s="34"/>
      <c r="M300" s="34"/>
      <c r="N300" s="35"/>
      <c r="O300" s="35"/>
      <c r="P300" s="35"/>
      <c r="Q300" s="35"/>
      <c r="R300" s="35"/>
      <c r="S300" s="35"/>
      <c r="T300" s="35"/>
    </row>
    <row r="301">
      <c r="A301" s="13"/>
      <c r="B301" s="17"/>
      <c r="C301" s="17"/>
      <c r="D301" s="29"/>
      <c r="E301" s="30"/>
      <c r="F301" s="17"/>
      <c r="G301" s="17"/>
      <c r="H301" s="17"/>
      <c r="I301" s="17"/>
      <c r="J301" s="17"/>
      <c r="K301" s="17"/>
      <c r="L301" s="34"/>
      <c r="M301" s="34"/>
      <c r="N301" s="35"/>
      <c r="O301" s="35"/>
      <c r="P301" s="35"/>
      <c r="Q301" s="35"/>
      <c r="R301" s="35"/>
      <c r="S301" s="35"/>
      <c r="T301" s="35"/>
    </row>
    <row r="302">
      <c r="A302" s="13"/>
      <c r="B302" s="17"/>
      <c r="C302" s="17"/>
      <c r="D302" s="29"/>
      <c r="E302" s="30"/>
      <c r="F302" s="17"/>
      <c r="G302" s="17"/>
      <c r="H302" s="17"/>
      <c r="I302" s="17"/>
      <c r="J302" s="17"/>
      <c r="K302" s="17"/>
      <c r="L302" s="34"/>
      <c r="M302" s="34"/>
      <c r="N302" s="35"/>
      <c r="O302" s="35"/>
      <c r="P302" s="35"/>
      <c r="Q302" s="35"/>
      <c r="R302" s="35"/>
      <c r="S302" s="35"/>
      <c r="T302" s="35"/>
    </row>
    <row r="303">
      <c r="A303" s="13"/>
      <c r="B303" s="17"/>
      <c r="C303" s="17"/>
      <c r="D303" s="29"/>
      <c r="E303" s="30"/>
      <c r="F303" s="17"/>
      <c r="G303" s="17"/>
      <c r="H303" s="17"/>
      <c r="I303" s="17"/>
      <c r="J303" s="17"/>
      <c r="K303" s="17"/>
      <c r="L303" s="34"/>
      <c r="M303" s="34"/>
      <c r="N303" s="35"/>
      <c r="O303" s="35"/>
      <c r="P303" s="35"/>
      <c r="Q303" s="35"/>
      <c r="R303" s="35"/>
      <c r="S303" s="35"/>
      <c r="T303" s="35"/>
    </row>
    <row r="304">
      <c r="A304" s="13"/>
      <c r="B304" s="17"/>
      <c r="C304" s="17"/>
      <c r="D304" s="29"/>
      <c r="E304" s="30"/>
      <c r="F304" s="17"/>
      <c r="G304" s="17"/>
      <c r="H304" s="17"/>
      <c r="I304" s="17"/>
      <c r="J304" s="17"/>
      <c r="K304" s="17"/>
      <c r="L304" s="34"/>
      <c r="M304" s="34"/>
      <c r="N304" s="35"/>
      <c r="O304" s="35"/>
      <c r="P304" s="35"/>
      <c r="Q304" s="35"/>
      <c r="R304" s="35"/>
      <c r="S304" s="35"/>
      <c r="T304" s="35"/>
    </row>
    <row r="305">
      <c r="A305" s="13"/>
      <c r="B305" s="17"/>
      <c r="C305" s="17"/>
      <c r="D305" s="29"/>
      <c r="E305" s="30"/>
      <c r="F305" s="17"/>
      <c r="G305" s="17"/>
      <c r="H305" s="17"/>
      <c r="I305" s="17"/>
      <c r="J305" s="17"/>
      <c r="K305" s="17"/>
      <c r="L305" s="34"/>
      <c r="M305" s="34"/>
      <c r="N305" s="35"/>
      <c r="O305" s="35"/>
      <c r="P305" s="35"/>
      <c r="Q305" s="35"/>
      <c r="R305" s="35"/>
      <c r="S305" s="35"/>
      <c r="T305" s="35"/>
    </row>
    <row r="306">
      <c r="A306" s="13"/>
      <c r="B306" s="17"/>
      <c r="C306" s="17"/>
      <c r="D306" s="29"/>
      <c r="E306" s="30"/>
      <c r="F306" s="17"/>
      <c r="G306" s="17"/>
      <c r="H306" s="17"/>
      <c r="I306" s="17"/>
      <c r="J306" s="17"/>
      <c r="K306" s="17"/>
      <c r="L306" s="34"/>
      <c r="M306" s="34"/>
      <c r="N306" s="35"/>
      <c r="O306" s="35"/>
      <c r="P306" s="35"/>
      <c r="Q306" s="35"/>
      <c r="R306" s="35"/>
      <c r="S306" s="35"/>
      <c r="T306" s="35"/>
    </row>
    <row r="307">
      <c r="A307" s="13"/>
      <c r="B307" s="17"/>
      <c r="C307" s="17"/>
      <c r="D307" s="29"/>
      <c r="E307" s="30"/>
      <c r="F307" s="17"/>
      <c r="G307" s="17"/>
      <c r="H307" s="17"/>
      <c r="I307" s="17"/>
      <c r="J307" s="17"/>
      <c r="K307" s="17"/>
      <c r="L307" s="34"/>
      <c r="M307" s="34"/>
      <c r="N307" s="35"/>
      <c r="O307" s="35"/>
      <c r="P307" s="35"/>
      <c r="Q307" s="35"/>
      <c r="R307" s="35"/>
      <c r="S307" s="35"/>
      <c r="T307" s="35"/>
    </row>
    <row r="308">
      <c r="A308" s="13"/>
      <c r="B308" s="17"/>
      <c r="C308" s="17"/>
      <c r="D308" s="29"/>
      <c r="E308" s="30"/>
      <c r="F308" s="17"/>
      <c r="G308" s="17"/>
      <c r="H308" s="17"/>
      <c r="I308" s="17"/>
      <c r="J308" s="17"/>
      <c r="K308" s="17"/>
      <c r="L308" s="34"/>
      <c r="M308" s="34"/>
      <c r="N308" s="35"/>
      <c r="O308" s="35"/>
      <c r="P308" s="35"/>
      <c r="Q308" s="35"/>
      <c r="R308" s="35"/>
      <c r="S308" s="35"/>
      <c r="T308" s="35"/>
    </row>
    <row r="309">
      <c r="A309" s="13"/>
      <c r="B309" s="17"/>
      <c r="C309" s="17"/>
      <c r="D309" s="29"/>
      <c r="E309" s="30"/>
      <c r="F309" s="17"/>
      <c r="G309" s="17"/>
      <c r="H309" s="17"/>
      <c r="I309" s="17"/>
      <c r="J309" s="17"/>
      <c r="K309" s="17"/>
      <c r="L309" s="34"/>
      <c r="M309" s="34"/>
      <c r="N309" s="35"/>
      <c r="O309" s="35"/>
      <c r="P309" s="35"/>
      <c r="Q309" s="35"/>
      <c r="R309" s="35"/>
      <c r="S309" s="35"/>
      <c r="T309" s="35"/>
    </row>
    <row r="310">
      <c r="A310" s="13"/>
      <c r="B310" s="17"/>
      <c r="C310" s="17"/>
      <c r="D310" s="29"/>
      <c r="E310" s="30"/>
      <c r="F310" s="17"/>
      <c r="G310" s="17"/>
      <c r="H310" s="17"/>
      <c r="I310" s="17"/>
      <c r="J310" s="17"/>
      <c r="K310" s="17"/>
      <c r="L310" s="34"/>
      <c r="M310" s="34"/>
      <c r="N310" s="35"/>
      <c r="O310" s="35"/>
      <c r="P310" s="35"/>
      <c r="Q310" s="35"/>
      <c r="R310" s="35"/>
      <c r="S310" s="35"/>
      <c r="T310" s="35"/>
    </row>
    <row r="311">
      <c r="A311" s="13"/>
      <c r="B311" s="17"/>
      <c r="C311" s="17"/>
      <c r="D311" s="29"/>
      <c r="E311" s="30"/>
      <c r="F311" s="17"/>
      <c r="G311" s="17"/>
      <c r="H311" s="17"/>
      <c r="I311" s="17"/>
      <c r="J311" s="17"/>
      <c r="K311" s="17"/>
      <c r="L311" s="34"/>
      <c r="M311" s="34"/>
      <c r="N311" s="35"/>
      <c r="O311" s="35"/>
      <c r="P311" s="35"/>
      <c r="Q311" s="35"/>
      <c r="R311" s="35"/>
      <c r="S311" s="35"/>
      <c r="T311" s="35"/>
    </row>
    <row r="312">
      <c r="A312" s="13"/>
      <c r="B312" s="17"/>
      <c r="C312" s="17"/>
      <c r="D312" s="29"/>
      <c r="E312" s="30"/>
      <c r="F312" s="17"/>
      <c r="G312" s="17"/>
      <c r="H312" s="17"/>
      <c r="I312" s="17"/>
      <c r="J312" s="17"/>
      <c r="K312" s="17"/>
      <c r="L312" s="34"/>
      <c r="M312" s="34"/>
      <c r="N312" s="35"/>
      <c r="O312" s="35"/>
      <c r="P312" s="35"/>
      <c r="Q312" s="35"/>
      <c r="R312" s="35"/>
      <c r="S312" s="35"/>
      <c r="T312" s="35"/>
    </row>
    <row r="313">
      <c r="A313" s="13"/>
      <c r="B313" s="17"/>
      <c r="C313" s="17"/>
      <c r="D313" s="29"/>
      <c r="E313" s="30"/>
      <c r="F313" s="17"/>
      <c r="G313" s="17"/>
      <c r="H313" s="17"/>
      <c r="I313" s="17"/>
      <c r="J313" s="17"/>
      <c r="K313" s="17"/>
      <c r="L313" s="34"/>
      <c r="M313" s="34"/>
      <c r="N313" s="35"/>
      <c r="O313" s="35"/>
      <c r="P313" s="35"/>
      <c r="Q313" s="35"/>
      <c r="R313" s="35"/>
      <c r="S313" s="35"/>
      <c r="T313" s="35"/>
    </row>
    <row r="314">
      <c r="A314" s="13"/>
      <c r="B314" s="17"/>
      <c r="C314" s="17"/>
      <c r="D314" s="29"/>
      <c r="E314" s="30"/>
      <c r="F314" s="17"/>
      <c r="G314" s="17"/>
      <c r="H314" s="17"/>
      <c r="I314" s="17"/>
      <c r="J314" s="17"/>
      <c r="K314" s="17"/>
      <c r="L314" s="34"/>
      <c r="M314" s="34"/>
      <c r="N314" s="35"/>
      <c r="O314" s="35"/>
      <c r="P314" s="35"/>
      <c r="Q314" s="35"/>
      <c r="R314" s="35"/>
      <c r="S314" s="35"/>
      <c r="T314" s="35"/>
    </row>
    <row r="315">
      <c r="A315" s="13"/>
      <c r="B315" s="17"/>
      <c r="C315" s="17"/>
      <c r="D315" s="29"/>
      <c r="E315" s="30"/>
      <c r="F315" s="17"/>
      <c r="G315" s="17"/>
      <c r="H315" s="17"/>
      <c r="I315" s="17"/>
      <c r="J315" s="17"/>
      <c r="K315" s="17"/>
      <c r="L315" s="34"/>
      <c r="M315" s="34"/>
      <c r="N315" s="35"/>
      <c r="O315" s="35"/>
      <c r="P315" s="35"/>
      <c r="Q315" s="35"/>
      <c r="R315" s="35"/>
      <c r="S315" s="35"/>
      <c r="T315" s="35"/>
    </row>
    <row r="316">
      <c r="A316" s="13"/>
      <c r="B316" s="17"/>
      <c r="C316" s="17"/>
      <c r="D316" s="29"/>
      <c r="E316" s="30"/>
      <c r="F316" s="17"/>
      <c r="G316" s="17"/>
      <c r="H316" s="17"/>
      <c r="I316" s="17"/>
      <c r="J316" s="17"/>
      <c r="K316" s="17"/>
      <c r="L316" s="34"/>
      <c r="M316" s="34"/>
      <c r="N316" s="35"/>
      <c r="O316" s="35"/>
      <c r="P316" s="35"/>
      <c r="Q316" s="35"/>
      <c r="R316" s="35"/>
      <c r="S316" s="35"/>
      <c r="T316" s="35"/>
    </row>
    <row r="317">
      <c r="A317" s="13"/>
      <c r="B317" s="17"/>
      <c r="C317" s="17"/>
      <c r="D317" s="29"/>
      <c r="E317" s="30"/>
      <c r="F317" s="17"/>
      <c r="G317" s="17"/>
      <c r="H317" s="17"/>
      <c r="I317" s="17"/>
      <c r="J317" s="17"/>
      <c r="K317" s="17"/>
      <c r="L317" s="34"/>
      <c r="M317" s="34"/>
      <c r="N317" s="35"/>
      <c r="O317" s="35"/>
      <c r="P317" s="35"/>
      <c r="Q317" s="35"/>
      <c r="R317" s="35"/>
      <c r="S317" s="35"/>
      <c r="T317" s="35"/>
    </row>
    <row r="318">
      <c r="A318" s="13"/>
      <c r="B318" s="17"/>
      <c r="C318" s="17"/>
      <c r="D318" s="29"/>
      <c r="E318" s="30"/>
      <c r="F318" s="17"/>
      <c r="G318" s="17"/>
      <c r="H318" s="17"/>
      <c r="I318" s="17"/>
      <c r="J318" s="17"/>
      <c r="K318" s="17"/>
      <c r="L318" s="34"/>
      <c r="M318" s="34"/>
      <c r="N318" s="35"/>
      <c r="O318" s="35"/>
      <c r="P318" s="35"/>
      <c r="Q318" s="35"/>
      <c r="R318" s="35"/>
      <c r="S318" s="35"/>
      <c r="T318" s="35"/>
    </row>
    <row r="319">
      <c r="A319" s="13"/>
      <c r="B319" s="17"/>
      <c r="C319" s="17"/>
      <c r="D319" s="29"/>
      <c r="E319" s="30"/>
      <c r="F319" s="17"/>
      <c r="G319" s="17"/>
      <c r="H319" s="17"/>
      <c r="I319" s="17"/>
      <c r="J319" s="17"/>
      <c r="K319" s="17"/>
      <c r="L319" s="34"/>
      <c r="M319" s="34"/>
      <c r="N319" s="35"/>
      <c r="O319" s="35"/>
      <c r="P319" s="35"/>
      <c r="Q319" s="35"/>
      <c r="R319" s="35"/>
      <c r="S319" s="35"/>
      <c r="T319" s="35"/>
    </row>
    <row r="320">
      <c r="A320" s="13"/>
      <c r="B320" s="17"/>
      <c r="C320" s="17"/>
      <c r="D320" s="29"/>
      <c r="E320" s="30"/>
      <c r="F320" s="17"/>
      <c r="G320" s="17"/>
      <c r="H320" s="17"/>
      <c r="I320" s="17"/>
      <c r="J320" s="17"/>
      <c r="K320" s="17"/>
      <c r="L320" s="34"/>
      <c r="M320" s="34"/>
      <c r="N320" s="35"/>
      <c r="O320" s="35"/>
      <c r="P320" s="35"/>
      <c r="Q320" s="35"/>
      <c r="R320" s="35"/>
      <c r="S320" s="35"/>
      <c r="T320" s="35"/>
    </row>
    <row r="321">
      <c r="A321" s="13"/>
      <c r="B321" s="17"/>
      <c r="C321" s="17"/>
      <c r="D321" s="29"/>
      <c r="E321" s="30"/>
      <c r="F321" s="17"/>
      <c r="G321" s="17"/>
      <c r="H321" s="17"/>
      <c r="I321" s="17"/>
      <c r="J321" s="17"/>
      <c r="K321" s="17"/>
      <c r="L321" s="34"/>
      <c r="M321" s="34"/>
      <c r="N321" s="35"/>
      <c r="O321" s="35"/>
      <c r="P321" s="35"/>
      <c r="Q321" s="35"/>
      <c r="R321" s="35"/>
      <c r="S321" s="35"/>
      <c r="T321" s="35"/>
    </row>
    <row r="322">
      <c r="A322" s="13"/>
      <c r="B322" s="17"/>
      <c r="C322" s="17"/>
      <c r="D322" s="29"/>
      <c r="E322" s="30"/>
      <c r="F322" s="17"/>
      <c r="G322" s="17"/>
      <c r="H322" s="17"/>
      <c r="I322" s="17"/>
      <c r="J322" s="17"/>
      <c r="K322" s="17"/>
      <c r="L322" s="34"/>
      <c r="M322" s="34"/>
      <c r="N322" s="35"/>
      <c r="O322" s="35"/>
      <c r="P322" s="35"/>
      <c r="Q322" s="35"/>
      <c r="R322" s="35"/>
      <c r="S322" s="35"/>
      <c r="T322" s="35"/>
    </row>
    <row r="323">
      <c r="A323" s="13"/>
      <c r="B323" s="17"/>
      <c r="C323" s="17"/>
      <c r="D323" s="29"/>
      <c r="E323" s="30"/>
      <c r="F323" s="17"/>
      <c r="G323" s="17"/>
      <c r="H323" s="17"/>
      <c r="I323" s="17"/>
      <c r="J323" s="17"/>
      <c r="K323" s="17"/>
      <c r="L323" s="34"/>
      <c r="M323" s="34"/>
      <c r="N323" s="35"/>
      <c r="O323" s="35"/>
      <c r="P323" s="35"/>
      <c r="Q323" s="35"/>
      <c r="R323" s="35"/>
      <c r="S323" s="35"/>
      <c r="T323" s="35"/>
    </row>
    <row r="324">
      <c r="A324" s="13"/>
      <c r="B324" s="17"/>
      <c r="C324" s="17"/>
      <c r="D324" s="29"/>
      <c r="E324" s="30"/>
      <c r="F324" s="17"/>
      <c r="G324" s="17"/>
      <c r="H324" s="17"/>
      <c r="I324" s="17"/>
      <c r="J324" s="17"/>
      <c r="K324" s="17"/>
      <c r="L324" s="34"/>
      <c r="M324" s="34"/>
      <c r="N324" s="35"/>
      <c r="O324" s="35"/>
      <c r="P324" s="35"/>
      <c r="Q324" s="35"/>
      <c r="R324" s="35"/>
      <c r="S324" s="35"/>
      <c r="T324" s="35"/>
    </row>
    <row r="325">
      <c r="A325" s="13"/>
      <c r="B325" s="17"/>
      <c r="C325" s="17"/>
      <c r="D325" s="29"/>
      <c r="E325" s="30"/>
      <c r="F325" s="17"/>
      <c r="G325" s="17"/>
      <c r="H325" s="17"/>
      <c r="I325" s="17"/>
      <c r="J325" s="17"/>
      <c r="K325" s="17"/>
      <c r="L325" s="34"/>
      <c r="M325" s="34"/>
      <c r="N325" s="35"/>
      <c r="O325" s="35"/>
      <c r="P325" s="35"/>
      <c r="Q325" s="35"/>
      <c r="R325" s="35"/>
      <c r="S325" s="35"/>
      <c r="T325" s="35"/>
    </row>
    <row r="326">
      <c r="A326" s="13"/>
      <c r="B326" s="17"/>
      <c r="C326" s="17"/>
      <c r="D326" s="29"/>
      <c r="E326" s="30"/>
      <c r="F326" s="17"/>
      <c r="G326" s="17"/>
      <c r="H326" s="17"/>
      <c r="I326" s="17"/>
      <c r="J326" s="17"/>
      <c r="K326" s="17"/>
      <c r="L326" s="34"/>
      <c r="M326" s="34"/>
      <c r="N326" s="35"/>
      <c r="O326" s="35"/>
      <c r="P326" s="35"/>
      <c r="Q326" s="35"/>
      <c r="R326" s="35"/>
      <c r="S326" s="35"/>
      <c r="T326" s="35"/>
    </row>
    <row r="327">
      <c r="A327" s="13"/>
      <c r="B327" s="17"/>
      <c r="C327" s="17"/>
      <c r="D327" s="29"/>
      <c r="E327" s="30"/>
      <c r="F327" s="17"/>
      <c r="G327" s="17"/>
      <c r="H327" s="17"/>
      <c r="I327" s="17"/>
      <c r="J327" s="17"/>
      <c r="K327" s="17"/>
      <c r="L327" s="34"/>
      <c r="M327" s="34"/>
      <c r="N327" s="35"/>
      <c r="O327" s="35"/>
      <c r="P327" s="35"/>
      <c r="Q327" s="35"/>
      <c r="R327" s="35"/>
      <c r="S327" s="35"/>
      <c r="T327" s="35"/>
    </row>
    <row r="328">
      <c r="A328" s="13"/>
      <c r="B328" s="17"/>
      <c r="C328" s="17"/>
      <c r="D328" s="29"/>
      <c r="E328" s="30"/>
      <c r="F328" s="17"/>
      <c r="G328" s="17"/>
      <c r="H328" s="17"/>
      <c r="I328" s="17"/>
      <c r="J328" s="17"/>
      <c r="K328" s="17"/>
      <c r="L328" s="34"/>
      <c r="M328" s="34"/>
      <c r="N328" s="35"/>
      <c r="O328" s="35"/>
      <c r="P328" s="35"/>
      <c r="Q328" s="35"/>
      <c r="R328" s="35"/>
      <c r="S328" s="35"/>
      <c r="T328" s="35"/>
    </row>
    <row r="329">
      <c r="A329" s="13"/>
      <c r="B329" s="17"/>
      <c r="C329" s="17"/>
      <c r="D329" s="29"/>
      <c r="E329" s="30"/>
      <c r="F329" s="17"/>
      <c r="G329" s="17"/>
      <c r="H329" s="17"/>
      <c r="I329" s="17"/>
      <c r="J329" s="17"/>
      <c r="K329" s="17"/>
      <c r="L329" s="34"/>
      <c r="M329" s="34"/>
      <c r="N329" s="35"/>
      <c r="O329" s="35"/>
      <c r="P329" s="35"/>
      <c r="Q329" s="35"/>
      <c r="R329" s="35"/>
      <c r="S329" s="35"/>
      <c r="T329" s="35"/>
    </row>
    <row r="330">
      <c r="A330" s="13"/>
      <c r="B330" s="17"/>
      <c r="C330" s="17"/>
      <c r="D330" s="29"/>
      <c r="E330" s="30"/>
      <c r="F330" s="17"/>
      <c r="G330" s="17"/>
      <c r="H330" s="17"/>
      <c r="I330" s="17"/>
      <c r="J330" s="17"/>
      <c r="K330" s="17"/>
      <c r="L330" s="34"/>
      <c r="M330" s="34"/>
      <c r="N330" s="35"/>
      <c r="O330" s="35"/>
      <c r="P330" s="35"/>
      <c r="Q330" s="35"/>
      <c r="R330" s="35"/>
      <c r="S330" s="35"/>
      <c r="T330" s="35"/>
    </row>
    <row r="331">
      <c r="A331" s="13"/>
      <c r="B331" s="17"/>
      <c r="C331" s="17"/>
      <c r="D331" s="29"/>
      <c r="E331" s="30"/>
      <c r="F331" s="17"/>
      <c r="G331" s="17"/>
      <c r="H331" s="17"/>
      <c r="I331" s="17"/>
      <c r="J331" s="17"/>
      <c r="K331" s="17"/>
      <c r="L331" s="34"/>
      <c r="M331" s="34"/>
      <c r="N331" s="35"/>
      <c r="O331" s="35"/>
      <c r="P331" s="35"/>
      <c r="Q331" s="35"/>
      <c r="R331" s="35"/>
      <c r="S331" s="35"/>
      <c r="T331" s="35"/>
    </row>
    <row r="332">
      <c r="A332" s="13"/>
      <c r="B332" s="17"/>
      <c r="C332" s="17"/>
      <c r="D332" s="29"/>
      <c r="E332" s="30"/>
      <c r="F332" s="17"/>
      <c r="G332" s="17"/>
      <c r="H332" s="17"/>
      <c r="I332" s="17"/>
      <c r="J332" s="17"/>
      <c r="K332" s="17"/>
      <c r="L332" s="34"/>
      <c r="M332" s="34"/>
      <c r="N332" s="35"/>
      <c r="O332" s="35"/>
      <c r="P332" s="35"/>
      <c r="Q332" s="35"/>
      <c r="R332" s="35"/>
      <c r="S332" s="35"/>
      <c r="T332" s="35"/>
    </row>
    <row r="333">
      <c r="A333" s="13"/>
      <c r="B333" s="17"/>
      <c r="C333" s="17"/>
      <c r="D333" s="29"/>
      <c r="E333" s="30"/>
      <c r="F333" s="17"/>
      <c r="G333" s="17"/>
      <c r="H333" s="17"/>
      <c r="I333" s="17"/>
      <c r="J333" s="17"/>
      <c r="K333" s="17"/>
      <c r="L333" s="34"/>
      <c r="M333" s="34"/>
      <c r="N333" s="35"/>
      <c r="O333" s="35"/>
      <c r="P333" s="35"/>
      <c r="Q333" s="35"/>
      <c r="R333" s="35"/>
      <c r="S333" s="35"/>
      <c r="T333" s="35"/>
    </row>
    <row r="334">
      <c r="A334" s="13"/>
      <c r="B334" s="17"/>
      <c r="C334" s="17"/>
      <c r="D334" s="29"/>
      <c r="E334" s="30"/>
      <c r="F334" s="17"/>
      <c r="G334" s="17"/>
      <c r="H334" s="17"/>
      <c r="I334" s="17"/>
      <c r="J334" s="17"/>
      <c r="K334" s="17"/>
      <c r="L334" s="34"/>
      <c r="M334" s="34"/>
      <c r="N334" s="35"/>
      <c r="O334" s="35"/>
      <c r="P334" s="35"/>
      <c r="Q334" s="35"/>
      <c r="R334" s="35"/>
      <c r="S334" s="35"/>
      <c r="T334" s="35"/>
    </row>
    <row r="335">
      <c r="A335" s="13"/>
      <c r="B335" s="17"/>
      <c r="C335" s="17"/>
      <c r="D335" s="29"/>
      <c r="E335" s="30"/>
      <c r="F335" s="17"/>
      <c r="G335" s="17"/>
      <c r="H335" s="17"/>
      <c r="I335" s="17"/>
      <c r="J335" s="17"/>
      <c r="K335" s="17"/>
      <c r="L335" s="34"/>
      <c r="M335" s="34"/>
      <c r="N335" s="35"/>
      <c r="O335" s="35"/>
      <c r="P335" s="35"/>
      <c r="Q335" s="35"/>
      <c r="R335" s="35"/>
      <c r="S335" s="35"/>
      <c r="T335" s="35"/>
    </row>
    <row r="336">
      <c r="A336" s="13"/>
      <c r="B336" s="17"/>
      <c r="C336" s="17"/>
      <c r="D336" s="29"/>
      <c r="E336" s="30"/>
      <c r="F336" s="17"/>
      <c r="G336" s="17"/>
      <c r="H336" s="17"/>
      <c r="I336" s="17"/>
      <c r="J336" s="17"/>
      <c r="K336" s="17"/>
      <c r="L336" s="34"/>
      <c r="M336" s="34"/>
      <c r="N336" s="35"/>
      <c r="O336" s="35"/>
      <c r="P336" s="35"/>
      <c r="Q336" s="35"/>
      <c r="R336" s="35"/>
      <c r="S336" s="35"/>
      <c r="T336" s="35"/>
    </row>
    <row r="337">
      <c r="A337" s="13"/>
      <c r="B337" s="17"/>
      <c r="C337" s="17"/>
      <c r="D337" s="29"/>
      <c r="E337" s="30"/>
      <c r="F337" s="17"/>
      <c r="G337" s="17"/>
      <c r="H337" s="17"/>
      <c r="I337" s="17"/>
      <c r="J337" s="17"/>
      <c r="K337" s="17"/>
      <c r="L337" s="34"/>
      <c r="M337" s="34"/>
      <c r="N337" s="35"/>
      <c r="O337" s="35"/>
      <c r="P337" s="35"/>
      <c r="Q337" s="35"/>
      <c r="R337" s="35"/>
      <c r="S337" s="35"/>
      <c r="T337" s="35"/>
    </row>
    <row r="338">
      <c r="A338" s="13"/>
      <c r="B338" s="17"/>
      <c r="C338" s="17"/>
      <c r="D338" s="29"/>
      <c r="E338" s="30"/>
      <c r="F338" s="17"/>
      <c r="G338" s="17"/>
      <c r="H338" s="17"/>
      <c r="I338" s="17"/>
      <c r="J338" s="17"/>
      <c r="K338" s="17"/>
      <c r="L338" s="34"/>
      <c r="M338" s="34"/>
      <c r="N338" s="35"/>
      <c r="O338" s="35"/>
      <c r="P338" s="35"/>
      <c r="Q338" s="35"/>
      <c r="R338" s="35"/>
      <c r="S338" s="35"/>
      <c r="T338" s="35"/>
    </row>
    <row r="339">
      <c r="A339" s="13"/>
      <c r="B339" s="17"/>
      <c r="C339" s="17"/>
      <c r="D339" s="29"/>
      <c r="E339" s="30"/>
      <c r="F339" s="17"/>
      <c r="G339" s="17"/>
      <c r="H339" s="17"/>
      <c r="I339" s="17"/>
      <c r="J339" s="17"/>
      <c r="K339" s="17"/>
      <c r="L339" s="34"/>
      <c r="M339" s="34"/>
      <c r="N339" s="35"/>
      <c r="O339" s="35"/>
      <c r="P339" s="35"/>
      <c r="Q339" s="35"/>
      <c r="R339" s="35"/>
      <c r="S339" s="35"/>
      <c r="T339" s="35"/>
    </row>
    <row r="340">
      <c r="A340" s="13"/>
      <c r="B340" s="17"/>
      <c r="C340" s="17"/>
      <c r="D340" s="29"/>
      <c r="E340" s="30"/>
      <c r="F340" s="17"/>
      <c r="G340" s="17"/>
      <c r="H340" s="17"/>
      <c r="I340" s="17"/>
      <c r="J340" s="17"/>
      <c r="K340" s="17"/>
      <c r="L340" s="34"/>
      <c r="M340" s="34"/>
      <c r="N340" s="35"/>
      <c r="O340" s="35"/>
      <c r="P340" s="35"/>
      <c r="Q340" s="35"/>
      <c r="R340" s="35"/>
      <c r="S340" s="35"/>
      <c r="T340" s="35"/>
    </row>
    <row r="341">
      <c r="A341" s="13"/>
      <c r="B341" s="17"/>
      <c r="C341" s="17"/>
      <c r="D341" s="29"/>
      <c r="E341" s="30"/>
      <c r="F341" s="17"/>
      <c r="G341" s="17"/>
      <c r="H341" s="17"/>
      <c r="I341" s="17"/>
      <c r="J341" s="17"/>
      <c r="K341" s="17"/>
      <c r="L341" s="34"/>
      <c r="M341" s="34"/>
      <c r="N341" s="35"/>
      <c r="O341" s="35"/>
      <c r="P341" s="35"/>
      <c r="Q341" s="35"/>
      <c r="R341" s="35"/>
      <c r="S341" s="35"/>
      <c r="T341" s="35"/>
    </row>
    <row r="342">
      <c r="A342" s="13"/>
      <c r="B342" s="17"/>
      <c r="C342" s="17"/>
      <c r="D342" s="29"/>
      <c r="E342" s="30"/>
      <c r="F342" s="17"/>
      <c r="G342" s="17"/>
      <c r="H342" s="17"/>
      <c r="I342" s="17"/>
      <c r="J342" s="17"/>
      <c r="K342" s="17"/>
      <c r="L342" s="34"/>
      <c r="M342" s="34"/>
      <c r="N342" s="35"/>
      <c r="O342" s="35"/>
      <c r="P342" s="35"/>
      <c r="Q342" s="35"/>
      <c r="R342" s="35"/>
      <c r="S342" s="35"/>
      <c r="T342" s="35"/>
    </row>
    <row r="343">
      <c r="A343" s="13"/>
      <c r="B343" s="17"/>
      <c r="C343" s="17"/>
      <c r="D343" s="29"/>
      <c r="E343" s="30"/>
      <c r="F343" s="17"/>
      <c r="G343" s="17"/>
      <c r="H343" s="17"/>
      <c r="I343" s="17"/>
      <c r="J343" s="17"/>
      <c r="K343" s="17"/>
      <c r="L343" s="34"/>
      <c r="M343" s="34"/>
      <c r="N343" s="35"/>
      <c r="O343" s="35"/>
      <c r="P343" s="35"/>
      <c r="Q343" s="35"/>
      <c r="R343" s="35"/>
      <c r="S343" s="35"/>
      <c r="T343" s="35"/>
    </row>
    <row r="344">
      <c r="A344" s="13"/>
      <c r="B344" s="17"/>
      <c r="C344" s="17"/>
      <c r="D344" s="29"/>
      <c r="E344" s="30"/>
      <c r="F344" s="17"/>
      <c r="G344" s="17"/>
      <c r="H344" s="17"/>
      <c r="I344" s="17"/>
      <c r="J344" s="17"/>
      <c r="K344" s="17"/>
      <c r="L344" s="34"/>
      <c r="M344" s="34"/>
      <c r="N344" s="35"/>
      <c r="O344" s="35"/>
      <c r="P344" s="35"/>
      <c r="Q344" s="35"/>
      <c r="R344" s="35"/>
      <c r="S344" s="35"/>
      <c r="T344" s="35"/>
    </row>
    <row r="345">
      <c r="A345" s="13"/>
      <c r="B345" s="17"/>
      <c r="C345" s="17"/>
      <c r="D345" s="29"/>
      <c r="E345" s="30"/>
      <c r="F345" s="17"/>
      <c r="G345" s="17"/>
      <c r="H345" s="17"/>
      <c r="I345" s="17"/>
      <c r="J345" s="17"/>
      <c r="K345" s="17"/>
      <c r="L345" s="34"/>
      <c r="M345" s="34"/>
      <c r="N345" s="35"/>
      <c r="O345" s="35"/>
      <c r="P345" s="35"/>
      <c r="Q345" s="35"/>
      <c r="R345" s="35"/>
      <c r="S345" s="35"/>
      <c r="T345" s="35"/>
    </row>
    <row r="346">
      <c r="A346" s="13"/>
      <c r="B346" s="17"/>
      <c r="C346" s="17"/>
      <c r="D346" s="29"/>
      <c r="E346" s="30"/>
      <c r="F346" s="17"/>
      <c r="G346" s="17"/>
      <c r="H346" s="17"/>
      <c r="I346" s="17"/>
      <c r="J346" s="17"/>
      <c r="K346" s="17"/>
      <c r="L346" s="34"/>
      <c r="M346" s="34"/>
      <c r="N346" s="35"/>
      <c r="O346" s="35"/>
      <c r="P346" s="35"/>
      <c r="Q346" s="35"/>
      <c r="R346" s="35"/>
      <c r="S346" s="35"/>
      <c r="T346" s="35"/>
    </row>
    <row r="347">
      <c r="A347" s="13"/>
      <c r="B347" s="17"/>
      <c r="C347" s="17"/>
      <c r="D347" s="29"/>
      <c r="E347" s="30"/>
      <c r="F347" s="17"/>
      <c r="G347" s="17"/>
      <c r="H347" s="17"/>
      <c r="I347" s="17"/>
      <c r="J347" s="17"/>
      <c r="K347" s="17"/>
      <c r="L347" s="34"/>
      <c r="M347" s="34"/>
      <c r="N347" s="35"/>
      <c r="O347" s="35"/>
      <c r="P347" s="35"/>
      <c r="Q347" s="35"/>
      <c r="R347" s="35"/>
      <c r="S347" s="35"/>
      <c r="T347" s="35"/>
    </row>
    <row r="348">
      <c r="A348" s="13"/>
      <c r="B348" s="17"/>
      <c r="C348" s="17"/>
      <c r="D348" s="29"/>
      <c r="E348" s="30"/>
      <c r="F348" s="17"/>
      <c r="G348" s="17"/>
      <c r="H348" s="17"/>
      <c r="I348" s="17"/>
      <c r="J348" s="17"/>
      <c r="K348" s="17"/>
      <c r="L348" s="34"/>
      <c r="M348" s="34"/>
      <c r="N348" s="35"/>
      <c r="O348" s="35"/>
      <c r="P348" s="35"/>
      <c r="Q348" s="35"/>
      <c r="R348" s="35"/>
      <c r="S348" s="35"/>
      <c r="T348" s="35"/>
    </row>
    <row r="349">
      <c r="A349" s="13"/>
      <c r="B349" s="17"/>
      <c r="C349" s="17"/>
      <c r="D349" s="29"/>
      <c r="E349" s="30"/>
      <c r="F349" s="17"/>
      <c r="G349" s="17"/>
      <c r="H349" s="17"/>
      <c r="I349" s="17"/>
      <c r="J349" s="17"/>
      <c r="K349" s="17"/>
      <c r="L349" s="34"/>
      <c r="M349" s="34"/>
      <c r="N349" s="35"/>
      <c r="O349" s="35"/>
      <c r="P349" s="35"/>
      <c r="Q349" s="35"/>
      <c r="R349" s="35"/>
      <c r="S349" s="35"/>
      <c r="T349" s="35"/>
    </row>
    <row r="350">
      <c r="A350" s="13"/>
      <c r="B350" s="17"/>
      <c r="C350" s="17"/>
      <c r="D350" s="29"/>
      <c r="E350" s="30"/>
      <c r="F350" s="17"/>
      <c r="G350" s="17"/>
      <c r="H350" s="17"/>
      <c r="I350" s="17"/>
      <c r="J350" s="17"/>
      <c r="K350" s="17"/>
      <c r="L350" s="34"/>
      <c r="M350" s="34"/>
      <c r="N350" s="35"/>
      <c r="O350" s="35"/>
      <c r="P350" s="35"/>
      <c r="Q350" s="35"/>
      <c r="R350" s="35"/>
      <c r="S350" s="35"/>
      <c r="T350" s="35"/>
    </row>
    <row r="351">
      <c r="A351" s="13"/>
      <c r="B351" s="17"/>
      <c r="C351" s="17"/>
      <c r="D351" s="29"/>
      <c r="E351" s="30"/>
      <c r="F351" s="17"/>
      <c r="G351" s="17"/>
      <c r="H351" s="17"/>
      <c r="I351" s="17"/>
      <c r="J351" s="17"/>
      <c r="K351" s="17"/>
      <c r="L351" s="34"/>
      <c r="M351" s="34"/>
      <c r="N351" s="35"/>
      <c r="O351" s="35"/>
      <c r="P351" s="35"/>
      <c r="Q351" s="35"/>
      <c r="R351" s="35"/>
      <c r="S351" s="35"/>
      <c r="T351" s="35"/>
    </row>
    <row r="352">
      <c r="A352" s="13"/>
      <c r="B352" s="17"/>
      <c r="C352" s="17"/>
      <c r="D352" s="29"/>
      <c r="E352" s="30"/>
      <c r="F352" s="17"/>
      <c r="G352" s="17"/>
      <c r="H352" s="17"/>
      <c r="I352" s="17"/>
      <c r="J352" s="17"/>
      <c r="K352" s="17"/>
      <c r="L352" s="34"/>
      <c r="M352" s="34"/>
      <c r="N352" s="35"/>
      <c r="O352" s="35"/>
      <c r="P352" s="35"/>
      <c r="Q352" s="35"/>
      <c r="R352" s="35"/>
      <c r="S352" s="35"/>
      <c r="T352" s="35"/>
    </row>
    <row r="353">
      <c r="A353" s="13"/>
      <c r="B353" s="17"/>
      <c r="C353" s="17"/>
      <c r="D353" s="29"/>
      <c r="E353" s="30"/>
      <c r="F353" s="17"/>
      <c r="G353" s="17"/>
      <c r="H353" s="17"/>
      <c r="I353" s="17"/>
      <c r="J353" s="17"/>
      <c r="K353" s="17"/>
      <c r="L353" s="34"/>
      <c r="M353" s="34"/>
      <c r="N353" s="35"/>
      <c r="O353" s="35"/>
      <c r="P353" s="35"/>
      <c r="Q353" s="35"/>
      <c r="R353" s="35"/>
      <c r="S353" s="35"/>
      <c r="T353" s="35"/>
    </row>
    <row r="354">
      <c r="A354" s="13"/>
      <c r="B354" s="17"/>
      <c r="C354" s="17"/>
      <c r="D354" s="29"/>
      <c r="E354" s="30"/>
      <c r="F354" s="17"/>
      <c r="G354" s="17"/>
      <c r="H354" s="17"/>
      <c r="I354" s="17"/>
      <c r="J354" s="17"/>
      <c r="K354" s="17"/>
      <c r="L354" s="34"/>
      <c r="M354" s="34"/>
      <c r="N354" s="35"/>
      <c r="O354" s="35"/>
      <c r="P354" s="35"/>
      <c r="Q354" s="35"/>
      <c r="R354" s="35"/>
      <c r="S354" s="35"/>
      <c r="T354" s="35"/>
    </row>
    <row r="355">
      <c r="A355" s="13"/>
      <c r="B355" s="17"/>
      <c r="C355" s="17"/>
      <c r="D355" s="29"/>
      <c r="E355" s="30"/>
      <c r="F355" s="17"/>
      <c r="G355" s="17"/>
      <c r="H355" s="17"/>
      <c r="I355" s="17"/>
      <c r="J355" s="17"/>
      <c r="K355" s="17"/>
      <c r="L355" s="34"/>
      <c r="M355" s="34"/>
      <c r="N355" s="35"/>
      <c r="O355" s="35"/>
      <c r="P355" s="35"/>
      <c r="Q355" s="35"/>
      <c r="R355" s="35"/>
      <c r="S355" s="35"/>
      <c r="T355" s="35"/>
    </row>
    <row r="356">
      <c r="A356" s="13"/>
      <c r="B356" s="17"/>
      <c r="C356" s="17"/>
      <c r="D356" s="29"/>
      <c r="E356" s="30"/>
      <c r="F356" s="17"/>
      <c r="G356" s="17"/>
      <c r="H356" s="17"/>
      <c r="I356" s="17"/>
      <c r="J356" s="17"/>
      <c r="K356" s="17"/>
      <c r="L356" s="34"/>
      <c r="M356" s="34"/>
      <c r="N356" s="35"/>
      <c r="O356" s="35"/>
      <c r="P356" s="35"/>
      <c r="Q356" s="35"/>
      <c r="R356" s="35"/>
      <c r="S356" s="35"/>
      <c r="T356" s="35"/>
    </row>
    <row r="357">
      <c r="A357" s="13"/>
      <c r="B357" s="17"/>
      <c r="C357" s="17"/>
      <c r="D357" s="29"/>
      <c r="E357" s="30"/>
      <c r="F357" s="17"/>
      <c r="G357" s="17"/>
      <c r="H357" s="17"/>
      <c r="I357" s="17"/>
      <c r="J357" s="17"/>
      <c r="K357" s="17"/>
      <c r="L357" s="34"/>
      <c r="M357" s="34"/>
      <c r="N357" s="35"/>
      <c r="O357" s="35"/>
      <c r="P357" s="35"/>
      <c r="Q357" s="35"/>
      <c r="R357" s="35"/>
      <c r="S357" s="35"/>
      <c r="T357" s="35"/>
    </row>
    <row r="358">
      <c r="A358" s="13"/>
      <c r="B358" s="17"/>
      <c r="C358" s="17"/>
      <c r="D358" s="29"/>
      <c r="E358" s="30"/>
      <c r="F358" s="17"/>
      <c r="G358" s="17"/>
      <c r="H358" s="17"/>
      <c r="I358" s="17"/>
      <c r="J358" s="17"/>
      <c r="K358" s="17"/>
      <c r="L358" s="34"/>
      <c r="M358" s="34"/>
      <c r="N358" s="35"/>
      <c r="O358" s="35"/>
      <c r="P358" s="35"/>
      <c r="Q358" s="35"/>
      <c r="R358" s="35"/>
      <c r="S358" s="35"/>
      <c r="T358" s="35"/>
    </row>
    <row r="359">
      <c r="A359" s="13"/>
      <c r="B359" s="17"/>
      <c r="C359" s="17"/>
      <c r="D359" s="29"/>
      <c r="E359" s="30"/>
      <c r="F359" s="17"/>
      <c r="G359" s="17"/>
      <c r="H359" s="17"/>
      <c r="I359" s="17"/>
      <c r="J359" s="17"/>
      <c r="K359" s="17"/>
      <c r="L359" s="34"/>
      <c r="M359" s="34"/>
      <c r="N359" s="35"/>
      <c r="O359" s="35"/>
      <c r="P359" s="35"/>
      <c r="Q359" s="35"/>
      <c r="R359" s="35"/>
      <c r="S359" s="35"/>
      <c r="T359" s="35"/>
    </row>
    <row r="360">
      <c r="A360" s="13"/>
      <c r="B360" s="17"/>
      <c r="C360" s="17"/>
      <c r="D360" s="29"/>
      <c r="E360" s="30"/>
      <c r="F360" s="17"/>
      <c r="G360" s="17"/>
      <c r="H360" s="17"/>
      <c r="I360" s="17"/>
      <c r="J360" s="17"/>
      <c r="K360" s="17"/>
      <c r="L360" s="34"/>
      <c r="M360" s="34"/>
      <c r="N360" s="35"/>
      <c r="O360" s="35"/>
      <c r="P360" s="35"/>
      <c r="Q360" s="35"/>
      <c r="R360" s="35"/>
      <c r="S360" s="35"/>
      <c r="T360" s="35"/>
    </row>
    <row r="361">
      <c r="A361" s="13"/>
      <c r="B361" s="17"/>
      <c r="C361" s="17"/>
      <c r="D361" s="29"/>
      <c r="E361" s="30"/>
      <c r="F361" s="17"/>
      <c r="G361" s="17"/>
      <c r="H361" s="17"/>
      <c r="I361" s="17"/>
      <c r="J361" s="17"/>
      <c r="K361" s="17"/>
      <c r="L361" s="34"/>
      <c r="M361" s="34"/>
      <c r="N361" s="35"/>
      <c r="O361" s="35"/>
      <c r="P361" s="35"/>
      <c r="Q361" s="35"/>
      <c r="R361" s="35"/>
      <c r="S361" s="35"/>
      <c r="T361" s="35"/>
    </row>
    <row r="362">
      <c r="A362" s="13"/>
      <c r="B362" s="17"/>
      <c r="C362" s="17"/>
      <c r="D362" s="29"/>
      <c r="E362" s="30"/>
      <c r="F362" s="17"/>
      <c r="G362" s="17"/>
      <c r="H362" s="17"/>
      <c r="I362" s="17"/>
      <c r="J362" s="17"/>
      <c r="K362" s="17"/>
      <c r="L362" s="34"/>
      <c r="M362" s="34"/>
      <c r="N362" s="35"/>
      <c r="O362" s="35"/>
      <c r="P362" s="35"/>
      <c r="Q362" s="35"/>
      <c r="R362" s="35"/>
      <c r="S362" s="35"/>
      <c r="T362" s="35"/>
    </row>
    <row r="363">
      <c r="A363" s="13"/>
      <c r="B363" s="17"/>
      <c r="C363" s="17"/>
      <c r="D363" s="29"/>
      <c r="E363" s="30"/>
      <c r="F363" s="17"/>
      <c r="G363" s="17"/>
      <c r="H363" s="17"/>
      <c r="I363" s="17"/>
      <c r="J363" s="17"/>
      <c r="K363" s="17"/>
      <c r="L363" s="34"/>
      <c r="M363" s="34"/>
      <c r="N363" s="35"/>
      <c r="O363" s="35"/>
      <c r="P363" s="35"/>
      <c r="Q363" s="35"/>
      <c r="R363" s="35"/>
      <c r="S363" s="35"/>
      <c r="T363" s="35"/>
    </row>
    <row r="364">
      <c r="A364" s="13"/>
      <c r="B364" s="17"/>
      <c r="C364" s="17"/>
      <c r="D364" s="29"/>
      <c r="E364" s="30"/>
      <c r="F364" s="17"/>
      <c r="G364" s="17"/>
      <c r="H364" s="17"/>
      <c r="I364" s="17"/>
      <c r="J364" s="17"/>
      <c r="K364" s="17"/>
      <c r="L364" s="34"/>
      <c r="M364" s="34"/>
      <c r="N364" s="35"/>
      <c r="O364" s="35"/>
      <c r="P364" s="35"/>
      <c r="Q364" s="35"/>
      <c r="R364" s="35"/>
      <c r="S364" s="35"/>
      <c r="T364" s="35"/>
    </row>
    <row r="365">
      <c r="A365" s="13"/>
      <c r="B365" s="17"/>
      <c r="C365" s="17"/>
      <c r="D365" s="29"/>
      <c r="E365" s="30"/>
      <c r="F365" s="17"/>
      <c r="G365" s="17"/>
      <c r="H365" s="17"/>
      <c r="I365" s="17"/>
      <c r="J365" s="17"/>
      <c r="K365" s="17"/>
      <c r="L365" s="34"/>
      <c r="M365" s="34"/>
      <c r="N365" s="35"/>
      <c r="O365" s="35"/>
      <c r="P365" s="35"/>
      <c r="Q365" s="35"/>
      <c r="R365" s="35"/>
      <c r="S365" s="35"/>
      <c r="T365" s="35"/>
    </row>
    <row r="366">
      <c r="A366" s="13"/>
      <c r="B366" s="17"/>
      <c r="C366" s="17"/>
      <c r="D366" s="29"/>
      <c r="E366" s="30"/>
      <c r="F366" s="17"/>
      <c r="G366" s="17"/>
      <c r="H366" s="17"/>
      <c r="I366" s="17"/>
      <c r="J366" s="17"/>
      <c r="K366" s="17"/>
      <c r="L366" s="34"/>
      <c r="M366" s="34"/>
      <c r="N366" s="35"/>
      <c r="O366" s="35"/>
      <c r="P366" s="35"/>
      <c r="Q366" s="35"/>
      <c r="R366" s="35"/>
      <c r="S366" s="35"/>
      <c r="T366" s="35"/>
    </row>
    <row r="367">
      <c r="A367" s="13"/>
      <c r="B367" s="17"/>
      <c r="C367" s="17"/>
      <c r="D367" s="29"/>
      <c r="E367" s="30"/>
      <c r="F367" s="17"/>
      <c r="G367" s="17"/>
      <c r="H367" s="17"/>
      <c r="I367" s="17"/>
      <c r="J367" s="17"/>
      <c r="K367" s="17"/>
      <c r="L367" s="34"/>
      <c r="M367" s="34"/>
      <c r="N367" s="35"/>
      <c r="O367" s="35"/>
      <c r="P367" s="35"/>
      <c r="Q367" s="35"/>
      <c r="R367" s="35"/>
      <c r="S367" s="35"/>
      <c r="T367" s="35"/>
    </row>
    <row r="368">
      <c r="A368" s="13"/>
      <c r="B368" s="17"/>
      <c r="C368" s="17"/>
      <c r="D368" s="29"/>
      <c r="E368" s="30"/>
      <c r="F368" s="17"/>
      <c r="G368" s="17"/>
      <c r="H368" s="17"/>
      <c r="I368" s="17"/>
      <c r="J368" s="17"/>
      <c r="K368" s="17"/>
      <c r="L368" s="34"/>
      <c r="M368" s="34"/>
      <c r="N368" s="35"/>
      <c r="O368" s="35"/>
      <c r="P368" s="35"/>
      <c r="Q368" s="35"/>
      <c r="R368" s="35"/>
      <c r="S368" s="35"/>
      <c r="T368" s="35"/>
    </row>
    <row r="369">
      <c r="A369" s="13"/>
      <c r="B369" s="17"/>
      <c r="C369" s="17"/>
      <c r="D369" s="29"/>
      <c r="E369" s="30"/>
      <c r="F369" s="17"/>
      <c r="G369" s="17"/>
      <c r="H369" s="17"/>
      <c r="I369" s="17"/>
      <c r="J369" s="17"/>
      <c r="K369" s="17"/>
      <c r="L369" s="34"/>
      <c r="M369" s="34"/>
      <c r="N369" s="35"/>
      <c r="O369" s="35"/>
      <c r="P369" s="35"/>
      <c r="Q369" s="35"/>
      <c r="R369" s="35"/>
      <c r="S369" s="35"/>
      <c r="T369" s="35"/>
    </row>
    <row r="370">
      <c r="A370" s="13"/>
      <c r="B370" s="17"/>
      <c r="C370" s="17"/>
      <c r="D370" s="29"/>
      <c r="E370" s="30"/>
      <c r="F370" s="17"/>
      <c r="G370" s="17"/>
      <c r="H370" s="17"/>
      <c r="I370" s="17"/>
      <c r="J370" s="17"/>
      <c r="K370" s="17"/>
      <c r="L370" s="34"/>
      <c r="M370" s="34"/>
      <c r="N370" s="35"/>
      <c r="O370" s="35"/>
      <c r="P370" s="35"/>
      <c r="Q370" s="35"/>
      <c r="R370" s="35"/>
      <c r="S370" s="35"/>
      <c r="T370" s="35"/>
    </row>
    <row r="371">
      <c r="A371" s="13"/>
      <c r="B371" s="17"/>
      <c r="C371" s="17"/>
      <c r="D371" s="29"/>
      <c r="E371" s="30"/>
      <c r="F371" s="17"/>
      <c r="G371" s="17"/>
      <c r="H371" s="17"/>
      <c r="I371" s="17"/>
      <c r="J371" s="17"/>
      <c r="K371" s="17"/>
      <c r="L371" s="34"/>
      <c r="M371" s="34"/>
      <c r="N371" s="35"/>
      <c r="O371" s="35"/>
      <c r="P371" s="35"/>
      <c r="Q371" s="35"/>
      <c r="R371" s="35"/>
      <c r="S371" s="35"/>
      <c r="T371" s="35"/>
    </row>
    <row r="372">
      <c r="A372" s="13"/>
      <c r="B372" s="17"/>
      <c r="C372" s="17"/>
      <c r="D372" s="29"/>
      <c r="E372" s="30"/>
      <c r="F372" s="17"/>
      <c r="G372" s="17"/>
      <c r="H372" s="17"/>
      <c r="I372" s="17"/>
      <c r="J372" s="17"/>
      <c r="K372" s="17"/>
      <c r="L372" s="34"/>
      <c r="M372" s="34"/>
      <c r="N372" s="35"/>
      <c r="O372" s="35"/>
      <c r="P372" s="35"/>
      <c r="Q372" s="35"/>
      <c r="R372" s="35"/>
      <c r="S372" s="35"/>
      <c r="T372" s="35"/>
    </row>
    <row r="373">
      <c r="A373" s="13"/>
      <c r="B373" s="17"/>
      <c r="C373" s="17"/>
      <c r="D373" s="29"/>
      <c r="E373" s="30"/>
      <c r="F373" s="17"/>
      <c r="G373" s="17"/>
      <c r="H373" s="17"/>
      <c r="I373" s="17"/>
      <c r="J373" s="17"/>
      <c r="K373" s="17"/>
      <c r="L373" s="34"/>
      <c r="M373" s="34"/>
      <c r="N373" s="35"/>
      <c r="O373" s="35"/>
      <c r="P373" s="35"/>
      <c r="Q373" s="35"/>
      <c r="R373" s="35"/>
      <c r="S373" s="35"/>
      <c r="T373" s="35"/>
    </row>
    <row r="374">
      <c r="A374" s="13"/>
      <c r="B374" s="17"/>
      <c r="C374" s="17"/>
      <c r="D374" s="29"/>
      <c r="E374" s="30"/>
      <c r="F374" s="17"/>
      <c r="G374" s="17"/>
      <c r="H374" s="17"/>
      <c r="I374" s="17"/>
      <c r="J374" s="17"/>
      <c r="K374" s="17"/>
      <c r="L374" s="34"/>
      <c r="M374" s="34"/>
      <c r="N374" s="35"/>
      <c r="O374" s="35"/>
      <c r="P374" s="35"/>
      <c r="Q374" s="35"/>
      <c r="R374" s="35"/>
      <c r="S374" s="35"/>
      <c r="T374" s="35"/>
    </row>
    <row r="375">
      <c r="A375" s="13"/>
      <c r="B375" s="17"/>
      <c r="C375" s="17"/>
      <c r="D375" s="29"/>
      <c r="E375" s="30"/>
      <c r="F375" s="17"/>
      <c r="G375" s="17"/>
      <c r="H375" s="17"/>
      <c r="I375" s="17"/>
      <c r="J375" s="17"/>
      <c r="K375" s="17"/>
      <c r="L375" s="34"/>
      <c r="M375" s="34"/>
      <c r="N375" s="35"/>
      <c r="O375" s="35"/>
      <c r="P375" s="35"/>
      <c r="Q375" s="35"/>
      <c r="R375" s="35"/>
      <c r="S375" s="35"/>
      <c r="T375" s="35"/>
    </row>
    <row r="376">
      <c r="A376" s="13"/>
      <c r="B376" s="17"/>
      <c r="C376" s="17"/>
      <c r="D376" s="29"/>
      <c r="E376" s="30"/>
      <c r="F376" s="17"/>
      <c r="G376" s="17"/>
      <c r="H376" s="17"/>
      <c r="I376" s="17"/>
      <c r="J376" s="17"/>
      <c r="K376" s="17"/>
      <c r="L376" s="34"/>
      <c r="M376" s="34"/>
      <c r="N376" s="35"/>
      <c r="O376" s="35"/>
      <c r="P376" s="35"/>
      <c r="Q376" s="35"/>
      <c r="R376" s="35"/>
      <c r="S376" s="35"/>
      <c r="T376" s="35"/>
    </row>
    <row r="377">
      <c r="A377" s="13"/>
      <c r="B377" s="17"/>
      <c r="C377" s="17"/>
      <c r="D377" s="29"/>
      <c r="E377" s="30"/>
      <c r="F377" s="17"/>
      <c r="G377" s="17"/>
      <c r="H377" s="17"/>
      <c r="I377" s="17"/>
      <c r="J377" s="17"/>
      <c r="K377" s="17"/>
      <c r="L377" s="34"/>
      <c r="M377" s="34"/>
      <c r="N377" s="35"/>
      <c r="O377" s="35"/>
      <c r="P377" s="35"/>
      <c r="Q377" s="35"/>
      <c r="R377" s="35"/>
      <c r="S377" s="35"/>
      <c r="T377" s="35"/>
    </row>
    <row r="378">
      <c r="A378" s="13"/>
      <c r="B378" s="17"/>
      <c r="C378" s="17"/>
      <c r="D378" s="29"/>
      <c r="E378" s="30"/>
      <c r="F378" s="17"/>
      <c r="G378" s="17"/>
      <c r="H378" s="17"/>
      <c r="I378" s="17"/>
      <c r="J378" s="17"/>
      <c r="K378" s="17"/>
      <c r="L378" s="34"/>
      <c r="M378" s="34"/>
      <c r="N378" s="35"/>
      <c r="O378" s="35"/>
      <c r="P378" s="35"/>
      <c r="Q378" s="35"/>
      <c r="R378" s="35"/>
      <c r="S378" s="35"/>
      <c r="T378" s="35"/>
    </row>
    <row r="379">
      <c r="A379" s="13"/>
      <c r="B379" s="17"/>
      <c r="C379" s="17"/>
      <c r="D379" s="29"/>
      <c r="E379" s="30"/>
      <c r="F379" s="17"/>
      <c r="G379" s="17"/>
      <c r="H379" s="17"/>
      <c r="I379" s="17"/>
      <c r="J379" s="17"/>
      <c r="K379" s="17"/>
      <c r="L379" s="34"/>
      <c r="M379" s="34"/>
      <c r="N379" s="35"/>
      <c r="O379" s="35"/>
      <c r="P379" s="35"/>
      <c r="Q379" s="35"/>
      <c r="R379" s="35"/>
      <c r="S379" s="35"/>
      <c r="T379" s="35"/>
    </row>
    <row r="380">
      <c r="A380" s="13"/>
      <c r="B380" s="17"/>
      <c r="C380" s="17"/>
      <c r="D380" s="29"/>
      <c r="E380" s="30"/>
      <c r="F380" s="17"/>
      <c r="G380" s="17"/>
      <c r="H380" s="17"/>
      <c r="I380" s="17"/>
      <c r="J380" s="17"/>
      <c r="K380" s="17"/>
      <c r="L380" s="34"/>
      <c r="M380" s="34"/>
      <c r="N380" s="35"/>
      <c r="O380" s="35"/>
      <c r="P380" s="35"/>
      <c r="Q380" s="35"/>
      <c r="R380" s="35"/>
      <c r="S380" s="35"/>
      <c r="T380" s="35"/>
    </row>
    <row r="381">
      <c r="A381" s="13"/>
      <c r="B381" s="17"/>
      <c r="C381" s="17"/>
      <c r="D381" s="29"/>
      <c r="E381" s="30"/>
      <c r="F381" s="17"/>
      <c r="G381" s="17"/>
      <c r="H381" s="17"/>
      <c r="I381" s="17"/>
      <c r="J381" s="17"/>
      <c r="K381" s="17"/>
      <c r="L381" s="34"/>
      <c r="M381" s="34"/>
      <c r="N381" s="35"/>
      <c r="O381" s="35"/>
      <c r="P381" s="35"/>
      <c r="Q381" s="35"/>
      <c r="R381" s="35"/>
      <c r="S381" s="35"/>
      <c r="T381" s="35"/>
    </row>
    <row r="382">
      <c r="A382" s="13"/>
      <c r="B382" s="17"/>
      <c r="C382" s="17"/>
      <c r="D382" s="29"/>
      <c r="E382" s="30"/>
      <c r="F382" s="17"/>
      <c r="G382" s="17"/>
      <c r="H382" s="17"/>
      <c r="I382" s="17"/>
      <c r="J382" s="17"/>
      <c r="K382" s="17"/>
      <c r="L382" s="34"/>
      <c r="M382" s="34"/>
      <c r="N382" s="35"/>
      <c r="O382" s="35"/>
      <c r="P382" s="35"/>
      <c r="Q382" s="35"/>
      <c r="R382" s="35"/>
      <c r="S382" s="35"/>
      <c r="T382" s="35"/>
    </row>
    <row r="383">
      <c r="A383" s="13"/>
      <c r="B383" s="17"/>
      <c r="C383" s="17"/>
      <c r="D383" s="29"/>
      <c r="E383" s="30"/>
      <c r="F383" s="17"/>
      <c r="G383" s="17"/>
      <c r="H383" s="17"/>
      <c r="I383" s="17"/>
      <c r="J383" s="17"/>
      <c r="K383" s="17"/>
      <c r="L383" s="34"/>
      <c r="M383" s="34"/>
      <c r="N383" s="35"/>
      <c r="O383" s="35"/>
      <c r="P383" s="35"/>
      <c r="Q383" s="35"/>
      <c r="R383" s="35"/>
      <c r="S383" s="35"/>
      <c r="T383" s="35"/>
    </row>
    <row r="384">
      <c r="A384" s="13"/>
      <c r="B384" s="17"/>
      <c r="C384" s="17"/>
      <c r="D384" s="29"/>
      <c r="E384" s="30"/>
      <c r="F384" s="17"/>
      <c r="G384" s="17"/>
      <c r="H384" s="17"/>
      <c r="I384" s="17"/>
      <c r="J384" s="17"/>
      <c r="K384" s="17"/>
      <c r="L384" s="34"/>
      <c r="M384" s="34"/>
      <c r="N384" s="35"/>
      <c r="O384" s="35"/>
      <c r="P384" s="35"/>
      <c r="Q384" s="35"/>
      <c r="R384" s="35"/>
      <c r="S384" s="35"/>
      <c r="T384" s="35"/>
    </row>
    <row r="385">
      <c r="A385" s="13"/>
      <c r="B385" s="17"/>
      <c r="C385" s="17"/>
      <c r="D385" s="29"/>
      <c r="E385" s="30"/>
      <c r="F385" s="17"/>
      <c r="G385" s="17"/>
      <c r="H385" s="17"/>
      <c r="I385" s="17"/>
      <c r="J385" s="17"/>
      <c r="K385" s="17"/>
      <c r="L385" s="34"/>
      <c r="M385" s="34"/>
      <c r="N385" s="35"/>
      <c r="O385" s="35"/>
      <c r="P385" s="35"/>
      <c r="Q385" s="35"/>
      <c r="R385" s="35"/>
      <c r="S385" s="35"/>
      <c r="T385" s="35"/>
    </row>
    <row r="386">
      <c r="A386" s="13"/>
      <c r="B386" s="17"/>
      <c r="C386" s="17"/>
      <c r="D386" s="29"/>
      <c r="E386" s="30"/>
      <c r="F386" s="17"/>
      <c r="G386" s="17"/>
      <c r="H386" s="17"/>
      <c r="I386" s="17"/>
      <c r="J386" s="17"/>
      <c r="K386" s="17"/>
      <c r="L386" s="34"/>
      <c r="M386" s="34"/>
      <c r="N386" s="35"/>
      <c r="O386" s="35"/>
      <c r="P386" s="35"/>
      <c r="Q386" s="35"/>
      <c r="R386" s="35"/>
      <c r="S386" s="35"/>
      <c r="T386" s="35"/>
    </row>
    <row r="387">
      <c r="A387" s="13"/>
      <c r="B387" s="17"/>
      <c r="C387" s="17"/>
      <c r="D387" s="29"/>
      <c r="E387" s="30"/>
      <c r="F387" s="17"/>
      <c r="G387" s="17"/>
      <c r="H387" s="17"/>
      <c r="I387" s="17"/>
      <c r="J387" s="17"/>
      <c r="K387" s="17"/>
      <c r="L387" s="34"/>
      <c r="M387" s="34"/>
      <c r="N387" s="35"/>
      <c r="O387" s="35"/>
      <c r="P387" s="35"/>
      <c r="Q387" s="35"/>
      <c r="R387" s="35"/>
      <c r="S387" s="35"/>
      <c r="T387" s="35"/>
    </row>
    <row r="388">
      <c r="A388" s="13"/>
      <c r="B388" s="17"/>
      <c r="C388" s="17"/>
      <c r="D388" s="29"/>
      <c r="E388" s="30"/>
      <c r="F388" s="17"/>
      <c r="G388" s="17"/>
      <c r="H388" s="17"/>
      <c r="I388" s="17"/>
      <c r="J388" s="17"/>
      <c r="K388" s="17"/>
      <c r="L388" s="34"/>
      <c r="M388" s="34"/>
      <c r="N388" s="35"/>
      <c r="O388" s="35"/>
      <c r="P388" s="35"/>
      <c r="Q388" s="35"/>
      <c r="R388" s="35"/>
      <c r="S388" s="35"/>
      <c r="T388" s="35"/>
    </row>
    <row r="389">
      <c r="A389" s="13"/>
      <c r="B389" s="17"/>
      <c r="C389" s="17"/>
      <c r="D389" s="29"/>
      <c r="E389" s="30"/>
      <c r="F389" s="17"/>
      <c r="G389" s="17"/>
      <c r="H389" s="17"/>
      <c r="I389" s="17"/>
      <c r="J389" s="17"/>
      <c r="K389" s="17"/>
      <c r="L389" s="34"/>
      <c r="M389" s="34"/>
      <c r="N389" s="35"/>
      <c r="O389" s="35"/>
      <c r="P389" s="35"/>
      <c r="Q389" s="35"/>
      <c r="R389" s="35"/>
      <c r="S389" s="35"/>
      <c r="T389" s="35"/>
    </row>
    <row r="390">
      <c r="A390" s="13"/>
      <c r="B390" s="17"/>
      <c r="C390" s="17"/>
      <c r="D390" s="29"/>
      <c r="E390" s="30"/>
      <c r="F390" s="17"/>
      <c r="G390" s="17"/>
      <c r="H390" s="17"/>
      <c r="I390" s="17"/>
      <c r="J390" s="17"/>
      <c r="K390" s="17"/>
      <c r="L390" s="34"/>
      <c r="M390" s="34"/>
      <c r="N390" s="35"/>
      <c r="O390" s="35"/>
      <c r="P390" s="35"/>
      <c r="Q390" s="35"/>
      <c r="R390" s="35"/>
      <c r="S390" s="35"/>
      <c r="T390" s="35"/>
    </row>
    <row r="391">
      <c r="A391" s="13"/>
      <c r="B391" s="17"/>
      <c r="C391" s="17"/>
      <c r="D391" s="29"/>
      <c r="E391" s="30"/>
      <c r="F391" s="17"/>
      <c r="G391" s="17"/>
      <c r="H391" s="17"/>
      <c r="I391" s="17"/>
      <c r="J391" s="17"/>
      <c r="K391" s="17"/>
      <c r="L391" s="34"/>
      <c r="M391" s="34"/>
      <c r="N391" s="35"/>
      <c r="O391" s="35"/>
      <c r="P391" s="35"/>
      <c r="Q391" s="35"/>
      <c r="R391" s="35"/>
      <c r="S391" s="35"/>
      <c r="T391" s="35"/>
    </row>
    <row r="392">
      <c r="A392" s="13"/>
      <c r="B392" s="17"/>
      <c r="C392" s="17"/>
      <c r="D392" s="29"/>
      <c r="E392" s="30"/>
      <c r="F392" s="17"/>
      <c r="G392" s="17"/>
      <c r="H392" s="17"/>
      <c r="I392" s="17"/>
      <c r="J392" s="17"/>
      <c r="K392" s="17"/>
      <c r="L392" s="34"/>
      <c r="M392" s="34"/>
      <c r="N392" s="35"/>
      <c r="O392" s="35"/>
      <c r="P392" s="35"/>
      <c r="Q392" s="35"/>
      <c r="R392" s="35"/>
      <c r="S392" s="35"/>
      <c r="T392" s="35"/>
    </row>
    <row r="393">
      <c r="A393" s="13"/>
      <c r="B393" s="17"/>
      <c r="C393" s="17"/>
      <c r="D393" s="29"/>
      <c r="E393" s="30"/>
      <c r="F393" s="17"/>
      <c r="G393" s="17"/>
      <c r="H393" s="17"/>
      <c r="I393" s="17"/>
      <c r="J393" s="17"/>
      <c r="K393" s="17"/>
      <c r="L393" s="34"/>
      <c r="M393" s="34"/>
      <c r="N393" s="35"/>
      <c r="O393" s="35"/>
      <c r="P393" s="35"/>
      <c r="Q393" s="35"/>
      <c r="R393" s="35"/>
      <c r="S393" s="35"/>
      <c r="T393" s="35"/>
    </row>
    <row r="394">
      <c r="A394" s="13"/>
      <c r="B394" s="17"/>
      <c r="C394" s="17"/>
      <c r="D394" s="29"/>
      <c r="E394" s="30"/>
      <c r="F394" s="17"/>
      <c r="G394" s="17"/>
      <c r="H394" s="17"/>
      <c r="I394" s="17"/>
      <c r="J394" s="17"/>
      <c r="K394" s="17"/>
      <c r="L394" s="34"/>
      <c r="M394" s="34"/>
      <c r="N394" s="35"/>
      <c r="O394" s="35"/>
      <c r="P394" s="35"/>
      <c r="Q394" s="35"/>
      <c r="R394" s="35"/>
      <c r="S394" s="35"/>
      <c r="T394" s="35"/>
    </row>
    <row r="395">
      <c r="A395" s="13"/>
      <c r="B395" s="17"/>
      <c r="C395" s="17"/>
      <c r="D395" s="29"/>
      <c r="E395" s="30"/>
      <c r="F395" s="17"/>
      <c r="G395" s="17"/>
      <c r="H395" s="17"/>
      <c r="I395" s="17"/>
      <c r="J395" s="17"/>
      <c r="K395" s="17"/>
      <c r="L395" s="34"/>
      <c r="M395" s="34"/>
      <c r="N395" s="35"/>
      <c r="O395" s="35"/>
      <c r="P395" s="35"/>
      <c r="Q395" s="35"/>
      <c r="R395" s="35"/>
      <c r="S395" s="35"/>
      <c r="T395" s="35"/>
    </row>
    <row r="396">
      <c r="A396" s="13"/>
      <c r="B396" s="17"/>
      <c r="C396" s="17"/>
      <c r="D396" s="29"/>
      <c r="E396" s="30"/>
      <c r="F396" s="17"/>
      <c r="G396" s="17"/>
      <c r="H396" s="17"/>
      <c r="I396" s="17"/>
      <c r="J396" s="17"/>
      <c r="K396" s="17"/>
      <c r="L396" s="34"/>
      <c r="M396" s="34"/>
      <c r="N396" s="35"/>
      <c r="O396" s="35"/>
      <c r="P396" s="35"/>
      <c r="Q396" s="35"/>
      <c r="R396" s="35"/>
      <c r="S396" s="35"/>
      <c r="T396" s="35"/>
    </row>
    <row r="397">
      <c r="A397" s="13"/>
      <c r="B397" s="17"/>
      <c r="C397" s="17"/>
      <c r="D397" s="29"/>
      <c r="E397" s="30"/>
      <c r="F397" s="17"/>
      <c r="G397" s="17"/>
      <c r="H397" s="17"/>
      <c r="I397" s="17"/>
      <c r="J397" s="17"/>
      <c r="K397" s="17"/>
      <c r="L397" s="34"/>
      <c r="M397" s="34"/>
      <c r="N397" s="35"/>
      <c r="O397" s="35"/>
      <c r="P397" s="35"/>
      <c r="Q397" s="35"/>
      <c r="R397" s="35"/>
      <c r="S397" s="35"/>
      <c r="T397" s="35"/>
    </row>
    <row r="398">
      <c r="A398" s="13"/>
      <c r="B398" s="17"/>
      <c r="C398" s="17"/>
      <c r="D398" s="29"/>
      <c r="E398" s="30"/>
      <c r="F398" s="17"/>
      <c r="G398" s="17"/>
      <c r="H398" s="17"/>
      <c r="I398" s="17"/>
      <c r="J398" s="17"/>
      <c r="K398" s="17"/>
      <c r="L398" s="34"/>
      <c r="M398" s="34"/>
      <c r="N398" s="35"/>
      <c r="O398" s="35"/>
      <c r="P398" s="35"/>
      <c r="Q398" s="35"/>
      <c r="R398" s="35"/>
      <c r="S398" s="35"/>
      <c r="T398" s="35"/>
    </row>
    <row r="399">
      <c r="A399" s="13"/>
      <c r="B399" s="17"/>
      <c r="C399" s="17"/>
      <c r="D399" s="29"/>
      <c r="E399" s="30"/>
      <c r="F399" s="17"/>
      <c r="G399" s="17"/>
      <c r="H399" s="17"/>
      <c r="I399" s="17"/>
      <c r="J399" s="17"/>
      <c r="K399" s="17"/>
      <c r="L399" s="34"/>
      <c r="M399" s="34"/>
      <c r="N399" s="35"/>
      <c r="O399" s="35"/>
      <c r="P399" s="35"/>
      <c r="Q399" s="35"/>
      <c r="R399" s="35"/>
      <c r="S399" s="35"/>
      <c r="T399" s="35"/>
    </row>
    <row r="400">
      <c r="A400" s="13"/>
      <c r="B400" s="17"/>
      <c r="C400" s="17"/>
      <c r="D400" s="29"/>
      <c r="E400" s="30"/>
      <c r="F400" s="17"/>
      <c r="G400" s="17"/>
      <c r="H400" s="17"/>
      <c r="I400" s="17"/>
      <c r="J400" s="17"/>
      <c r="K400" s="17"/>
      <c r="L400" s="34"/>
      <c r="M400" s="34"/>
      <c r="N400" s="35"/>
      <c r="O400" s="35"/>
      <c r="P400" s="35"/>
      <c r="Q400" s="35"/>
      <c r="R400" s="35"/>
      <c r="S400" s="35"/>
      <c r="T400" s="35"/>
    </row>
    <row r="401">
      <c r="A401" s="13"/>
      <c r="B401" s="17"/>
      <c r="C401" s="17"/>
      <c r="D401" s="29"/>
      <c r="E401" s="30"/>
      <c r="F401" s="17"/>
      <c r="G401" s="17"/>
      <c r="H401" s="17"/>
      <c r="I401" s="17"/>
      <c r="J401" s="17"/>
      <c r="K401" s="17"/>
      <c r="L401" s="34"/>
      <c r="M401" s="34"/>
      <c r="N401" s="35"/>
      <c r="O401" s="35"/>
      <c r="P401" s="35"/>
      <c r="Q401" s="35"/>
      <c r="R401" s="35"/>
      <c r="S401" s="35"/>
      <c r="T401" s="35"/>
    </row>
    <row r="402">
      <c r="A402" s="13"/>
      <c r="B402" s="17"/>
      <c r="C402" s="17"/>
      <c r="D402" s="29"/>
      <c r="E402" s="30"/>
      <c r="F402" s="17"/>
      <c r="G402" s="17"/>
      <c r="H402" s="17"/>
      <c r="I402" s="17"/>
      <c r="J402" s="17"/>
      <c r="K402" s="17"/>
      <c r="L402" s="34"/>
      <c r="M402" s="34"/>
      <c r="N402" s="35"/>
      <c r="O402" s="35"/>
      <c r="P402" s="35"/>
      <c r="Q402" s="35"/>
      <c r="R402" s="35"/>
      <c r="S402" s="35"/>
      <c r="T402" s="35"/>
    </row>
    <row r="403">
      <c r="A403" s="13"/>
      <c r="B403" s="17"/>
      <c r="C403" s="17"/>
      <c r="D403" s="29"/>
      <c r="E403" s="30"/>
      <c r="F403" s="17"/>
      <c r="G403" s="17"/>
      <c r="H403" s="17"/>
      <c r="I403" s="17"/>
      <c r="J403" s="17"/>
      <c r="K403" s="17"/>
      <c r="L403" s="34"/>
      <c r="M403" s="34"/>
      <c r="N403" s="35"/>
      <c r="O403" s="35"/>
      <c r="P403" s="35"/>
      <c r="Q403" s="35"/>
      <c r="R403" s="35"/>
      <c r="S403" s="35"/>
      <c r="T403" s="35"/>
    </row>
    <row r="404">
      <c r="A404" s="13"/>
      <c r="B404" s="17"/>
      <c r="C404" s="17"/>
      <c r="D404" s="29"/>
      <c r="E404" s="17"/>
      <c r="F404" s="17"/>
      <c r="G404" s="17"/>
      <c r="H404" s="17"/>
      <c r="I404" s="17"/>
      <c r="J404" s="17"/>
      <c r="K404" s="17"/>
      <c r="L404" s="34"/>
      <c r="M404" s="34"/>
      <c r="N404" s="35"/>
      <c r="O404" s="35"/>
      <c r="P404" s="35"/>
      <c r="Q404" s="35"/>
      <c r="R404" s="35"/>
      <c r="S404" s="35"/>
      <c r="T404" s="35"/>
    </row>
    <row r="405">
      <c r="A405" s="13"/>
      <c r="B405" s="17"/>
      <c r="C405" s="17"/>
      <c r="D405" s="29"/>
      <c r="E405" s="17"/>
      <c r="F405" s="17"/>
      <c r="G405" s="17"/>
      <c r="H405" s="17"/>
      <c r="I405" s="17"/>
      <c r="J405" s="17"/>
      <c r="K405" s="17"/>
      <c r="L405" s="34"/>
      <c r="M405" s="34"/>
      <c r="N405" s="35"/>
      <c r="O405" s="35"/>
      <c r="P405" s="35"/>
      <c r="Q405" s="35"/>
      <c r="R405" s="35"/>
      <c r="S405" s="35"/>
      <c r="T405" s="35"/>
    </row>
    <row r="406">
      <c r="A406" s="13"/>
      <c r="B406" s="17"/>
      <c r="C406" s="17"/>
      <c r="D406" s="29"/>
      <c r="E406" s="17"/>
      <c r="F406" s="17"/>
      <c r="G406" s="17"/>
      <c r="H406" s="17"/>
      <c r="I406" s="17"/>
      <c r="J406" s="17"/>
      <c r="K406" s="17"/>
      <c r="L406" s="34"/>
      <c r="M406" s="34"/>
      <c r="N406" s="35"/>
      <c r="O406" s="35"/>
      <c r="P406" s="35"/>
      <c r="Q406" s="35"/>
      <c r="R406" s="35"/>
      <c r="S406" s="35"/>
      <c r="T406" s="35"/>
    </row>
    <row r="407">
      <c r="A407" s="13"/>
      <c r="B407" s="17"/>
      <c r="C407" s="17"/>
      <c r="D407" s="29"/>
      <c r="E407" s="17"/>
      <c r="F407" s="17"/>
      <c r="G407" s="17"/>
      <c r="H407" s="17"/>
      <c r="I407" s="17"/>
      <c r="J407" s="17"/>
      <c r="K407" s="17"/>
      <c r="L407" s="34"/>
      <c r="M407" s="34"/>
      <c r="N407" s="35"/>
      <c r="O407" s="35"/>
      <c r="P407" s="35"/>
      <c r="Q407" s="35"/>
      <c r="R407" s="35"/>
      <c r="S407" s="35"/>
      <c r="T407" s="35"/>
    </row>
    <row r="408">
      <c r="A408" s="13"/>
      <c r="B408" s="17"/>
      <c r="C408" s="17"/>
      <c r="D408" s="29"/>
      <c r="E408" s="17"/>
      <c r="F408" s="17"/>
      <c r="G408" s="17"/>
      <c r="H408" s="17"/>
      <c r="I408" s="17"/>
      <c r="J408" s="17"/>
      <c r="K408" s="17"/>
      <c r="L408" s="34"/>
      <c r="M408" s="34"/>
      <c r="N408" s="35"/>
      <c r="O408" s="35"/>
      <c r="P408" s="35"/>
      <c r="Q408" s="35"/>
      <c r="R408" s="35"/>
      <c r="S408" s="35"/>
      <c r="T408" s="35"/>
    </row>
    <row r="409">
      <c r="A409" s="13"/>
      <c r="B409" s="17"/>
      <c r="C409" s="17"/>
      <c r="D409" s="29"/>
      <c r="E409" s="17"/>
      <c r="F409" s="17"/>
      <c r="G409" s="17"/>
      <c r="H409" s="17"/>
      <c r="I409" s="17"/>
      <c r="J409" s="17"/>
      <c r="K409" s="17"/>
      <c r="L409" s="34"/>
      <c r="M409" s="34"/>
      <c r="N409" s="35"/>
      <c r="O409" s="35"/>
      <c r="P409" s="35"/>
      <c r="Q409" s="35"/>
      <c r="R409" s="35"/>
      <c r="S409" s="35"/>
      <c r="T409" s="35"/>
    </row>
    <row r="410">
      <c r="A410" s="13"/>
      <c r="B410" s="17"/>
      <c r="C410" s="17"/>
      <c r="D410" s="29"/>
      <c r="E410" s="17"/>
      <c r="F410" s="17"/>
      <c r="G410" s="17"/>
      <c r="H410" s="17"/>
      <c r="I410" s="17"/>
      <c r="J410" s="17"/>
      <c r="K410" s="17"/>
      <c r="L410" s="34"/>
      <c r="M410" s="34"/>
      <c r="N410" s="35"/>
      <c r="O410" s="35"/>
      <c r="P410" s="35"/>
      <c r="Q410" s="35"/>
      <c r="R410" s="35"/>
      <c r="S410" s="35"/>
      <c r="T410" s="35"/>
    </row>
    <row r="411">
      <c r="A411" s="13"/>
      <c r="B411" s="17"/>
      <c r="C411" s="17"/>
      <c r="D411" s="29"/>
      <c r="E411" s="17"/>
      <c r="F411" s="17"/>
      <c r="G411" s="17"/>
      <c r="H411" s="17"/>
      <c r="I411" s="17"/>
      <c r="J411" s="17"/>
      <c r="K411" s="17"/>
      <c r="L411" s="34"/>
      <c r="M411" s="34"/>
      <c r="N411" s="35"/>
      <c r="O411" s="35"/>
      <c r="P411" s="35"/>
      <c r="Q411" s="35"/>
      <c r="R411" s="35"/>
      <c r="S411" s="35"/>
      <c r="T411" s="35"/>
    </row>
    <row r="412">
      <c r="A412" s="13"/>
      <c r="B412" s="17"/>
      <c r="C412" s="17"/>
      <c r="D412" s="29"/>
      <c r="E412" s="17"/>
      <c r="F412" s="17"/>
      <c r="G412" s="17"/>
      <c r="H412" s="17"/>
      <c r="I412" s="17"/>
      <c r="J412" s="17"/>
      <c r="K412" s="17"/>
      <c r="L412" s="34"/>
      <c r="M412" s="34"/>
      <c r="N412" s="35"/>
      <c r="O412" s="35"/>
      <c r="P412" s="35"/>
      <c r="Q412" s="35"/>
      <c r="R412" s="35"/>
      <c r="S412" s="35"/>
      <c r="T412" s="35"/>
    </row>
    <row r="413">
      <c r="A413" s="13"/>
      <c r="B413" s="17"/>
      <c r="C413" s="17"/>
      <c r="D413" s="29"/>
      <c r="E413" s="17"/>
      <c r="F413" s="17"/>
      <c r="G413" s="17"/>
      <c r="H413" s="17"/>
      <c r="I413" s="17"/>
      <c r="J413" s="17"/>
      <c r="K413" s="17"/>
      <c r="L413" s="34"/>
      <c r="M413" s="34"/>
      <c r="N413" s="35"/>
      <c r="O413" s="35"/>
      <c r="P413" s="35"/>
      <c r="Q413" s="35"/>
      <c r="R413" s="35"/>
      <c r="S413" s="35"/>
      <c r="T413" s="35"/>
    </row>
    <row r="414">
      <c r="A414" s="13"/>
      <c r="B414" s="17"/>
      <c r="C414" s="17"/>
      <c r="D414" s="29"/>
      <c r="E414" s="17"/>
      <c r="F414" s="17"/>
      <c r="G414" s="17"/>
      <c r="H414" s="17"/>
      <c r="I414" s="17"/>
      <c r="J414" s="17"/>
      <c r="K414" s="17"/>
      <c r="L414" s="34"/>
      <c r="M414" s="34"/>
      <c r="N414" s="35"/>
      <c r="O414" s="35"/>
      <c r="P414" s="35"/>
      <c r="Q414" s="35"/>
      <c r="R414" s="35"/>
      <c r="S414" s="35"/>
      <c r="T414" s="35"/>
    </row>
    <row r="415">
      <c r="A415" s="13"/>
      <c r="B415" s="17"/>
      <c r="C415" s="17"/>
      <c r="D415" s="29"/>
      <c r="E415" s="17"/>
      <c r="F415" s="17"/>
      <c r="G415" s="17"/>
      <c r="H415" s="17"/>
      <c r="I415" s="17"/>
      <c r="J415" s="17"/>
      <c r="K415" s="17"/>
      <c r="L415" s="34"/>
      <c r="M415" s="34"/>
      <c r="N415" s="35"/>
      <c r="O415" s="35"/>
      <c r="P415" s="35"/>
      <c r="Q415" s="35"/>
      <c r="R415" s="35"/>
      <c r="S415" s="35"/>
      <c r="T415" s="35"/>
    </row>
    <row r="416">
      <c r="A416" s="13"/>
      <c r="B416" s="17"/>
      <c r="C416" s="17"/>
      <c r="D416" s="29"/>
      <c r="E416" s="17"/>
      <c r="F416" s="17"/>
      <c r="G416" s="17"/>
      <c r="H416" s="17"/>
      <c r="I416" s="17"/>
      <c r="J416" s="17"/>
      <c r="K416" s="17"/>
      <c r="L416" s="34"/>
      <c r="M416" s="34"/>
      <c r="N416" s="35"/>
      <c r="O416" s="35"/>
      <c r="P416" s="35"/>
      <c r="Q416" s="35"/>
      <c r="R416" s="35"/>
      <c r="S416" s="35"/>
      <c r="T416" s="35"/>
    </row>
    <row r="417">
      <c r="A417" s="13"/>
      <c r="B417" s="17"/>
      <c r="C417" s="17"/>
      <c r="D417" s="29"/>
      <c r="E417" s="17"/>
      <c r="F417" s="17"/>
      <c r="G417" s="17"/>
      <c r="H417" s="17"/>
      <c r="I417" s="17"/>
      <c r="J417" s="17"/>
      <c r="K417" s="17"/>
      <c r="L417" s="34"/>
      <c r="M417" s="34"/>
      <c r="N417" s="35"/>
      <c r="O417" s="35"/>
      <c r="P417" s="35"/>
      <c r="Q417" s="35"/>
      <c r="R417" s="35"/>
      <c r="S417" s="35"/>
      <c r="T417" s="35"/>
    </row>
    <row r="418">
      <c r="A418" s="13"/>
      <c r="B418" s="17"/>
      <c r="C418" s="17"/>
      <c r="D418" s="29"/>
      <c r="E418" s="17"/>
      <c r="F418" s="17"/>
      <c r="G418" s="17"/>
      <c r="H418" s="17"/>
      <c r="I418" s="17"/>
      <c r="J418" s="17"/>
      <c r="K418" s="17"/>
      <c r="L418" s="34"/>
      <c r="M418" s="34"/>
      <c r="N418" s="35"/>
      <c r="O418" s="35"/>
      <c r="P418" s="35"/>
      <c r="Q418" s="35"/>
      <c r="R418" s="35"/>
      <c r="S418" s="35"/>
      <c r="T418" s="35"/>
    </row>
    <row r="419">
      <c r="A419" s="13"/>
      <c r="B419" s="17"/>
      <c r="C419" s="17"/>
      <c r="D419" s="29"/>
      <c r="E419" s="17"/>
      <c r="F419" s="17"/>
      <c r="G419" s="17"/>
      <c r="H419" s="17"/>
      <c r="I419" s="17"/>
      <c r="J419" s="17"/>
      <c r="K419" s="17"/>
      <c r="L419" s="34"/>
      <c r="M419" s="34"/>
      <c r="N419" s="35"/>
      <c r="O419" s="35"/>
      <c r="P419" s="35"/>
      <c r="Q419" s="35"/>
      <c r="R419" s="35"/>
      <c r="S419" s="35"/>
      <c r="T419" s="35"/>
    </row>
    <row r="420">
      <c r="A420" s="13"/>
      <c r="B420" s="17"/>
      <c r="C420" s="17"/>
      <c r="D420" s="29"/>
      <c r="E420" s="17"/>
      <c r="F420" s="17"/>
      <c r="G420" s="17"/>
      <c r="H420" s="17"/>
      <c r="I420" s="17"/>
      <c r="J420" s="17"/>
      <c r="K420" s="17"/>
      <c r="L420" s="34"/>
      <c r="M420" s="34"/>
      <c r="N420" s="35"/>
      <c r="O420" s="35"/>
      <c r="P420" s="35"/>
      <c r="Q420" s="35"/>
      <c r="R420" s="35"/>
      <c r="S420" s="35"/>
      <c r="T420" s="35"/>
    </row>
    <row r="421">
      <c r="A421" s="13"/>
      <c r="B421" s="17"/>
      <c r="C421" s="17"/>
      <c r="D421" s="29"/>
      <c r="E421" s="17"/>
      <c r="F421" s="17"/>
      <c r="G421" s="17"/>
      <c r="H421" s="17"/>
      <c r="I421" s="17"/>
      <c r="J421" s="17"/>
      <c r="K421" s="17"/>
      <c r="L421" s="34"/>
      <c r="M421" s="34"/>
      <c r="N421" s="35"/>
      <c r="O421" s="35"/>
      <c r="P421" s="35"/>
      <c r="Q421" s="35"/>
      <c r="R421" s="35"/>
      <c r="S421" s="35"/>
      <c r="T421" s="35"/>
    </row>
    <row r="422">
      <c r="A422" s="13"/>
      <c r="B422" s="17"/>
      <c r="C422" s="17"/>
      <c r="D422" s="29"/>
      <c r="E422" s="17"/>
      <c r="F422" s="17"/>
      <c r="G422" s="17"/>
      <c r="H422" s="17"/>
      <c r="I422" s="17"/>
      <c r="J422" s="17"/>
      <c r="K422" s="17"/>
      <c r="L422" s="34"/>
      <c r="M422" s="34"/>
      <c r="N422" s="35"/>
      <c r="O422" s="35"/>
      <c r="P422" s="35"/>
      <c r="Q422" s="35"/>
      <c r="R422" s="35"/>
      <c r="S422" s="35"/>
      <c r="T422" s="35"/>
    </row>
    <row r="423">
      <c r="A423" s="13"/>
      <c r="B423" s="17"/>
      <c r="C423" s="17"/>
      <c r="D423" s="29"/>
      <c r="E423" s="17"/>
      <c r="F423" s="17"/>
      <c r="G423" s="17"/>
      <c r="H423" s="17"/>
      <c r="I423" s="17"/>
      <c r="J423" s="17"/>
      <c r="K423" s="17"/>
      <c r="L423" s="34"/>
      <c r="M423" s="34"/>
      <c r="N423" s="35"/>
      <c r="O423" s="35"/>
      <c r="P423" s="35"/>
      <c r="Q423" s="35"/>
      <c r="R423" s="35"/>
      <c r="S423" s="35"/>
      <c r="T423" s="35"/>
    </row>
    <row r="424">
      <c r="A424" s="13"/>
      <c r="B424" s="17"/>
      <c r="C424" s="17"/>
      <c r="D424" s="29"/>
      <c r="E424" s="17"/>
      <c r="F424" s="17"/>
      <c r="G424" s="17"/>
      <c r="H424" s="17"/>
      <c r="I424" s="17"/>
      <c r="J424" s="17"/>
      <c r="K424" s="17"/>
      <c r="L424" s="34"/>
      <c r="M424" s="34"/>
      <c r="N424" s="35"/>
      <c r="O424" s="35"/>
      <c r="P424" s="35"/>
      <c r="Q424" s="35"/>
      <c r="R424" s="35"/>
      <c r="S424" s="35"/>
      <c r="T424" s="35"/>
    </row>
    <row r="425">
      <c r="A425" s="13"/>
      <c r="B425" s="17"/>
      <c r="C425" s="17"/>
      <c r="D425" s="29"/>
      <c r="E425" s="17"/>
      <c r="F425" s="17"/>
      <c r="G425" s="17"/>
      <c r="H425" s="17"/>
      <c r="I425" s="17"/>
      <c r="J425" s="17"/>
      <c r="K425" s="17"/>
      <c r="L425" s="34"/>
      <c r="M425" s="34"/>
      <c r="N425" s="35"/>
      <c r="O425" s="35"/>
      <c r="P425" s="35"/>
      <c r="Q425" s="35"/>
      <c r="R425" s="35"/>
      <c r="S425" s="35"/>
      <c r="T425" s="35"/>
    </row>
    <row r="426">
      <c r="A426" s="13"/>
      <c r="B426" s="17"/>
      <c r="C426" s="17"/>
      <c r="D426" s="29"/>
      <c r="E426" s="17"/>
      <c r="F426" s="17"/>
      <c r="G426" s="17"/>
      <c r="H426" s="17"/>
      <c r="I426" s="17"/>
      <c r="J426" s="17"/>
      <c r="K426" s="17"/>
      <c r="L426" s="34"/>
      <c r="M426" s="34"/>
      <c r="N426" s="35"/>
      <c r="O426" s="35"/>
      <c r="P426" s="35"/>
      <c r="Q426" s="35"/>
      <c r="R426" s="35"/>
      <c r="S426" s="35"/>
      <c r="T426" s="35"/>
    </row>
    <row r="427">
      <c r="A427" s="13"/>
      <c r="B427" s="17"/>
      <c r="C427" s="17"/>
      <c r="D427" s="29"/>
      <c r="E427" s="17"/>
      <c r="F427" s="17"/>
      <c r="G427" s="17"/>
      <c r="H427" s="17"/>
      <c r="I427" s="17"/>
      <c r="J427" s="17"/>
      <c r="K427" s="17"/>
      <c r="L427" s="34"/>
      <c r="M427" s="34"/>
      <c r="N427" s="35"/>
      <c r="O427" s="35"/>
      <c r="P427" s="35"/>
      <c r="Q427" s="35"/>
      <c r="R427" s="35"/>
      <c r="S427" s="35"/>
      <c r="T427" s="35"/>
    </row>
    <row r="428">
      <c r="A428" s="13"/>
      <c r="B428" s="17"/>
      <c r="C428" s="17"/>
      <c r="D428" s="29"/>
      <c r="E428" s="17"/>
      <c r="F428" s="17"/>
      <c r="G428" s="17"/>
      <c r="H428" s="17"/>
      <c r="I428" s="17"/>
      <c r="J428" s="17"/>
      <c r="K428" s="17"/>
      <c r="L428" s="34"/>
      <c r="M428" s="34"/>
      <c r="N428" s="35"/>
      <c r="O428" s="35"/>
      <c r="P428" s="35"/>
      <c r="Q428" s="35"/>
      <c r="R428" s="35"/>
      <c r="S428" s="35"/>
      <c r="T428" s="35"/>
    </row>
    <row r="429">
      <c r="A429" s="13"/>
      <c r="B429" s="17"/>
      <c r="C429" s="17"/>
      <c r="D429" s="29"/>
      <c r="E429" s="17"/>
      <c r="F429" s="17"/>
      <c r="G429" s="17"/>
      <c r="H429" s="17"/>
      <c r="I429" s="17"/>
      <c r="J429" s="17"/>
      <c r="K429" s="17"/>
      <c r="L429" s="34"/>
      <c r="M429" s="34"/>
      <c r="N429" s="35"/>
      <c r="O429" s="35"/>
      <c r="P429" s="35"/>
      <c r="Q429" s="35"/>
      <c r="R429" s="35"/>
      <c r="S429" s="35"/>
      <c r="T429" s="35"/>
    </row>
    <row r="430">
      <c r="A430" s="13"/>
      <c r="B430" s="17"/>
      <c r="C430" s="17"/>
      <c r="D430" s="29"/>
      <c r="E430" s="17"/>
      <c r="F430" s="17"/>
      <c r="G430" s="17"/>
      <c r="H430" s="17"/>
      <c r="I430" s="17"/>
      <c r="J430" s="17"/>
      <c r="K430" s="17"/>
      <c r="L430" s="34"/>
      <c r="M430" s="34"/>
      <c r="N430" s="35"/>
      <c r="O430" s="35"/>
      <c r="P430" s="35"/>
      <c r="Q430" s="35"/>
      <c r="R430" s="35"/>
      <c r="S430" s="35"/>
      <c r="T430" s="35"/>
    </row>
    <row r="431">
      <c r="A431" s="13"/>
      <c r="B431" s="17"/>
      <c r="C431" s="17"/>
      <c r="D431" s="29"/>
      <c r="E431" s="17"/>
      <c r="F431" s="17"/>
      <c r="G431" s="17"/>
      <c r="H431" s="17"/>
      <c r="I431" s="17"/>
      <c r="J431" s="17"/>
      <c r="K431" s="17"/>
      <c r="L431" s="34"/>
      <c r="M431" s="34"/>
      <c r="N431" s="35"/>
      <c r="O431" s="35"/>
      <c r="P431" s="35"/>
      <c r="Q431" s="35"/>
      <c r="R431" s="35"/>
      <c r="S431" s="35"/>
      <c r="T431" s="35"/>
    </row>
    <row r="432">
      <c r="A432" s="13"/>
      <c r="B432" s="17"/>
      <c r="C432" s="17"/>
      <c r="D432" s="29"/>
      <c r="E432" s="17"/>
      <c r="F432" s="17"/>
      <c r="G432" s="17"/>
      <c r="H432" s="17"/>
      <c r="I432" s="17"/>
      <c r="J432" s="17"/>
      <c r="K432" s="17"/>
      <c r="L432" s="34"/>
      <c r="M432" s="34"/>
      <c r="N432" s="35"/>
      <c r="O432" s="35"/>
      <c r="P432" s="35"/>
      <c r="Q432" s="35"/>
      <c r="R432" s="35"/>
      <c r="S432" s="35"/>
      <c r="T432" s="35"/>
    </row>
    <row r="433">
      <c r="A433" s="13"/>
      <c r="B433" s="17"/>
      <c r="C433" s="17"/>
      <c r="D433" s="29"/>
      <c r="E433" s="17"/>
      <c r="F433" s="17"/>
      <c r="G433" s="17"/>
      <c r="H433" s="17"/>
      <c r="I433" s="17"/>
      <c r="J433" s="17"/>
      <c r="K433" s="17"/>
      <c r="L433" s="34"/>
      <c r="M433" s="34"/>
      <c r="N433" s="35"/>
      <c r="O433" s="35"/>
      <c r="P433" s="35"/>
      <c r="Q433" s="35"/>
      <c r="R433" s="35"/>
      <c r="S433" s="35"/>
      <c r="T433" s="35"/>
    </row>
    <row r="434">
      <c r="A434" s="13"/>
      <c r="B434" s="17"/>
      <c r="C434" s="17"/>
      <c r="D434" s="29"/>
      <c r="E434" s="17"/>
      <c r="F434" s="17"/>
      <c r="G434" s="17"/>
      <c r="H434" s="17"/>
      <c r="I434" s="17"/>
      <c r="J434" s="17"/>
      <c r="K434" s="17"/>
      <c r="L434" s="34"/>
      <c r="M434" s="34"/>
      <c r="N434" s="35"/>
      <c r="O434" s="35"/>
      <c r="P434" s="35"/>
      <c r="Q434" s="35"/>
      <c r="R434" s="35"/>
      <c r="S434" s="35"/>
      <c r="T434" s="35"/>
    </row>
    <row r="435">
      <c r="A435" s="13"/>
      <c r="B435" s="17"/>
      <c r="C435" s="17"/>
      <c r="D435" s="29"/>
      <c r="E435" s="17"/>
      <c r="F435" s="17"/>
      <c r="G435" s="17"/>
      <c r="H435" s="17"/>
      <c r="I435" s="17"/>
      <c r="J435" s="17"/>
      <c r="K435" s="17"/>
      <c r="L435" s="34"/>
      <c r="M435" s="34"/>
      <c r="N435" s="35"/>
      <c r="O435" s="35"/>
      <c r="P435" s="35"/>
      <c r="Q435" s="35"/>
      <c r="R435" s="35"/>
      <c r="S435" s="35"/>
      <c r="T435" s="35"/>
    </row>
    <row r="436">
      <c r="A436" s="13"/>
      <c r="B436" s="17"/>
      <c r="C436" s="17"/>
      <c r="D436" s="29"/>
      <c r="E436" s="17"/>
      <c r="F436" s="17"/>
      <c r="G436" s="17"/>
      <c r="H436" s="17"/>
      <c r="I436" s="17"/>
      <c r="J436" s="17"/>
      <c r="K436" s="17"/>
      <c r="L436" s="34"/>
      <c r="M436" s="34"/>
      <c r="N436" s="35"/>
      <c r="O436" s="35"/>
      <c r="P436" s="35"/>
      <c r="Q436" s="35"/>
      <c r="R436" s="35"/>
      <c r="S436" s="35"/>
      <c r="T436" s="35"/>
    </row>
    <row r="437">
      <c r="A437" s="13"/>
      <c r="B437" s="17"/>
      <c r="C437" s="17"/>
      <c r="D437" s="29"/>
      <c r="E437" s="17"/>
      <c r="F437" s="17"/>
      <c r="G437" s="17"/>
      <c r="H437" s="17"/>
      <c r="I437" s="17"/>
      <c r="J437" s="17"/>
      <c r="K437" s="17"/>
      <c r="L437" s="34"/>
      <c r="M437" s="34"/>
      <c r="N437" s="35"/>
      <c r="O437" s="35"/>
      <c r="P437" s="35"/>
      <c r="Q437" s="35"/>
      <c r="R437" s="35"/>
      <c r="S437" s="35"/>
      <c r="T437" s="35"/>
    </row>
    <row r="438">
      <c r="A438" s="13"/>
      <c r="B438" s="17"/>
      <c r="C438" s="17"/>
      <c r="D438" s="29"/>
      <c r="E438" s="17"/>
      <c r="F438" s="17"/>
      <c r="G438" s="17"/>
      <c r="H438" s="17"/>
      <c r="I438" s="17"/>
      <c r="J438" s="17"/>
      <c r="K438" s="17"/>
      <c r="L438" s="34"/>
      <c r="M438" s="34"/>
      <c r="N438" s="35"/>
      <c r="O438" s="35"/>
      <c r="P438" s="35"/>
      <c r="Q438" s="35"/>
      <c r="R438" s="35"/>
      <c r="S438" s="35"/>
      <c r="T438" s="35"/>
    </row>
    <row r="439">
      <c r="A439" s="13"/>
      <c r="B439" s="17"/>
      <c r="C439" s="17"/>
      <c r="D439" s="29"/>
      <c r="E439" s="17"/>
      <c r="F439" s="17"/>
      <c r="G439" s="17"/>
      <c r="H439" s="17"/>
      <c r="I439" s="17"/>
      <c r="J439" s="17"/>
      <c r="K439" s="17"/>
      <c r="L439" s="34"/>
      <c r="M439" s="34"/>
      <c r="N439" s="35"/>
      <c r="O439" s="35"/>
      <c r="P439" s="35"/>
      <c r="Q439" s="35"/>
      <c r="R439" s="35"/>
      <c r="S439" s="35"/>
      <c r="T439" s="35"/>
    </row>
    <row r="440">
      <c r="A440" s="13"/>
      <c r="B440" s="17"/>
      <c r="C440" s="17"/>
      <c r="D440" s="29"/>
      <c r="E440" s="17"/>
      <c r="F440" s="17"/>
      <c r="G440" s="17"/>
      <c r="H440" s="17"/>
      <c r="I440" s="17"/>
      <c r="J440" s="17"/>
      <c r="K440" s="17"/>
      <c r="L440" s="34"/>
      <c r="M440" s="34"/>
      <c r="N440" s="35"/>
      <c r="O440" s="35"/>
      <c r="P440" s="35"/>
      <c r="Q440" s="35"/>
      <c r="R440" s="35"/>
      <c r="S440" s="35"/>
      <c r="T440" s="35"/>
    </row>
    <row r="441">
      <c r="A441" s="13"/>
      <c r="B441" s="17"/>
      <c r="C441" s="17"/>
      <c r="D441" s="29"/>
      <c r="E441" s="17"/>
      <c r="F441" s="17"/>
      <c r="G441" s="17"/>
      <c r="H441" s="17"/>
      <c r="I441" s="17"/>
      <c r="J441" s="17"/>
      <c r="K441" s="17"/>
      <c r="L441" s="34"/>
      <c r="M441" s="34"/>
      <c r="N441" s="35"/>
      <c r="O441" s="35"/>
      <c r="P441" s="35"/>
      <c r="Q441" s="35"/>
      <c r="R441" s="35"/>
      <c r="S441" s="35"/>
      <c r="T441" s="35"/>
    </row>
    <row r="442">
      <c r="A442" s="13"/>
      <c r="B442" s="17"/>
      <c r="C442" s="17"/>
      <c r="D442" s="29"/>
      <c r="E442" s="17"/>
      <c r="F442" s="17"/>
      <c r="G442" s="17"/>
      <c r="H442" s="17"/>
      <c r="I442" s="17"/>
      <c r="J442" s="17"/>
      <c r="K442" s="17"/>
      <c r="L442" s="34"/>
      <c r="M442" s="34"/>
      <c r="N442" s="35"/>
      <c r="O442" s="35"/>
      <c r="P442" s="35"/>
      <c r="Q442" s="35"/>
      <c r="R442" s="35"/>
      <c r="S442" s="35"/>
      <c r="T442" s="35"/>
    </row>
    <row r="443">
      <c r="A443" s="13"/>
      <c r="B443" s="17"/>
      <c r="C443" s="17"/>
      <c r="D443" s="29"/>
      <c r="E443" s="17"/>
      <c r="F443" s="17"/>
      <c r="G443" s="17"/>
      <c r="H443" s="17"/>
      <c r="I443" s="17"/>
      <c r="J443" s="17"/>
      <c r="K443" s="17"/>
      <c r="L443" s="34"/>
      <c r="M443" s="34"/>
      <c r="N443" s="35"/>
      <c r="O443" s="35"/>
      <c r="P443" s="35"/>
      <c r="Q443" s="35"/>
      <c r="R443" s="35"/>
      <c r="S443" s="35"/>
      <c r="T443" s="35"/>
    </row>
    <row r="444">
      <c r="A444" s="13"/>
      <c r="B444" s="17"/>
      <c r="C444" s="17"/>
      <c r="D444" s="29"/>
      <c r="E444" s="17"/>
      <c r="F444" s="17"/>
      <c r="G444" s="17"/>
      <c r="H444" s="17"/>
      <c r="I444" s="17"/>
      <c r="J444" s="17"/>
      <c r="K444" s="17"/>
      <c r="L444" s="34"/>
      <c r="M444" s="34"/>
      <c r="N444" s="35"/>
      <c r="O444" s="35"/>
      <c r="P444" s="35"/>
      <c r="Q444" s="35"/>
      <c r="R444" s="35"/>
      <c r="S444" s="35"/>
      <c r="T444" s="35"/>
    </row>
    <row r="445">
      <c r="A445" s="13"/>
      <c r="B445" s="17"/>
      <c r="C445" s="17"/>
      <c r="D445" s="29"/>
      <c r="E445" s="17"/>
      <c r="F445" s="17"/>
      <c r="G445" s="17"/>
      <c r="H445" s="17"/>
      <c r="I445" s="17"/>
      <c r="J445" s="17"/>
      <c r="K445" s="17"/>
      <c r="L445" s="34"/>
      <c r="M445" s="34"/>
      <c r="N445" s="35"/>
      <c r="O445" s="35"/>
      <c r="P445" s="35"/>
      <c r="Q445" s="35"/>
      <c r="R445" s="35"/>
      <c r="S445" s="35"/>
      <c r="T445" s="35"/>
    </row>
    <row r="446">
      <c r="A446" s="13"/>
      <c r="B446" s="17"/>
      <c r="C446" s="17"/>
      <c r="D446" s="29"/>
      <c r="E446" s="17"/>
      <c r="F446" s="17"/>
      <c r="G446" s="17"/>
      <c r="H446" s="17"/>
      <c r="I446" s="17"/>
      <c r="J446" s="17"/>
      <c r="K446" s="17"/>
      <c r="L446" s="34"/>
      <c r="M446" s="34"/>
      <c r="N446" s="35"/>
      <c r="O446" s="35"/>
      <c r="P446" s="35"/>
      <c r="Q446" s="35"/>
      <c r="R446" s="35"/>
      <c r="S446" s="35"/>
      <c r="T446" s="35"/>
    </row>
    <row r="447">
      <c r="A447" s="13"/>
      <c r="B447" s="17"/>
      <c r="C447" s="17"/>
      <c r="D447" s="29"/>
      <c r="E447" s="17"/>
      <c r="F447" s="17"/>
      <c r="G447" s="17"/>
      <c r="H447" s="17"/>
      <c r="I447" s="17"/>
      <c r="J447" s="17"/>
      <c r="K447" s="17"/>
      <c r="L447" s="34"/>
      <c r="M447" s="34"/>
      <c r="N447" s="35"/>
      <c r="O447" s="35"/>
      <c r="P447" s="35"/>
      <c r="Q447" s="35"/>
      <c r="R447" s="35"/>
      <c r="S447" s="35"/>
      <c r="T447" s="35"/>
    </row>
    <row r="448">
      <c r="A448" s="13"/>
      <c r="B448" s="17"/>
      <c r="C448" s="17"/>
      <c r="D448" s="29"/>
      <c r="E448" s="17"/>
      <c r="F448" s="17"/>
      <c r="G448" s="17"/>
      <c r="H448" s="17"/>
      <c r="I448" s="17"/>
      <c r="J448" s="17"/>
      <c r="K448" s="17"/>
      <c r="L448" s="34"/>
      <c r="M448" s="34"/>
      <c r="N448" s="35"/>
      <c r="O448" s="35"/>
      <c r="P448" s="35"/>
      <c r="Q448" s="35"/>
      <c r="R448" s="35"/>
      <c r="S448" s="35"/>
      <c r="T448" s="35"/>
    </row>
    <row r="449">
      <c r="A449" s="13"/>
      <c r="B449" s="17"/>
      <c r="C449" s="17"/>
      <c r="D449" s="29"/>
      <c r="E449" s="17"/>
      <c r="F449" s="17"/>
      <c r="G449" s="17"/>
      <c r="H449" s="17"/>
      <c r="I449" s="17"/>
      <c r="J449" s="17"/>
      <c r="K449" s="17"/>
      <c r="L449" s="34"/>
      <c r="M449" s="34"/>
      <c r="N449" s="35"/>
      <c r="O449" s="35"/>
      <c r="P449" s="35"/>
      <c r="Q449" s="35"/>
      <c r="R449" s="35"/>
      <c r="S449" s="35"/>
      <c r="T449" s="35"/>
    </row>
    <row r="450">
      <c r="A450" s="13"/>
      <c r="B450" s="17"/>
      <c r="C450" s="17"/>
      <c r="D450" s="29"/>
      <c r="E450" s="17"/>
      <c r="F450" s="17"/>
      <c r="G450" s="17"/>
      <c r="H450" s="17"/>
      <c r="I450" s="17"/>
      <c r="J450" s="17"/>
      <c r="K450" s="17"/>
      <c r="L450" s="34"/>
      <c r="M450" s="34"/>
      <c r="N450" s="35"/>
      <c r="O450" s="35"/>
      <c r="P450" s="35"/>
      <c r="Q450" s="35"/>
      <c r="R450" s="35"/>
      <c r="S450" s="35"/>
      <c r="T450" s="35"/>
    </row>
    <row r="451">
      <c r="A451" s="13"/>
      <c r="B451" s="17"/>
      <c r="C451" s="17"/>
      <c r="D451" s="29"/>
      <c r="E451" s="17"/>
      <c r="F451" s="17"/>
      <c r="G451" s="17"/>
      <c r="H451" s="17"/>
      <c r="I451" s="17"/>
      <c r="J451" s="17"/>
      <c r="K451" s="17"/>
      <c r="L451" s="34"/>
      <c r="M451" s="34"/>
      <c r="N451" s="35"/>
      <c r="O451" s="35"/>
      <c r="P451" s="35"/>
      <c r="Q451" s="35"/>
      <c r="R451" s="35"/>
      <c r="S451" s="35"/>
      <c r="T451" s="35"/>
    </row>
    <row r="452">
      <c r="A452" s="13"/>
      <c r="B452" s="17"/>
      <c r="C452" s="17"/>
      <c r="D452" s="29"/>
      <c r="E452" s="17"/>
      <c r="F452" s="17"/>
      <c r="G452" s="17"/>
      <c r="H452" s="17"/>
      <c r="I452" s="17"/>
      <c r="J452" s="17"/>
      <c r="K452" s="17"/>
      <c r="L452" s="34"/>
      <c r="M452" s="34"/>
      <c r="N452" s="35"/>
      <c r="O452" s="35"/>
      <c r="P452" s="35"/>
      <c r="Q452" s="35"/>
      <c r="R452" s="35"/>
      <c r="S452" s="35"/>
      <c r="T452" s="35"/>
    </row>
    <row r="453">
      <c r="A453" s="13"/>
      <c r="B453" s="17"/>
      <c r="C453" s="17"/>
      <c r="D453" s="29"/>
      <c r="E453" s="17"/>
      <c r="F453" s="17"/>
      <c r="G453" s="17"/>
      <c r="H453" s="17"/>
      <c r="I453" s="17"/>
      <c r="J453" s="17"/>
      <c r="K453" s="17"/>
      <c r="L453" s="34"/>
      <c r="M453" s="34"/>
      <c r="N453" s="35"/>
      <c r="O453" s="35"/>
      <c r="P453" s="35"/>
      <c r="Q453" s="35"/>
      <c r="R453" s="35"/>
      <c r="S453" s="35"/>
      <c r="T453" s="35"/>
    </row>
    <row r="454">
      <c r="A454" s="13"/>
      <c r="B454" s="17"/>
      <c r="C454" s="17"/>
      <c r="D454" s="29"/>
      <c r="E454" s="17"/>
      <c r="F454" s="17"/>
      <c r="G454" s="17"/>
      <c r="H454" s="17"/>
      <c r="I454" s="17"/>
      <c r="J454" s="17"/>
      <c r="K454" s="17"/>
      <c r="L454" s="34"/>
      <c r="M454" s="34"/>
      <c r="N454" s="35"/>
      <c r="O454" s="35"/>
      <c r="P454" s="35"/>
      <c r="Q454" s="35"/>
      <c r="R454" s="35"/>
      <c r="S454" s="35"/>
      <c r="T454" s="35"/>
    </row>
    <row r="455">
      <c r="A455" s="13"/>
      <c r="B455" s="17"/>
      <c r="C455" s="17"/>
      <c r="D455" s="29"/>
      <c r="E455" s="17"/>
      <c r="F455" s="17"/>
      <c r="G455" s="17"/>
      <c r="H455" s="17"/>
      <c r="I455" s="17"/>
      <c r="J455" s="17"/>
      <c r="K455" s="17"/>
      <c r="L455" s="34"/>
      <c r="M455" s="34"/>
      <c r="N455" s="35"/>
      <c r="O455" s="35"/>
      <c r="P455" s="35"/>
      <c r="Q455" s="35"/>
      <c r="R455" s="35"/>
      <c r="S455" s="35"/>
      <c r="T455" s="35"/>
    </row>
    <row r="456">
      <c r="A456" s="13"/>
      <c r="B456" s="17"/>
      <c r="C456" s="17"/>
      <c r="D456" s="29"/>
      <c r="E456" s="17"/>
      <c r="F456" s="17"/>
      <c r="G456" s="17"/>
      <c r="H456" s="17"/>
      <c r="I456" s="17"/>
      <c r="J456" s="17"/>
      <c r="K456" s="17"/>
      <c r="L456" s="34"/>
      <c r="M456" s="34"/>
      <c r="N456" s="35"/>
      <c r="O456" s="35"/>
      <c r="P456" s="35"/>
      <c r="Q456" s="35"/>
      <c r="R456" s="35"/>
      <c r="S456" s="35"/>
      <c r="T456" s="35"/>
    </row>
    <row r="457">
      <c r="A457" s="13"/>
      <c r="B457" s="17"/>
      <c r="C457" s="17"/>
      <c r="D457" s="29"/>
      <c r="E457" s="17"/>
      <c r="F457" s="17"/>
      <c r="G457" s="17"/>
      <c r="H457" s="17"/>
      <c r="I457" s="17"/>
      <c r="J457" s="17"/>
      <c r="K457" s="17"/>
      <c r="L457" s="34"/>
      <c r="M457" s="34"/>
      <c r="N457" s="35"/>
      <c r="O457" s="35"/>
      <c r="P457" s="35"/>
      <c r="Q457" s="35"/>
      <c r="R457" s="35"/>
      <c r="S457" s="35"/>
      <c r="T457" s="35"/>
    </row>
    <row r="458">
      <c r="A458" s="13"/>
      <c r="B458" s="17"/>
      <c r="C458" s="17"/>
      <c r="D458" s="29"/>
      <c r="E458" s="17"/>
      <c r="F458" s="17"/>
      <c r="G458" s="17"/>
      <c r="H458" s="17"/>
      <c r="I458" s="17"/>
      <c r="J458" s="17"/>
      <c r="K458" s="17"/>
      <c r="L458" s="34"/>
      <c r="M458" s="34"/>
      <c r="N458" s="35"/>
      <c r="O458" s="35"/>
      <c r="P458" s="35"/>
      <c r="Q458" s="35"/>
      <c r="R458" s="35"/>
      <c r="S458" s="35"/>
      <c r="T458" s="35"/>
    </row>
    <row r="459">
      <c r="A459" s="13"/>
      <c r="B459" s="17"/>
      <c r="C459" s="17"/>
      <c r="D459" s="29"/>
      <c r="E459" s="17"/>
      <c r="F459" s="17"/>
      <c r="G459" s="17"/>
      <c r="H459" s="17"/>
      <c r="I459" s="17"/>
      <c r="J459" s="17"/>
      <c r="K459" s="17"/>
      <c r="L459" s="34"/>
      <c r="M459" s="34"/>
      <c r="N459" s="35"/>
      <c r="O459" s="35"/>
      <c r="P459" s="35"/>
      <c r="Q459" s="35"/>
      <c r="R459" s="35"/>
      <c r="S459" s="35"/>
      <c r="T459" s="35"/>
    </row>
    <row r="460">
      <c r="A460" s="13"/>
      <c r="B460" s="17"/>
      <c r="C460" s="17"/>
      <c r="D460" s="29"/>
      <c r="E460" s="17"/>
      <c r="F460" s="17"/>
      <c r="G460" s="17"/>
      <c r="H460" s="17"/>
      <c r="I460" s="17"/>
      <c r="J460" s="17"/>
      <c r="K460" s="17"/>
      <c r="L460" s="34"/>
      <c r="M460" s="34"/>
      <c r="N460" s="35"/>
      <c r="O460" s="35"/>
      <c r="P460" s="35"/>
      <c r="Q460" s="35"/>
      <c r="R460" s="35"/>
      <c r="S460" s="35"/>
      <c r="T460" s="35"/>
    </row>
    <row r="461">
      <c r="A461" s="13"/>
      <c r="B461" s="17"/>
      <c r="C461" s="17"/>
      <c r="D461" s="29"/>
      <c r="E461" s="17"/>
      <c r="F461" s="17"/>
      <c r="G461" s="17"/>
      <c r="H461" s="17"/>
      <c r="I461" s="17"/>
      <c r="J461" s="17"/>
      <c r="K461" s="17"/>
      <c r="L461" s="34"/>
      <c r="M461" s="34"/>
      <c r="N461" s="35"/>
      <c r="O461" s="35"/>
      <c r="P461" s="35"/>
      <c r="Q461" s="35"/>
      <c r="R461" s="35"/>
      <c r="S461" s="35"/>
      <c r="T461" s="35"/>
    </row>
    <row r="462">
      <c r="A462" s="13"/>
      <c r="B462" s="17"/>
      <c r="C462" s="17"/>
      <c r="D462" s="29"/>
      <c r="E462" s="17"/>
      <c r="F462" s="17"/>
      <c r="G462" s="17"/>
      <c r="H462" s="17"/>
      <c r="I462" s="17"/>
      <c r="J462" s="17"/>
      <c r="K462" s="17"/>
      <c r="L462" s="34"/>
      <c r="M462" s="34"/>
      <c r="N462" s="35"/>
      <c r="O462" s="35"/>
      <c r="P462" s="35"/>
      <c r="Q462" s="35"/>
      <c r="R462" s="35"/>
      <c r="S462" s="35"/>
      <c r="T462" s="35"/>
    </row>
    <row r="463">
      <c r="A463" s="13"/>
      <c r="B463" s="17"/>
      <c r="C463" s="17"/>
      <c r="D463" s="29"/>
      <c r="E463" s="17"/>
      <c r="F463" s="17"/>
      <c r="G463" s="17"/>
      <c r="H463" s="17"/>
      <c r="I463" s="17"/>
      <c r="J463" s="17"/>
      <c r="K463" s="17"/>
      <c r="L463" s="34"/>
      <c r="M463" s="34"/>
      <c r="N463" s="35"/>
      <c r="O463" s="35"/>
      <c r="P463" s="35"/>
      <c r="Q463" s="35"/>
      <c r="R463" s="35"/>
      <c r="S463" s="35"/>
      <c r="T463" s="35"/>
    </row>
    <row r="464">
      <c r="A464" s="13"/>
      <c r="B464" s="17"/>
      <c r="C464" s="17"/>
      <c r="D464" s="29"/>
      <c r="E464" s="17"/>
      <c r="F464" s="17"/>
      <c r="G464" s="17"/>
      <c r="H464" s="17"/>
      <c r="I464" s="17"/>
      <c r="J464" s="17"/>
      <c r="K464" s="17"/>
      <c r="L464" s="34"/>
      <c r="M464" s="34"/>
      <c r="N464" s="35"/>
      <c r="O464" s="35"/>
      <c r="P464" s="35"/>
      <c r="Q464" s="35"/>
      <c r="R464" s="35"/>
      <c r="S464" s="35"/>
      <c r="T464" s="35"/>
    </row>
    <row r="465">
      <c r="A465" s="13"/>
      <c r="B465" s="17"/>
      <c r="C465" s="17"/>
      <c r="D465" s="29"/>
      <c r="E465" s="17"/>
      <c r="F465" s="17"/>
      <c r="G465" s="17"/>
      <c r="H465" s="17"/>
      <c r="I465" s="17"/>
      <c r="J465" s="17"/>
      <c r="K465" s="17"/>
      <c r="L465" s="34"/>
      <c r="M465" s="34"/>
      <c r="N465" s="35"/>
      <c r="O465" s="35"/>
      <c r="P465" s="35"/>
      <c r="Q465" s="35"/>
      <c r="R465" s="35"/>
      <c r="S465" s="35"/>
      <c r="T465" s="35"/>
    </row>
    <row r="466">
      <c r="A466" s="13"/>
      <c r="B466" s="17"/>
      <c r="C466" s="17"/>
      <c r="D466" s="29"/>
      <c r="E466" s="17"/>
      <c r="F466" s="17"/>
      <c r="G466" s="17"/>
      <c r="H466" s="17"/>
      <c r="I466" s="17"/>
      <c r="J466" s="17"/>
      <c r="K466" s="17"/>
      <c r="L466" s="34"/>
      <c r="M466" s="34"/>
      <c r="N466" s="35"/>
      <c r="O466" s="35"/>
      <c r="P466" s="35"/>
      <c r="Q466" s="35"/>
      <c r="R466" s="35"/>
      <c r="S466" s="35"/>
      <c r="T466" s="35"/>
    </row>
    <row r="467">
      <c r="A467" s="13"/>
      <c r="B467" s="17"/>
      <c r="C467" s="17"/>
      <c r="D467" s="29"/>
      <c r="E467" s="17"/>
      <c r="F467" s="17"/>
      <c r="G467" s="17"/>
      <c r="H467" s="17"/>
      <c r="I467" s="17"/>
      <c r="J467" s="17"/>
      <c r="K467" s="17"/>
      <c r="L467" s="34"/>
      <c r="M467" s="34"/>
      <c r="N467" s="35"/>
      <c r="O467" s="35"/>
      <c r="P467" s="35"/>
      <c r="Q467" s="35"/>
      <c r="R467" s="35"/>
      <c r="S467" s="35"/>
      <c r="T467" s="35"/>
    </row>
    <row r="468">
      <c r="A468" s="13"/>
      <c r="B468" s="17"/>
      <c r="C468" s="17"/>
      <c r="D468" s="29"/>
      <c r="E468" s="17"/>
      <c r="F468" s="17"/>
      <c r="G468" s="17"/>
      <c r="H468" s="17"/>
      <c r="I468" s="17"/>
      <c r="J468" s="17"/>
      <c r="K468" s="17"/>
      <c r="L468" s="34"/>
      <c r="M468" s="34"/>
      <c r="N468" s="35"/>
      <c r="O468" s="35"/>
      <c r="P468" s="35"/>
      <c r="Q468" s="35"/>
      <c r="R468" s="35"/>
      <c r="S468" s="35"/>
      <c r="T468" s="35"/>
    </row>
    <row r="469">
      <c r="A469" s="13"/>
      <c r="B469" s="17"/>
      <c r="C469" s="17"/>
      <c r="D469" s="29"/>
      <c r="E469" s="17"/>
      <c r="F469" s="17"/>
      <c r="G469" s="17"/>
      <c r="H469" s="17"/>
      <c r="I469" s="17"/>
      <c r="J469" s="17"/>
      <c r="K469" s="17"/>
      <c r="L469" s="34"/>
      <c r="M469" s="34"/>
      <c r="N469" s="35"/>
      <c r="O469" s="35"/>
      <c r="P469" s="35"/>
      <c r="Q469" s="35"/>
      <c r="R469" s="35"/>
      <c r="S469" s="35"/>
      <c r="T469" s="35"/>
    </row>
    <row r="470">
      <c r="A470" s="13"/>
      <c r="B470" s="17"/>
      <c r="C470" s="17"/>
      <c r="D470" s="29"/>
      <c r="E470" s="17"/>
      <c r="F470" s="17"/>
      <c r="G470" s="17"/>
      <c r="H470" s="17"/>
      <c r="I470" s="17"/>
      <c r="J470" s="17"/>
      <c r="K470" s="17"/>
      <c r="L470" s="34"/>
      <c r="M470" s="34"/>
      <c r="N470" s="35"/>
      <c r="O470" s="35"/>
      <c r="P470" s="35"/>
      <c r="Q470" s="35"/>
      <c r="R470" s="35"/>
      <c r="S470" s="35"/>
      <c r="T470" s="35"/>
    </row>
    <row r="471">
      <c r="A471" s="13"/>
      <c r="B471" s="17"/>
      <c r="C471" s="17"/>
      <c r="D471" s="29"/>
      <c r="E471" s="17"/>
      <c r="F471" s="17"/>
      <c r="G471" s="17"/>
      <c r="H471" s="17"/>
      <c r="I471" s="17"/>
      <c r="J471" s="17"/>
      <c r="K471" s="17"/>
      <c r="L471" s="34"/>
      <c r="M471" s="34"/>
      <c r="N471" s="35"/>
      <c r="O471" s="35"/>
      <c r="P471" s="35"/>
      <c r="Q471" s="35"/>
      <c r="R471" s="35"/>
      <c r="S471" s="35"/>
      <c r="T471" s="35"/>
    </row>
    <row r="472">
      <c r="A472" s="13"/>
      <c r="B472" s="17"/>
      <c r="C472" s="17"/>
      <c r="D472" s="29"/>
      <c r="E472" s="17"/>
      <c r="F472" s="17"/>
      <c r="G472" s="17"/>
      <c r="H472" s="17"/>
      <c r="I472" s="17"/>
      <c r="J472" s="17"/>
      <c r="K472" s="17"/>
      <c r="L472" s="34"/>
      <c r="M472" s="34"/>
      <c r="N472" s="35"/>
      <c r="O472" s="35"/>
      <c r="P472" s="35"/>
      <c r="Q472" s="35"/>
      <c r="R472" s="35"/>
      <c r="S472" s="35"/>
      <c r="T472" s="35"/>
    </row>
    <row r="473">
      <c r="A473" s="13"/>
      <c r="B473" s="17"/>
      <c r="C473" s="17"/>
      <c r="D473" s="29"/>
      <c r="E473" s="17"/>
      <c r="F473" s="17"/>
      <c r="G473" s="17"/>
      <c r="H473" s="17"/>
      <c r="I473" s="17"/>
      <c r="J473" s="17"/>
      <c r="K473" s="17"/>
      <c r="L473" s="34"/>
      <c r="M473" s="34"/>
      <c r="N473" s="35"/>
      <c r="O473" s="35"/>
      <c r="P473" s="35"/>
      <c r="Q473" s="35"/>
      <c r="R473" s="35"/>
      <c r="S473" s="35"/>
      <c r="T473" s="35"/>
    </row>
    <row r="474">
      <c r="A474" s="13"/>
      <c r="B474" s="17"/>
      <c r="C474" s="17"/>
      <c r="D474" s="29"/>
      <c r="E474" s="17"/>
      <c r="F474" s="17"/>
      <c r="G474" s="17"/>
      <c r="H474" s="17"/>
      <c r="I474" s="17"/>
      <c r="J474" s="17"/>
      <c r="K474" s="17"/>
      <c r="L474" s="34"/>
      <c r="M474" s="34"/>
      <c r="N474" s="35"/>
      <c r="O474" s="35"/>
      <c r="P474" s="35"/>
      <c r="Q474" s="35"/>
      <c r="R474" s="35"/>
      <c r="S474" s="35"/>
      <c r="T474" s="35"/>
    </row>
    <row r="475">
      <c r="A475" s="13"/>
      <c r="B475" s="17"/>
      <c r="C475" s="17"/>
      <c r="D475" s="29"/>
      <c r="E475" s="17"/>
      <c r="F475" s="17"/>
      <c r="G475" s="17"/>
      <c r="H475" s="17"/>
      <c r="I475" s="17"/>
      <c r="J475" s="17"/>
      <c r="K475" s="17"/>
      <c r="L475" s="34"/>
      <c r="M475" s="34"/>
      <c r="N475" s="35"/>
      <c r="O475" s="35"/>
      <c r="P475" s="35"/>
      <c r="Q475" s="35"/>
      <c r="R475" s="35"/>
      <c r="S475" s="35"/>
      <c r="T475" s="35"/>
    </row>
    <row r="476">
      <c r="A476" s="13"/>
      <c r="B476" s="17"/>
      <c r="C476" s="17"/>
      <c r="D476" s="29"/>
      <c r="E476" s="17"/>
      <c r="F476" s="17"/>
      <c r="G476" s="17"/>
      <c r="H476" s="17"/>
      <c r="I476" s="17"/>
      <c r="J476" s="17"/>
      <c r="K476" s="17"/>
      <c r="L476" s="34"/>
      <c r="M476" s="34"/>
      <c r="N476" s="35"/>
      <c r="O476" s="35"/>
      <c r="P476" s="35"/>
      <c r="Q476" s="35"/>
      <c r="R476" s="35"/>
      <c r="S476" s="35"/>
      <c r="T476" s="35"/>
    </row>
    <row r="477">
      <c r="A477" s="13"/>
      <c r="B477" s="17"/>
      <c r="C477" s="17"/>
      <c r="D477" s="29"/>
      <c r="E477" s="17"/>
      <c r="F477" s="17"/>
      <c r="G477" s="17"/>
      <c r="H477" s="17"/>
      <c r="I477" s="17"/>
      <c r="J477" s="17"/>
      <c r="K477" s="17"/>
      <c r="L477" s="34"/>
      <c r="M477" s="34"/>
      <c r="N477" s="35"/>
      <c r="O477" s="35"/>
      <c r="P477" s="35"/>
      <c r="Q477" s="35"/>
      <c r="R477" s="35"/>
      <c r="S477" s="35"/>
      <c r="T477" s="35"/>
    </row>
    <row r="478">
      <c r="A478" s="13"/>
      <c r="B478" s="17"/>
      <c r="C478" s="17"/>
      <c r="D478" s="29"/>
      <c r="E478" s="17"/>
      <c r="F478" s="17"/>
      <c r="G478" s="17"/>
      <c r="H478" s="17"/>
      <c r="I478" s="17"/>
      <c r="J478" s="17"/>
      <c r="K478" s="17"/>
      <c r="L478" s="34"/>
      <c r="M478" s="34"/>
      <c r="N478" s="35"/>
      <c r="O478" s="35"/>
      <c r="P478" s="35"/>
      <c r="Q478" s="35"/>
      <c r="R478" s="35"/>
      <c r="S478" s="35"/>
      <c r="T478" s="35"/>
    </row>
    <row r="479">
      <c r="A479" s="13"/>
      <c r="B479" s="17"/>
      <c r="C479" s="17"/>
      <c r="D479" s="29"/>
      <c r="E479" s="17"/>
      <c r="F479" s="17"/>
      <c r="G479" s="17"/>
      <c r="H479" s="17"/>
      <c r="I479" s="17"/>
      <c r="J479" s="17"/>
      <c r="K479" s="17"/>
      <c r="L479" s="34"/>
      <c r="M479" s="34"/>
      <c r="N479" s="35"/>
      <c r="O479" s="35"/>
      <c r="P479" s="35"/>
      <c r="Q479" s="35"/>
      <c r="R479" s="35"/>
      <c r="S479" s="35"/>
      <c r="T479" s="35"/>
    </row>
    <row r="480">
      <c r="A480" s="13"/>
      <c r="B480" s="17"/>
      <c r="C480" s="17"/>
      <c r="D480" s="29"/>
      <c r="E480" s="17"/>
      <c r="F480" s="17"/>
      <c r="G480" s="17"/>
      <c r="H480" s="17"/>
      <c r="I480" s="17"/>
      <c r="J480" s="17"/>
      <c r="K480" s="17"/>
      <c r="L480" s="34"/>
      <c r="M480" s="34"/>
      <c r="N480" s="35"/>
      <c r="O480" s="35"/>
      <c r="P480" s="35"/>
      <c r="Q480" s="35"/>
      <c r="R480" s="35"/>
      <c r="S480" s="35"/>
      <c r="T480" s="35"/>
    </row>
    <row r="481">
      <c r="A481" s="13"/>
      <c r="B481" s="17"/>
      <c r="C481" s="17"/>
      <c r="D481" s="29"/>
      <c r="E481" s="17"/>
      <c r="F481" s="17"/>
      <c r="G481" s="17"/>
      <c r="H481" s="17"/>
      <c r="I481" s="17"/>
      <c r="J481" s="17"/>
      <c r="K481" s="17"/>
      <c r="L481" s="34"/>
      <c r="M481" s="34"/>
      <c r="N481" s="35"/>
      <c r="O481" s="35"/>
      <c r="P481" s="35"/>
      <c r="Q481" s="35"/>
      <c r="R481" s="35"/>
      <c r="S481" s="35"/>
      <c r="T481" s="35"/>
    </row>
    <row r="482">
      <c r="A482" s="13"/>
      <c r="B482" s="17"/>
      <c r="C482" s="17"/>
      <c r="D482" s="29"/>
      <c r="E482" s="17"/>
      <c r="F482" s="17"/>
      <c r="G482" s="17"/>
      <c r="H482" s="17"/>
      <c r="I482" s="17"/>
      <c r="J482" s="17"/>
      <c r="K482" s="17"/>
      <c r="L482" s="34"/>
      <c r="M482" s="34"/>
      <c r="N482" s="35"/>
      <c r="O482" s="35"/>
      <c r="P482" s="35"/>
      <c r="Q482" s="35"/>
      <c r="R482" s="35"/>
      <c r="S482" s="35"/>
      <c r="T482" s="35"/>
    </row>
    <row r="483">
      <c r="A483" s="13"/>
      <c r="B483" s="17"/>
      <c r="C483" s="17"/>
      <c r="D483" s="29"/>
      <c r="E483" s="17"/>
      <c r="F483" s="17"/>
      <c r="G483" s="17"/>
      <c r="H483" s="17"/>
      <c r="I483" s="17"/>
      <c r="J483" s="17"/>
      <c r="K483" s="17"/>
      <c r="L483" s="34"/>
      <c r="M483" s="34"/>
      <c r="N483" s="35"/>
      <c r="O483" s="35"/>
      <c r="P483" s="35"/>
      <c r="Q483" s="35"/>
      <c r="R483" s="35"/>
      <c r="S483" s="35"/>
      <c r="T483" s="35"/>
    </row>
    <row r="484">
      <c r="A484" s="13"/>
      <c r="B484" s="17"/>
      <c r="C484" s="17"/>
      <c r="D484" s="29"/>
      <c r="E484" s="17"/>
      <c r="F484" s="17"/>
      <c r="G484" s="17"/>
      <c r="H484" s="17"/>
      <c r="I484" s="17"/>
      <c r="J484" s="17"/>
      <c r="K484" s="17"/>
      <c r="L484" s="34"/>
      <c r="M484" s="34"/>
      <c r="N484" s="35"/>
      <c r="O484" s="35"/>
      <c r="P484" s="35"/>
      <c r="Q484" s="35"/>
      <c r="R484" s="35"/>
      <c r="S484" s="35"/>
      <c r="T484" s="35"/>
    </row>
    <row r="485">
      <c r="A485" s="13"/>
      <c r="B485" s="17"/>
      <c r="C485" s="17"/>
      <c r="D485" s="29"/>
      <c r="E485" s="17"/>
      <c r="F485" s="17"/>
      <c r="G485" s="17"/>
      <c r="H485" s="17"/>
      <c r="I485" s="17"/>
      <c r="J485" s="17"/>
      <c r="K485" s="17"/>
      <c r="L485" s="34"/>
      <c r="M485" s="34"/>
      <c r="N485" s="35"/>
      <c r="O485" s="35"/>
      <c r="P485" s="35"/>
      <c r="Q485" s="35"/>
      <c r="R485" s="35"/>
      <c r="S485" s="35"/>
      <c r="T485" s="35"/>
    </row>
    <row r="486">
      <c r="A486" s="13"/>
      <c r="B486" s="17"/>
      <c r="C486" s="17"/>
      <c r="D486" s="29"/>
      <c r="E486" s="17"/>
      <c r="F486" s="17"/>
      <c r="G486" s="17"/>
      <c r="H486" s="17"/>
      <c r="I486" s="17"/>
      <c r="J486" s="17"/>
      <c r="K486" s="17"/>
      <c r="L486" s="34"/>
      <c r="M486" s="34"/>
      <c r="N486" s="35"/>
      <c r="O486" s="35"/>
      <c r="P486" s="35"/>
      <c r="Q486" s="35"/>
      <c r="R486" s="35"/>
      <c r="S486" s="35"/>
      <c r="T486" s="35"/>
    </row>
    <row r="487">
      <c r="A487" s="13"/>
      <c r="B487" s="17"/>
      <c r="C487" s="17"/>
      <c r="D487" s="29"/>
      <c r="E487" s="17"/>
      <c r="F487" s="17"/>
      <c r="G487" s="17"/>
      <c r="H487" s="17"/>
      <c r="I487" s="17"/>
      <c r="J487" s="17"/>
      <c r="K487" s="17"/>
      <c r="L487" s="34"/>
      <c r="M487" s="34"/>
      <c r="N487" s="35"/>
      <c r="O487" s="35"/>
      <c r="P487" s="35"/>
      <c r="Q487" s="35"/>
      <c r="R487" s="35"/>
      <c r="S487" s="35"/>
      <c r="T487" s="35"/>
    </row>
    <row r="488">
      <c r="A488" s="13"/>
      <c r="B488" s="17"/>
      <c r="C488" s="17"/>
      <c r="D488" s="29"/>
      <c r="E488" s="17"/>
      <c r="F488" s="17"/>
      <c r="G488" s="17"/>
      <c r="H488" s="17"/>
      <c r="I488" s="17"/>
      <c r="J488" s="17"/>
      <c r="K488" s="17"/>
      <c r="L488" s="34"/>
      <c r="M488" s="34"/>
      <c r="N488" s="35"/>
      <c r="O488" s="35"/>
      <c r="P488" s="35"/>
      <c r="Q488" s="35"/>
      <c r="R488" s="35"/>
      <c r="S488" s="35"/>
      <c r="T488" s="35"/>
    </row>
    <row r="489">
      <c r="A489" s="13"/>
      <c r="B489" s="17"/>
      <c r="C489" s="17"/>
      <c r="D489" s="29"/>
      <c r="E489" s="17"/>
      <c r="F489" s="17"/>
      <c r="G489" s="17"/>
      <c r="H489" s="17"/>
      <c r="I489" s="17"/>
      <c r="J489" s="17"/>
      <c r="K489" s="17"/>
      <c r="L489" s="34"/>
      <c r="M489" s="34"/>
      <c r="N489" s="35"/>
      <c r="O489" s="35"/>
      <c r="P489" s="35"/>
      <c r="Q489" s="35"/>
      <c r="R489" s="35"/>
      <c r="S489" s="35"/>
      <c r="T489" s="35"/>
    </row>
    <row r="490">
      <c r="A490" s="13"/>
      <c r="B490" s="17"/>
      <c r="C490" s="17"/>
      <c r="D490" s="29"/>
      <c r="E490" s="17"/>
      <c r="F490" s="17"/>
      <c r="G490" s="17"/>
      <c r="H490" s="17"/>
      <c r="I490" s="17"/>
      <c r="J490" s="17"/>
      <c r="K490" s="17"/>
      <c r="L490" s="34"/>
      <c r="M490" s="34"/>
      <c r="N490" s="35"/>
      <c r="O490" s="35"/>
      <c r="P490" s="35"/>
      <c r="Q490" s="35"/>
      <c r="R490" s="35"/>
      <c r="S490" s="35"/>
      <c r="T490" s="35"/>
    </row>
    <row r="491">
      <c r="A491" s="13"/>
      <c r="B491" s="17"/>
      <c r="C491" s="17"/>
      <c r="D491" s="29"/>
      <c r="E491" s="17"/>
      <c r="F491" s="17"/>
      <c r="G491" s="17"/>
      <c r="H491" s="17"/>
      <c r="I491" s="17"/>
      <c r="J491" s="17"/>
      <c r="K491" s="17"/>
      <c r="L491" s="34"/>
      <c r="M491" s="34"/>
      <c r="N491" s="35"/>
      <c r="O491" s="35"/>
      <c r="P491" s="35"/>
      <c r="Q491" s="35"/>
      <c r="R491" s="35"/>
      <c r="S491" s="35"/>
      <c r="T491" s="35"/>
    </row>
    <row r="492">
      <c r="A492" s="13"/>
      <c r="B492" s="17"/>
      <c r="C492" s="17"/>
      <c r="D492" s="29"/>
      <c r="E492" s="17"/>
      <c r="F492" s="17"/>
      <c r="G492" s="17"/>
      <c r="H492" s="17"/>
      <c r="I492" s="17"/>
      <c r="J492" s="17"/>
      <c r="K492" s="17"/>
      <c r="L492" s="34"/>
      <c r="M492" s="34"/>
      <c r="N492" s="35"/>
      <c r="O492" s="35"/>
      <c r="P492" s="35"/>
      <c r="Q492" s="35"/>
      <c r="R492" s="35"/>
      <c r="S492" s="35"/>
      <c r="T492" s="35"/>
    </row>
    <row r="493">
      <c r="A493" s="13"/>
      <c r="B493" s="17"/>
      <c r="C493" s="17"/>
      <c r="D493" s="29"/>
      <c r="E493" s="17"/>
      <c r="F493" s="17"/>
      <c r="G493" s="17"/>
      <c r="H493" s="17"/>
      <c r="I493" s="17"/>
      <c r="J493" s="17"/>
      <c r="K493" s="17"/>
      <c r="L493" s="34"/>
      <c r="M493" s="34"/>
      <c r="N493" s="35"/>
      <c r="O493" s="35"/>
      <c r="P493" s="35"/>
      <c r="Q493" s="35"/>
      <c r="R493" s="35"/>
      <c r="S493" s="35"/>
      <c r="T493" s="35"/>
    </row>
    <row r="494">
      <c r="A494" s="13"/>
      <c r="B494" s="17"/>
      <c r="C494" s="17"/>
      <c r="D494" s="29"/>
      <c r="E494" s="17"/>
      <c r="F494" s="17"/>
      <c r="G494" s="17"/>
      <c r="H494" s="17"/>
      <c r="I494" s="17"/>
      <c r="J494" s="17"/>
      <c r="K494" s="17"/>
      <c r="L494" s="34"/>
      <c r="M494" s="34"/>
      <c r="N494" s="35"/>
      <c r="O494" s="35"/>
      <c r="P494" s="35"/>
      <c r="Q494" s="35"/>
      <c r="R494" s="35"/>
      <c r="S494" s="35"/>
      <c r="T494" s="35"/>
    </row>
    <row r="495">
      <c r="A495" s="13"/>
      <c r="B495" s="17"/>
      <c r="C495" s="17"/>
      <c r="D495" s="29"/>
      <c r="E495" s="17"/>
      <c r="F495" s="17"/>
      <c r="G495" s="17"/>
      <c r="H495" s="17"/>
      <c r="I495" s="17"/>
      <c r="J495" s="17"/>
      <c r="K495" s="17"/>
      <c r="L495" s="34"/>
      <c r="M495" s="34"/>
      <c r="N495" s="35"/>
      <c r="O495" s="35"/>
      <c r="P495" s="35"/>
      <c r="Q495" s="35"/>
      <c r="R495" s="35"/>
      <c r="S495" s="35"/>
      <c r="T495" s="35"/>
    </row>
    <row r="496">
      <c r="A496" s="13"/>
      <c r="B496" s="17"/>
      <c r="C496" s="17"/>
      <c r="D496" s="29"/>
      <c r="E496" s="17"/>
      <c r="F496" s="17"/>
      <c r="G496" s="17"/>
      <c r="H496" s="17"/>
      <c r="I496" s="17"/>
      <c r="J496" s="17"/>
      <c r="K496" s="17"/>
      <c r="L496" s="34"/>
      <c r="M496" s="34"/>
      <c r="N496" s="35"/>
      <c r="O496" s="35"/>
      <c r="P496" s="35"/>
      <c r="Q496" s="35"/>
      <c r="R496" s="35"/>
      <c r="S496" s="35"/>
      <c r="T496" s="35"/>
    </row>
    <row r="497">
      <c r="A497" s="13"/>
      <c r="B497" s="17"/>
      <c r="C497" s="17"/>
      <c r="D497" s="29"/>
      <c r="E497" s="17"/>
      <c r="F497" s="17"/>
      <c r="G497" s="17"/>
      <c r="H497" s="17"/>
      <c r="I497" s="17"/>
      <c r="J497" s="17"/>
      <c r="K497" s="17"/>
      <c r="L497" s="34"/>
      <c r="M497" s="34"/>
      <c r="N497" s="35"/>
      <c r="O497" s="35"/>
      <c r="P497" s="35"/>
      <c r="Q497" s="35"/>
      <c r="R497" s="35"/>
      <c r="S497" s="35"/>
      <c r="T497" s="35"/>
    </row>
    <row r="498">
      <c r="A498" s="13"/>
      <c r="B498" s="17"/>
      <c r="C498" s="17"/>
      <c r="D498" s="29"/>
      <c r="E498" s="17"/>
      <c r="F498" s="17"/>
      <c r="G498" s="17"/>
      <c r="H498" s="17"/>
      <c r="I498" s="17"/>
      <c r="J498" s="17"/>
      <c r="K498" s="17"/>
      <c r="L498" s="34"/>
      <c r="M498" s="34"/>
      <c r="N498" s="35"/>
      <c r="O498" s="35"/>
      <c r="P498" s="35"/>
      <c r="Q498" s="35"/>
      <c r="R498" s="35"/>
      <c r="S498" s="35"/>
      <c r="T498" s="35"/>
    </row>
    <row r="499">
      <c r="A499" s="13"/>
      <c r="B499" s="17"/>
      <c r="C499" s="17"/>
      <c r="D499" s="29"/>
      <c r="E499" s="17"/>
      <c r="F499" s="17"/>
      <c r="G499" s="17"/>
      <c r="H499" s="17"/>
      <c r="I499" s="17"/>
      <c r="J499" s="17"/>
      <c r="K499" s="17"/>
      <c r="L499" s="34"/>
      <c r="M499" s="34"/>
      <c r="N499" s="35"/>
      <c r="O499" s="35"/>
      <c r="P499" s="35"/>
      <c r="Q499" s="35"/>
      <c r="R499" s="35"/>
      <c r="S499" s="35"/>
      <c r="T499" s="35"/>
    </row>
    <row r="500">
      <c r="A500" s="13"/>
      <c r="B500" s="17"/>
      <c r="C500" s="17"/>
      <c r="D500" s="29"/>
      <c r="E500" s="17"/>
      <c r="F500" s="17"/>
      <c r="G500" s="17"/>
      <c r="H500" s="17"/>
      <c r="I500" s="17"/>
      <c r="J500" s="17"/>
      <c r="K500" s="17"/>
      <c r="L500" s="34"/>
      <c r="M500" s="34"/>
      <c r="N500" s="35"/>
      <c r="O500" s="35"/>
      <c r="P500" s="35"/>
      <c r="Q500" s="35"/>
      <c r="R500" s="35"/>
      <c r="S500" s="35"/>
      <c r="T500" s="35"/>
    </row>
    <row r="501">
      <c r="A501" s="13"/>
      <c r="B501" s="17"/>
      <c r="C501" s="17"/>
      <c r="D501" s="29"/>
      <c r="E501" s="17"/>
      <c r="F501" s="17"/>
      <c r="G501" s="17"/>
      <c r="H501" s="17"/>
      <c r="I501" s="17"/>
      <c r="J501" s="17"/>
      <c r="K501" s="17"/>
      <c r="L501" s="34"/>
      <c r="M501" s="34"/>
      <c r="N501" s="35"/>
      <c r="O501" s="35"/>
      <c r="P501" s="35"/>
      <c r="Q501" s="35"/>
      <c r="R501" s="35"/>
      <c r="S501" s="35"/>
      <c r="T501" s="35"/>
    </row>
    <row r="502">
      <c r="A502" s="13"/>
      <c r="B502" s="17"/>
      <c r="C502" s="17"/>
      <c r="D502" s="29"/>
      <c r="E502" s="17"/>
      <c r="F502" s="17"/>
      <c r="G502" s="17"/>
      <c r="H502" s="17"/>
      <c r="I502" s="17"/>
      <c r="J502" s="17"/>
      <c r="K502" s="17"/>
      <c r="L502" s="34"/>
      <c r="M502" s="34"/>
      <c r="N502" s="35"/>
      <c r="O502" s="35"/>
      <c r="P502" s="35"/>
      <c r="Q502" s="35"/>
      <c r="R502" s="35"/>
      <c r="S502" s="35"/>
      <c r="T502" s="35"/>
    </row>
    <row r="503">
      <c r="A503" s="13"/>
      <c r="B503" s="17"/>
      <c r="C503" s="17"/>
      <c r="D503" s="29"/>
      <c r="E503" s="17"/>
      <c r="F503" s="17"/>
      <c r="G503" s="17"/>
      <c r="H503" s="17"/>
      <c r="I503" s="17"/>
      <c r="J503" s="17"/>
      <c r="K503" s="17"/>
      <c r="L503" s="34"/>
      <c r="M503" s="34"/>
      <c r="N503" s="35"/>
      <c r="O503" s="35"/>
      <c r="P503" s="35"/>
      <c r="Q503" s="35"/>
      <c r="R503" s="35"/>
      <c r="S503" s="35"/>
      <c r="T503" s="35"/>
    </row>
    <row r="504">
      <c r="A504" s="13"/>
      <c r="B504" s="17"/>
      <c r="C504" s="17"/>
      <c r="D504" s="29"/>
      <c r="E504" s="17"/>
      <c r="F504" s="17"/>
      <c r="G504" s="17"/>
      <c r="H504" s="17"/>
      <c r="I504" s="17"/>
      <c r="J504" s="17"/>
      <c r="K504" s="17"/>
      <c r="L504" s="34"/>
      <c r="M504" s="34"/>
      <c r="N504" s="35"/>
      <c r="O504" s="35"/>
      <c r="P504" s="35"/>
      <c r="Q504" s="35"/>
      <c r="R504" s="35"/>
      <c r="S504" s="35"/>
      <c r="T504" s="35"/>
    </row>
    <row r="505">
      <c r="A505" s="13"/>
      <c r="B505" s="17"/>
      <c r="C505" s="17"/>
      <c r="D505" s="29"/>
      <c r="E505" s="17"/>
      <c r="F505" s="17"/>
      <c r="G505" s="17"/>
      <c r="H505" s="17"/>
      <c r="I505" s="17"/>
      <c r="J505" s="17"/>
      <c r="K505" s="17"/>
      <c r="L505" s="34"/>
      <c r="M505" s="34"/>
      <c r="N505" s="35"/>
      <c r="O505" s="35"/>
      <c r="P505" s="35"/>
      <c r="Q505" s="35"/>
      <c r="R505" s="35"/>
      <c r="S505" s="35"/>
      <c r="T505" s="35"/>
    </row>
    <row r="506">
      <c r="A506" s="13"/>
      <c r="B506" s="17"/>
      <c r="C506" s="17"/>
      <c r="D506" s="29"/>
      <c r="E506" s="17"/>
      <c r="F506" s="17"/>
      <c r="G506" s="17"/>
      <c r="H506" s="17"/>
      <c r="I506" s="17"/>
      <c r="J506" s="17"/>
      <c r="K506" s="17"/>
      <c r="L506" s="34"/>
      <c r="M506" s="34"/>
      <c r="N506" s="35"/>
      <c r="O506" s="35"/>
      <c r="P506" s="35"/>
      <c r="Q506" s="35"/>
      <c r="R506" s="35"/>
      <c r="S506" s="35"/>
      <c r="T506" s="35"/>
    </row>
    <row r="507">
      <c r="A507" s="13"/>
      <c r="B507" s="17"/>
      <c r="C507" s="17"/>
      <c r="D507" s="29"/>
      <c r="E507" s="17"/>
      <c r="F507" s="17"/>
      <c r="G507" s="17"/>
      <c r="H507" s="17"/>
      <c r="I507" s="17"/>
      <c r="J507" s="17"/>
      <c r="K507" s="17"/>
      <c r="L507" s="34"/>
      <c r="M507" s="34"/>
      <c r="N507" s="35"/>
      <c r="O507" s="35"/>
      <c r="P507" s="35"/>
      <c r="Q507" s="35"/>
      <c r="R507" s="35"/>
      <c r="S507" s="35"/>
      <c r="T507" s="35"/>
    </row>
    <row r="508">
      <c r="A508" s="13"/>
      <c r="B508" s="17"/>
      <c r="C508" s="17"/>
      <c r="D508" s="29"/>
      <c r="E508" s="17"/>
      <c r="F508" s="17"/>
      <c r="G508" s="17"/>
      <c r="H508" s="17"/>
      <c r="I508" s="17"/>
      <c r="J508" s="17"/>
      <c r="K508" s="17"/>
      <c r="L508" s="34"/>
      <c r="M508" s="34"/>
      <c r="N508" s="35"/>
      <c r="O508" s="35"/>
      <c r="P508" s="35"/>
      <c r="Q508" s="35"/>
      <c r="R508" s="35"/>
      <c r="S508" s="35"/>
      <c r="T508" s="35"/>
    </row>
    <row r="509">
      <c r="A509" s="13"/>
      <c r="B509" s="17"/>
      <c r="C509" s="17"/>
      <c r="D509" s="29"/>
      <c r="E509" s="17"/>
      <c r="F509" s="17"/>
      <c r="G509" s="17"/>
      <c r="H509" s="17"/>
      <c r="I509" s="17"/>
      <c r="J509" s="17"/>
      <c r="K509" s="17"/>
      <c r="L509" s="34"/>
      <c r="M509" s="34"/>
      <c r="N509" s="35"/>
      <c r="O509" s="35"/>
      <c r="P509" s="35"/>
      <c r="Q509" s="35"/>
      <c r="R509" s="35"/>
      <c r="S509" s="35"/>
      <c r="T509" s="35"/>
    </row>
    <row r="510">
      <c r="A510" s="13"/>
      <c r="B510" s="17"/>
      <c r="C510" s="17"/>
      <c r="D510" s="29"/>
      <c r="E510" s="17"/>
      <c r="F510" s="17"/>
      <c r="G510" s="17"/>
      <c r="H510" s="17"/>
      <c r="I510" s="17"/>
      <c r="J510" s="17"/>
      <c r="K510" s="17"/>
      <c r="L510" s="34"/>
      <c r="M510" s="34"/>
      <c r="N510" s="35"/>
      <c r="O510" s="35"/>
      <c r="P510" s="35"/>
      <c r="Q510" s="35"/>
      <c r="R510" s="35"/>
      <c r="S510" s="35"/>
      <c r="T510" s="35"/>
    </row>
    <row r="511">
      <c r="A511" s="13"/>
      <c r="B511" s="17"/>
      <c r="C511" s="17"/>
      <c r="D511" s="29"/>
      <c r="E511" s="17"/>
      <c r="F511" s="17"/>
      <c r="G511" s="17"/>
      <c r="H511" s="17"/>
      <c r="I511" s="17"/>
      <c r="J511" s="17"/>
      <c r="K511" s="17"/>
      <c r="L511" s="34"/>
      <c r="M511" s="34"/>
      <c r="N511" s="35"/>
      <c r="O511" s="35"/>
      <c r="P511" s="35"/>
      <c r="Q511" s="35"/>
      <c r="R511" s="35"/>
      <c r="S511" s="35"/>
      <c r="T511" s="35"/>
    </row>
    <row r="512">
      <c r="A512" s="13"/>
      <c r="B512" s="17"/>
      <c r="C512" s="17"/>
      <c r="D512" s="29"/>
      <c r="E512" s="17"/>
      <c r="F512" s="17"/>
      <c r="G512" s="17"/>
      <c r="H512" s="17"/>
      <c r="I512" s="17"/>
      <c r="J512" s="17"/>
      <c r="K512" s="17"/>
      <c r="L512" s="34"/>
      <c r="M512" s="34"/>
      <c r="N512" s="35"/>
      <c r="O512" s="35"/>
      <c r="P512" s="35"/>
      <c r="Q512" s="35"/>
      <c r="R512" s="35"/>
      <c r="S512" s="35"/>
      <c r="T512" s="35"/>
    </row>
    <row r="513">
      <c r="A513" s="13"/>
      <c r="B513" s="17"/>
      <c r="C513" s="17"/>
      <c r="D513" s="29"/>
      <c r="E513" s="17"/>
      <c r="F513" s="17"/>
      <c r="G513" s="17"/>
      <c r="H513" s="17"/>
      <c r="I513" s="17"/>
      <c r="J513" s="17"/>
      <c r="K513" s="17"/>
      <c r="L513" s="34"/>
      <c r="M513" s="34"/>
      <c r="N513" s="35"/>
      <c r="O513" s="35"/>
      <c r="P513" s="35"/>
      <c r="Q513" s="35"/>
      <c r="R513" s="35"/>
      <c r="S513" s="35"/>
      <c r="T513" s="35"/>
    </row>
    <row r="514">
      <c r="A514" s="13"/>
      <c r="B514" s="17"/>
      <c r="C514" s="17"/>
      <c r="D514" s="29"/>
      <c r="E514" s="17"/>
      <c r="F514" s="17"/>
      <c r="G514" s="17"/>
      <c r="H514" s="17"/>
      <c r="I514" s="17"/>
      <c r="J514" s="17"/>
      <c r="K514" s="17"/>
      <c r="L514" s="34"/>
      <c r="M514" s="34"/>
      <c r="N514" s="35"/>
      <c r="O514" s="35"/>
      <c r="P514" s="35"/>
      <c r="Q514" s="35"/>
      <c r="R514" s="35"/>
      <c r="S514" s="35"/>
      <c r="T514" s="35"/>
    </row>
    <row r="515">
      <c r="A515" s="13"/>
      <c r="B515" s="17"/>
      <c r="C515" s="17"/>
      <c r="D515" s="29"/>
      <c r="E515" s="17"/>
      <c r="F515" s="17"/>
      <c r="G515" s="17"/>
      <c r="H515" s="17"/>
      <c r="I515" s="17"/>
      <c r="J515" s="17"/>
      <c r="K515" s="17"/>
      <c r="L515" s="34"/>
      <c r="M515" s="34"/>
      <c r="N515" s="35"/>
      <c r="O515" s="35"/>
      <c r="P515" s="35"/>
      <c r="Q515" s="35"/>
      <c r="R515" s="35"/>
      <c r="S515" s="35"/>
      <c r="T515" s="35"/>
    </row>
    <row r="516">
      <c r="A516" s="13"/>
      <c r="B516" s="17"/>
      <c r="C516" s="17"/>
      <c r="D516" s="29"/>
      <c r="E516" s="17"/>
      <c r="F516" s="17"/>
      <c r="G516" s="17"/>
      <c r="H516" s="17"/>
      <c r="I516" s="17"/>
      <c r="J516" s="17"/>
      <c r="K516" s="17"/>
      <c r="L516" s="34"/>
      <c r="M516" s="34"/>
      <c r="N516" s="35"/>
      <c r="O516" s="35"/>
      <c r="P516" s="35"/>
      <c r="Q516" s="35"/>
      <c r="R516" s="35"/>
      <c r="S516" s="35"/>
      <c r="T516" s="35"/>
    </row>
    <row r="517">
      <c r="A517" s="13"/>
      <c r="B517" s="17"/>
      <c r="C517" s="17"/>
      <c r="D517" s="29"/>
      <c r="E517" s="17"/>
      <c r="F517" s="17"/>
      <c r="G517" s="17"/>
      <c r="H517" s="17"/>
      <c r="I517" s="17"/>
      <c r="J517" s="17"/>
      <c r="K517" s="17"/>
      <c r="L517" s="34"/>
      <c r="M517" s="34"/>
      <c r="N517" s="35"/>
      <c r="O517" s="35"/>
      <c r="P517" s="35"/>
      <c r="Q517" s="35"/>
      <c r="R517" s="35"/>
      <c r="S517" s="35"/>
      <c r="T517" s="35"/>
    </row>
    <row r="518">
      <c r="A518" s="13"/>
      <c r="B518" s="17"/>
      <c r="C518" s="17"/>
      <c r="D518" s="29"/>
      <c r="E518" s="17"/>
      <c r="F518" s="17"/>
      <c r="G518" s="17"/>
      <c r="H518" s="17"/>
      <c r="I518" s="17"/>
      <c r="J518" s="17"/>
      <c r="K518" s="17"/>
      <c r="L518" s="34"/>
      <c r="M518" s="34"/>
      <c r="N518" s="35"/>
      <c r="O518" s="35"/>
      <c r="P518" s="35"/>
      <c r="Q518" s="35"/>
      <c r="R518" s="35"/>
      <c r="S518" s="35"/>
      <c r="T518" s="35"/>
    </row>
    <row r="519">
      <c r="A519" s="13"/>
      <c r="B519" s="17"/>
      <c r="C519" s="17"/>
      <c r="D519" s="29"/>
      <c r="E519" s="17"/>
      <c r="F519" s="17"/>
      <c r="G519" s="17"/>
      <c r="H519" s="17"/>
      <c r="I519" s="17"/>
      <c r="J519" s="17"/>
      <c r="K519" s="17"/>
      <c r="L519" s="34"/>
      <c r="M519" s="34"/>
      <c r="N519" s="35"/>
      <c r="O519" s="35"/>
      <c r="P519" s="35"/>
      <c r="Q519" s="35"/>
      <c r="R519" s="35"/>
      <c r="S519" s="35"/>
      <c r="T519" s="35"/>
    </row>
    <row r="520">
      <c r="A520" s="13"/>
      <c r="B520" s="17"/>
      <c r="C520" s="17"/>
      <c r="D520" s="29"/>
      <c r="E520" s="17"/>
      <c r="F520" s="17"/>
      <c r="G520" s="17"/>
      <c r="H520" s="17"/>
      <c r="I520" s="17"/>
      <c r="J520" s="17"/>
      <c r="K520" s="17"/>
      <c r="L520" s="34"/>
      <c r="M520" s="34"/>
      <c r="N520" s="35"/>
      <c r="O520" s="35"/>
      <c r="P520" s="35"/>
      <c r="Q520" s="35"/>
      <c r="R520" s="35"/>
      <c r="S520" s="35"/>
      <c r="T520" s="35"/>
    </row>
    <row r="521">
      <c r="A521" s="13"/>
      <c r="B521" s="17"/>
      <c r="C521" s="17"/>
      <c r="D521" s="29"/>
      <c r="E521" s="17"/>
      <c r="F521" s="17"/>
      <c r="G521" s="17"/>
      <c r="H521" s="17"/>
      <c r="I521" s="17"/>
      <c r="J521" s="17"/>
      <c r="K521" s="17"/>
      <c r="L521" s="34"/>
      <c r="M521" s="34"/>
      <c r="N521" s="35"/>
      <c r="O521" s="35"/>
      <c r="P521" s="35"/>
      <c r="Q521" s="35"/>
      <c r="R521" s="35"/>
      <c r="S521" s="35"/>
      <c r="T521" s="35"/>
    </row>
    <row r="522">
      <c r="A522" s="13"/>
      <c r="B522" s="17"/>
      <c r="C522" s="17"/>
      <c r="D522" s="29"/>
      <c r="E522" s="17"/>
      <c r="F522" s="17"/>
      <c r="G522" s="17"/>
      <c r="H522" s="17"/>
      <c r="I522" s="17"/>
      <c r="J522" s="17"/>
      <c r="K522" s="17"/>
      <c r="L522" s="34"/>
      <c r="M522" s="34"/>
      <c r="N522" s="35"/>
      <c r="O522" s="35"/>
      <c r="P522" s="35"/>
      <c r="Q522" s="35"/>
      <c r="R522" s="35"/>
      <c r="S522" s="35"/>
      <c r="T522" s="35"/>
    </row>
    <row r="523">
      <c r="A523" s="13"/>
      <c r="B523" s="17"/>
      <c r="C523" s="17"/>
      <c r="D523" s="29"/>
      <c r="E523" s="17"/>
      <c r="F523" s="17"/>
      <c r="G523" s="17"/>
      <c r="H523" s="17"/>
      <c r="I523" s="17"/>
      <c r="J523" s="17"/>
      <c r="K523" s="17"/>
      <c r="L523" s="34"/>
      <c r="M523" s="34"/>
      <c r="N523" s="35"/>
      <c r="O523" s="35"/>
      <c r="P523" s="35"/>
      <c r="Q523" s="35"/>
      <c r="R523" s="35"/>
      <c r="S523" s="35"/>
      <c r="T523" s="35"/>
    </row>
    <row r="524">
      <c r="A524" s="13"/>
      <c r="B524" s="17"/>
      <c r="C524" s="17"/>
      <c r="D524" s="29"/>
      <c r="E524" s="17"/>
      <c r="F524" s="17"/>
      <c r="G524" s="17"/>
      <c r="H524" s="17"/>
      <c r="I524" s="17"/>
      <c r="J524" s="17"/>
      <c r="K524" s="17"/>
      <c r="L524" s="34"/>
      <c r="M524" s="34"/>
      <c r="N524" s="35"/>
      <c r="O524" s="35"/>
      <c r="P524" s="35"/>
      <c r="Q524" s="35"/>
      <c r="R524" s="35"/>
      <c r="S524" s="35"/>
      <c r="T524" s="35"/>
    </row>
    <row r="525">
      <c r="A525" s="13"/>
      <c r="B525" s="17"/>
      <c r="C525" s="17"/>
      <c r="D525" s="29"/>
      <c r="E525" s="17"/>
      <c r="F525" s="17"/>
      <c r="G525" s="17"/>
      <c r="H525" s="17"/>
      <c r="I525" s="17"/>
      <c r="J525" s="17"/>
      <c r="K525" s="17"/>
      <c r="L525" s="34"/>
      <c r="M525" s="34"/>
      <c r="N525" s="35"/>
      <c r="O525" s="35"/>
      <c r="P525" s="35"/>
      <c r="Q525" s="35"/>
      <c r="R525" s="35"/>
      <c r="S525" s="35"/>
      <c r="T525" s="35"/>
    </row>
    <row r="526">
      <c r="A526" s="13"/>
      <c r="B526" s="17"/>
      <c r="C526" s="17"/>
      <c r="D526" s="29"/>
      <c r="E526" s="17"/>
      <c r="F526" s="17"/>
      <c r="G526" s="17"/>
      <c r="H526" s="17"/>
      <c r="I526" s="17"/>
      <c r="J526" s="17"/>
      <c r="K526" s="17"/>
      <c r="L526" s="34"/>
      <c r="M526" s="34"/>
      <c r="N526" s="35"/>
      <c r="O526" s="35"/>
      <c r="P526" s="35"/>
      <c r="Q526" s="35"/>
      <c r="R526" s="35"/>
      <c r="S526" s="35"/>
      <c r="T526" s="35"/>
    </row>
    <row r="527">
      <c r="A527" s="13"/>
      <c r="B527" s="17"/>
      <c r="C527" s="17"/>
      <c r="D527" s="29"/>
      <c r="E527" s="17"/>
      <c r="F527" s="17"/>
      <c r="G527" s="17"/>
      <c r="H527" s="17"/>
      <c r="I527" s="17"/>
      <c r="J527" s="17"/>
      <c r="K527" s="17"/>
      <c r="L527" s="34"/>
      <c r="M527" s="34"/>
      <c r="N527" s="35"/>
      <c r="O527" s="35"/>
      <c r="P527" s="35"/>
      <c r="Q527" s="35"/>
      <c r="R527" s="35"/>
      <c r="S527" s="35"/>
      <c r="T527" s="35"/>
    </row>
    <row r="528">
      <c r="A528" s="13"/>
      <c r="B528" s="17"/>
      <c r="C528" s="17"/>
      <c r="D528" s="29"/>
      <c r="E528" s="17"/>
      <c r="F528" s="17"/>
      <c r="G528" s="17"/>
      <c r="H528" s="17"/>
      <c r="I528" s="17"/>
      <c r="J528" s="17"/>
      <c r="K528" s="17"/>
      <c r="L528" s="34"/>
      <c r="M528" s="34"/>
      <c r="N528" s="35"/>
      <c r="O528" s="35"/>
      <c r="P528" s="35"/>
      <c r="Q528" s="35"/>
      <c r="R528" s="35"/>
      <c r="S528" s="35"/>
      <c r="T528" s="35"/>
    </row>
    <row r="529">
      <c r="A529" s="13"/>
      <c r="B529" s="17"/>
      <c r="C529" s="17"/>
      <c r="D529" s="29"/>
      <c r="E529" s="17"/>
      <c r="F529" s="17"/>
      <c r="G529" s="17"/>
      <c r="H529" s="17"/>
      <c r="I529" s="17"/>
      <c r="J529" s="17"/>
      <c r="K529" s="17"/>
      <c r="L529" s="34"/>
      <c r="M529" s="34"/>
      <c r="N529" s="35"/>
      <c r="O529" s="35"/>
      <c r="P529" s="35"/>
      <c r="Q529" s="35"/>
      <c r="R529" s="35"/>
      <c r="S529" s="35"/>
      <c r="T529" s="35"/>
    </row>
    <row r="530">
      <c r="A530" s="13"/>
      <c r="B530" s="17"/>
      <c r="C530" s="17"/>
      <c r="D530" s="29"/>
      <c r="E530" s="17"/>
      <c r="F530" s="17"/>
      <c r="G530" s="17"/>
      <c r="H530" s="17"/>
      <c r="I530" s="17"/>
      <c r="J530" s="17"/>
      <c r="K530" s="17"/>
      <c r="L530" s="34"/>
      <c r="M530" s="34"/>
      <c r="N530" s="35"/>
      <c r="O530" s="35"/>
      <c r="P530" s="35"/>
      <c r="Q530" s="35"/>
      <c r="R530" s="35"/>
      <c r="S530" s="35"/>
      <c r="T530" s="35"/>
    </row>
    <row r="531">
      <c r="A531" s="13"/>
      <c r="B531" s="17"/>
      <c r="C531" s="17"/>
      <c r="D531" s="29"/>
      <c r="E531" s="17"/>
      <c r="F531" s="17"/>
      <c r="G531" s="17"/>
      <c r="H531" s="17"/>
      <c r="I531" s="17"/>
      <c r="J531" s="17"/>
      <c r="K531" s="17"/>
      <c r="L531" s="34"/>
      <c r="M531" s="34"/>
      <c r="N531" s="35"/>
      <c r="O531" s="35"/>
      <c r="P531" s="35"/>
      <c r="Q531" s="35"/>
      <c r="R531" s="35"/>
      <c r="S531" s="35"/>
      <c r="T531" s="35"/>
    </row>
    <row r="532">
      <c r="A532" s="13"/>
      <c r="B532" s="17"/>
      <c r="C532" s="17"/>
      <c r="D532" s="29"/>
      <c r="E532" s="17"/>
      <c r="F532" s="17"/>
      <c r="G532" s="17"/>
      <c r="H532" s="17"/>
      <c r="I532" s="17"/>
      <c r="J532" s="17"/>
      <c r="K532" s="17"/>
      <c r="L532" s="34"/>
      <c r="M532" s="34"/>
      <c r="N532" s="35"/>
      <c r="O532" s="35"/>
      <c r="P532" s="35"/>
      <c r="Q532" s="35"/>
      <c r="R532" s="35"/>
      <c r="S532" s="35"/>
      <c r="T532" s="35"/>
    </row>
    <row r="533">
      <c r="A533" s="13"/>
      <c r="B533" s="17"/>
      <c r="C533" s="17"/>
      <c r="D533" s="29"/>
      <c r="E533" s="17"/>
      <c r="F533" s="17"/>
      <c r="G533" s="17"/>
      <c r="H533" s="17"/>
      <c r="I533" s="17"/>
      <c r="J533" s="17"/>
      <c r="K533" s="17"/>
      <c r="L533" s="34"/>
      <c r="M533" s="34"/>
      <c r="N533" s="35"/>
      <c r="O533" s="35"/>
      <c r="P533" s="35"/>
      <c r="Q533" s="35"/>
      <c r="R533" s="35"/>
      <c r="S533" s="35"/>
      <c r="T533" s="35"/>
    </row>
    <row r="534">
      <c r="A534" s="13"/>
      <c r="B534" s="17"/>
      <c r="C534" s="17"/>
      <c r="D534" s="29"/>
      <c r="E534" s="17"/>
      <c r="F534" s="17"/>
      <c r="G534" s="17"/>
      <c r="H534" s="17"/>
      <c r="I534" s="17"/>
      <c r="J534" s="17"/>
      <c r="K534" s="17"/>
      <c r="L534" s="34"/>
      <c r="M534" s="34"/>
      <c r="N534" s="35"/>
      <c r="O534" s="35"/>
      <c r="P534" s="35"/>
      <c r="Q534" s="35"/>
      <c r="R534" s="35"/>
      <c r="S534" s="35"/>
      <c r="T534" s="35"/>
    </row>
    <row r="535">
      <c r="A535" s="13"/>
      <c r="B535" s="17"/>
      <c r="C535" s="17"/>
      <c r="D535" s="29"/>
      <c r="E535" s="17"/>
      <c r="F535" s="17"/>
      <c r="G535" s="17"/>
      <c r="H535" s="17"/>
      <c r="I535" s="17"/>
      <c r="J535" s="17"/>
      <c r="K535" s="17"/>
      <c r="L535" s="34"/>
      <c r="M535" s="34"/>
      <c r="N535" s="35"/>
      <c r="O535" s="35"/>
      <c r="P535" s="35"/>
      <c r="Q535" s="35"/>
      <c r="R535" s="35"/>
      <c r="S535" s="35"/>
      <c r="T535" s="35"/>
    </row>
    <row r="536">
      <c r="A536" s="13"/>
      <c r="B536" s="17"/>
      <c r="C536" s="17"/>
      <c r="D536" s="29"/>
      <c r="E536" s="17"/>
      <c r="F536" s="17"/>
      <c r="G536" s="17"/>
      <c r="H536" s="17"/>
      <c r="I536" s="17"/>
      <c r="J536" s="17"/>
      <c r="K536" s="17"/>
      <c r="L536" s="34"/>
      <c r="M536" s="34"/>
      <c r="N536" s="35"/>
      <c r="O536" s="35"/>
      <c r="P536" s="35"/>
      <c r="Q536" s="35"/>
      <c r="R536" s="35"/>
      <c r="S536" s="35"/>
      <c r="T536" s="35"/>
    </row>
    <row r="537">
      <c r="A537" s="13"/>
      <c r="B537" s="17"/>
      <c r="C537" s="17"/>
      <c r="D537" s="29"/>
      <c r="E537" s="17"/>
      <c r="F537" s="17"/>
      <c r="G537" s="17"/>
      <c r="H537" s="17"/>
      <c r="I537" s="17"/>
      <c r="J537" s="17"/>
      <c r="K537" s="17"/>
      <c r="L537" s="34"/>
      <c r="M537" s="34"/>
      <c r="N537" s="35"/>
      <c r="O537" s="35"/>
      <c r="P537" s="35"/>
      <c r="Q537" s="35"/>
      <c r="R537" s="35"/>
      <c r="S537" s="35"/>
      <c r="T537" s="35"/>
    </row>
    <row r="538">
      <c r="A538" s="13"/>
      <c r="B538" s="17"/>
      <c r="C538" s="17"/>
      <c r="D538" s="29"/>
      <c r="E538" s="17"/>
      <c r="F538" s="17"/>
      <c r="G538" s="17"/>
      <c r="H538" s="17"/>
      <c r="I538" s="17"/>
      <c r="J538" s="17"/>
      <c r="K538" s="17"/>
      <c r="L538" s="34"/>
      <c r="M538" s="34"/>
      <c r="N538" s="35"/>
      <c r="O538" s="35"/>
      <c r="P538" s="35"/>
      <c r="Q538" s="35"/>
      <c r="R538" s="35"/>
      <c r="S538" s="35"/>
      <c r="T538" s="35"/>
    </row>
    <row r="539">
      <c r="A539" s="13"/>
      <c r="B539" s="17"/>
      <c r="C539" s="17"/>
      <c r="D539" s="29"/>
      <c r="E539" s="17"/>
      <c r="F539" s="17"/>
      <c r="G539" s="17"/>
      <c r="H539" s="17"/>
      <c r="I539" s="17"/>
      <c r="J539" s="17"/>
      <c r="K539" s="17"/>
      <c r="L539" s="34"/>
      <c r="M539" s="34"/>
      <c r="N539" s="35"/>
      <c r="O539" s="35"/>
      <c r="P539" s="35"/>
      <c r="Q539" s="35"/>
      <c r="R539" s="35"/>
      <c r="S539" s="35"/>
      <c r="T539" s="35"/>
    </row>
    <row r="540">
      <c r="A540" s="13"/>
      <c r="B540" s="17"/>
      <c r="C540" s="17"/>
      <c r="D540" s="29"/>
      <c r="E540" s="17"/>
      <c r="F540" s="17"/>
      <c r="G540" s="17"/>
      <c r="H540" s="17"/>
      <c r="I540" s="17"/>
      <c r="J540" s="17"/>
      <c r="K540" s="17"/>
      <c r="L540" s="34"/>
      <c r="M540" s="34"/>
      <c r="N540" s="35"/>
      <c r="O540" s="35"/>
      <c r="P540" s="35"/>
      <c r="Q540" s="35"/>
      <c r="R540" s="35"/>
      <c r="S540" s="35"/>
      <c r="T540" s="35"/>
    </row>
    <row r="541">
      <c r="A541" s="13"/>
      <c r="B541" s="17"/>
      <c r="C541" s="17"/>
      <c r="D541" s="29"/>
      <c r="E541" s="17"/>
      <c r="F541" s="17"/>
      <c r="G541" s="17"/>
      <c r="H541" s="17"/>
      <c r="I541" s="17"/>
      <c r="J541" s="17"/>
      <c r="K541" s="17"/>
      <c r="L541" s="34"/>
      <c r="M541" s="34"/>
      <c r="N541" s="35"/>
      <c r="O541" s="35"/>
      <c r="P541" s="35"/>
      <c r="Q541" s="35"/>
      <c r="R541" s="35"/>
      <c r="S541" s="35"/>
      <c r="T541" s="35"/>
    </row>
    <row r="542">
      <c r="A542" s="13"/>
      <c r="B542" s="17"/>
      <c r="C542" s="17"/>
      <c r="D542" s="29"/>
      <c r="E542" s="17"/>
      <c r="F542" s="17"/>
      <c r="G542" s="17"/>
      <c r="H542" s="17"/>
      <c r="I542" s="17"/>
      <c r="J542" s="17"/>
      <c r="K542" s="17"/>
      <c r="L542" s="34"/>
      <c r="M542" s="34"/>
      <c r="N542" s="35"/>
      <c r="O542" s="35"/>
      <c r="P542" s="35"/>
      <c r="Q542" s="35"/>
      <c r="R542" s="35"/>
      <c r="S542" s="35"/>
      <c r="T542" s="35"/>
    </row>
    <row r="543">
      <c r="A543" s="13"/>
      <c r="B543" s="17"/>
      <c r="C543" s="17"/>
      <c r="D543" s="29"/>
      <c r="E543" s="17"/>
      <c r="F543" s="17"/>
      <c r="G543" s="17"/>
      <c r="H543" s="17"/>
      <c r="I543" s="17"/>
      <c r="J543" s="17"/>
      <c r="K543" s="17"/>
      <c r="L543" s="34"/>
      <c r="M543" s="34"/>
      <c r="N543" s="35"/>
      <c r="O543" s="35"/>
      <c r="P543" s="35"/>
      <c r="Q543" s="35"/>
      <c r="R543" s="35"/>
      <c r="S543" s="35"/>
      <c r="T543" s="35"/>
    </row>
    <row r="544">
      <c r="A544" s="13"/>
      <c r="B544" s="17"/>
      <c r="C544" s="17"/>
      <c r="D544" s="29"/>
      <c r="E544" s="17"/>
      <c r="F544" s="17"/>
      <c r="G544" s="17"/>
      <c r="H544" s="17"/>
      <c r="I544" s="17"/>
      <c r="J544" s="17"/>
      <c r="K544" s="17"/>
      <c r="L544" s="34"/>
      <c r="M544" s="34"/>
      <c r="N544" s="35"/>
      <c r="O544" s="35"/>
      <c r="P544" s="35"/>
      <c r="Q544" s="35"/>
      <c r="R544" s="35"/>
      <c r="S544" s="35"/>
      <c r="T544" s="35"/>
    </row>
    <row r="545">
      <c r="A545" s="13"/>
      <c r="B545" s="17"/>
      <c r="C545" s="17"/>
      <c r="D545" s="29"/>
      <c r="E545" s="17"/>
      <c r="F545" s="17"/>
      <c r="G545" s="17"/>
      <c r="H545" s="17"/>
      <c r="I545" s="17"/>
      <c r="J545" s="17"/>
      <c r="K545" s="17"/>
      <c r="L545" s="34"/>
      <c r="M545" s="34"/>
      <c r="N545" s="35"/>
      <c r="O545" s="35"/>
      <c r="P545" s="35"/>
      <c r="Q545" s="35"/>
      <c r="R545" s="35"/>
      <c r="S545" s="35"/>
      <c r="T545" s="35"/>
    </row>
    <row r="546">
      <c r="A546" s="13"/>
      <c r="B546" s="17"/>
      <c r="C546" s="17"/>
      <c r="D546" s="29"/>
      <c r="E546" s="17"/>
      <c r="F546" s="17"/>
      <c r="G546" s="17"/>
      <c r="H546" s="17"/>
      <c r="I546" s="17"/>
      <c r="J546" s="17"/>
      <c r="K546" s="17"/>
      <c r="L546" s="34"/>
      <c r="M546" s="34"/>
      <c r="N546" s="35"/>
      <c r="O546" s="35"/>
      <c r="P546" s="35"/>
      <c r="Q546" s="35"/>
      <c r="R546" s="35"/>
      <c r="S546" s="35"/>
      <c r="T546" s="35"/>
    </row>
    <row r="547">
      <c r="A547" s="13"/>
      <c r="B547" s="17"/>
      <c r="C547" s="17"/>
      <c r="D547" s="29"/>
      <c r="E547" s="17"/>
      <c r="F547" s="17"/>
      <c r="G547" s="17"/>
      <c r="H547" s="17"/>
      <c r="I547" s="17"/>
      <c r="J547" s="17"/>
      <c r="K547" s="17"/>
      <c r="L547" s="34"/>
      <c r="M547" s="34"/>
      <c r="N547" s="35"/>
      <c r="O547" s="35"/>
      <c r="P547" s="35"/>
      <c r="Q547" s="35"/>
      <c r="R547" s="35"/>
      <c r="S547" s="35"/>
      <c r="T547" s="35"/>
    </row>
    <row r="548">
      <c r="A548" s="13"/>
      <c r="B548" s="17"/>
      <c r="C548" s="17"/>
      <c r="D548" s="29"/>
      <c r="E548" s="17"/>
      <c r="F548" s="17"/>
      <c r="G548" s="17"/>
      <c r="H548" s="17"/>
      <c r="I548" s="17"/>
      <c r="J548" s="17"/>
      <c r="K548" s="17"/>
      <c r="L548" s="34"/>
      <c r="M548" s="34"/>
      <c r="N548" s="35"/>
      <c r="O548" s="35"/>
      <c r="P548" s="35"/>
      <c r="Q548" s="35"/>
      <c r="R548" s="35"/>
      <c r="S548" s="35"/>
      <c r="T548" s="35"/>
    </row>
    <row r="549">
      <c r="A549" s="13"/>
      <c r="B549" s="17"/>
      <c r="C549" s="17"/>
      <c r="D549" s="29"/>
      <c r="E549" s="17"/>
      <c r="F549" s="17"/>
      <c r="G549" s="17"/>
      <c r="H549" s="17"/>
      <c r="I549" s="17"/>
      <c r="J549" s="17"/>
      <c r="K549" s="17"/>
      <c r="L549" s="34"/>
      <c r="M549" s="34"/>
      <c r="N549" s="35"/>
      <c r="O549" s="35"/>
      <c r="P549" s="35"/>
      <c r="Q549" s="35"/>
      <c r="R549" s="35"/>
      <c r="S549" s="35"/>
      <c r="T549" s="35"/>
    </row>
    <row r="550">
      <c r="A550" s="13"/>
      <c r="B550" s="17"/>
      <c r="C550" s="17"/>
      <c r="D550" s="29"/>
      <c r="E550" s="17"/>
      <c r="F550" s="17"/>
      <c r="G550" s="17"/>
      <c r="H550" s="17"/>
      <c r="I550" s="17"/>
      <c r="J550" s="17"/>
      <c r="K550" s="17"/>
      <c r="L550" s="34"/>
      <c r="M550" s="34"/>
      <c r="N550" s="35"/>
      <c r="O550" s="35"/>
      <c r="P550" s="35"/>
      <c r="Q550" s="35"/>
      <c r="R550" s="35"/>
      <c r="S550" s="35"/>
      <c r="T550" s="35"/>
    </row>
    <row r="551">
      <c r="A551" s="13"/>
      <c r="B551" s="17"/>
      <c r="C551" s="17"/>
      <c r="D551" s="29"/>
      <c r="E551" s="17"/>
      <c r="F551" s="17"/>
      <c r="G551" s="17"/>
      <c r="H551" s="17"/>
      <c r="I551" s="17"/>
      <c r="J551" s="17"/>
      <c r="K551" s="17"/>
      <c r="L551" s="34"/>
      <c r="M551" s="34"/>
      <c r="N551" s="35"/>
      <c r="O551" s="35"/>
      <c r="P551" s="35"/>
      <c r="Q551" s="35"/>
      <c r="R551" s="35"/>
      <c r="S551" s="35"/>
      <c r="T551" s="35"/>
    </row>
    <row r="552">
      <c r="A552" s="13"/>
      <c r="B552" s="17"/>
      <c r="C552" s="17"/>
      <c r="D552" s="29"/>
      <c r="E552" s="17"/>
      <c r="F552" s="17"/>
      <c r="G552" s="17"/>
      <c r="H552" s="17"/>
      <c r="I552" s="17"/>
      <c r="J552" s="17"/>
      <c r="K552" s="17"/>
      <c r="L552" s="34"/>
      <c r="M552" s="34"/>
      <c r="N552" s="35"/>
      <c r="O552" s="35"/>
      <c r="P552" s="35"/>
      <c r="Q552" s="35"/>
      <c r="R552" s="35"/>
      <c r="S552" s="35"/>
      <c r="T552" s="35"/>
    </row>
    <row r="553">
      <c r="A553" s="13"/>
      <c r="B553" s="17"/>
      <c r="C553" s="17"/>
      <c r="D553" s="29"/>
      <c r="E553" s="17"/>
      <c r="F553" s="17"/>
      <c r="G553" s="17"/>
      <c r="H553" s="17"/>
      <c r="I553" s="17"/>
      <c r="J553" s="17"/>
      <c r="K553" s="17"/>
      <c r="L553" s="34"/>
      <c r="M553" s="34"/>
      <c r="N553" s="35"/>
      <c r="O553" s="35"/>
      <c r="P553" s="35"/>
      <c r="Q553" s="35"/>
      <c r="R553" s="35"/>
      <c r="S553" s="35"/>
      <c r="T553" s="35"/>
    </row>
    <row r="554">
      <c r="A554" s="13"/>
      <c r="B554" s="17"/>
      <c r="C554" s="17"/>
      <c r="D554" s="29"/>
      <c r="E554" s="17"/>
      <c r="F554" s="17"/>
      <c r="G554" s="17"/>
      <c r="H554" s="17"/>
      <c r="I554" s="17"/>
      <c r="J554" s="17"/>
      <c r="K554" s="17"/>
      <c r="L554" s="34"/>
      <c r="M554" s="34"/>
      <c r="N554" s="35"/>
      <c r="O554" s="35"/>
      <c r="P554" s="35"/>
      <c r="Q554" s="35"/>
      <c r="R554" s="35"/>
      <c r="S554" s="35"/>
      <c r="T554" s="35"/>
    </row>
    <row r="555">
      <c r="A555" s="13"/>
      <c r="B555" s="17"/>
      <c r="C555" s="17"/>
      <c r="D555" s="29"/>
      <c r="E555" s="17"/>
      <c r="F555" s="17"/>
      <c r="G555" s="17"/>
      <c r="H555" s="17"/>
      <c r="I555" s="17"/>
      <c r="J555" s="17"/>
      <c r="K555" s="17"/>
      <c r="L555" s="34"/>
      <c r="M555" s="34"/>
      <c r="N555" s="35"/>
      <c r="O555" s="35"/>
      <c r="P555" s="35"/>
      <c r="Q555" s="35"/>
      <c r="R555" s="35"/>
      <c r="S555" s="35"/>
      <c r="T555" s="35"/>
    </row>
    <row r="556">
      <c r="A556" s="13"/>
      <c r="B556" s="17"/>
      <c r="C556" s="17"/>
      <c r="D556" s="29"/>
      <c r="E556" s="17"/>
      <c r="F556" s="17"/>
      <c r="G556" s="17"/>
      <c r="H556" s="17"/>
      <c r="I556" s="17"/>
      <c r="J556" s="17"/>
      <c r="K556" s="17"/>
      <c r="L556" s="34"/>
      <c r="M556" s="34"/>
      <c r="N556" s="35"/>
      <c r="O556" s="35"/>
      <c r="P556" s="35"/>
      <c r="Q556" s="35"/>
      <c r="R556" s="35"/>
      <c r="S556" s="35"/>
      <c r="T556" s="35"/>
    </row>
    <row r="557">
      <c r="A557" s="13"/>
      <c r="B557" s="17"/>
      <c r="C557" s="17"/>
      <c r="D557" s="29"/>
      <c r="E557" s="17"/>
      <c r="F557" s="17"/>
      <c r="G557" s="17"/>
      <c r="H557" s="17"/>
      <c r="I557" s="17"/>
      <c r="J557" s="17"/>
      <c r="K557" s="17"/>
      <c r="L557" s="34"/>
      <c r="M557" s="34"/>
      <c r="N557" s="35"/>
      <c r="O557" s="35"/>
      <c r="P557" s="35"/>
      <c r="Q557" s="35"/>
      <c r="R557" s="35"/>
      <c r="S557" s="35"/>
      <c r="T557" s="35"/>
    </row>
    <row r="558">
      <c r="A558" s="13"/>
      <c r="B558" s="17"/>
      <c r="C558" s="17"/>
      <c r="D558" s="29"/>
      <c r="E558" s="17"/>
      <c r="F558" s="17"/>
      <c r="G558" s="17"/>
      <c r="H558" s="17"/>
      <c r="I558" s="17"/>
      <c r="J558" s="17"/>
      <c r="K558" s="17"/>
      <c r="L558" s="34"/>
      <c r="M558" s="34"/>
      <c r="N558" s="35"/>
      <c r="O558" s="35"/>
      <c r="P558" s="35"/>
      <c r="Q558" s="35"/>
      <c r="R558" s="35"/>
      <c r="S558" s="35"/>
      <c r="T558" s="35"/>
    </row>
    <row r="559">
      <c r="A559" s="13"/>
      <c r="B559" s="17"/>
      <c r="C559" s="17"/>
      <c r="D559" s="29"/>
      <c r="E559" s="17"/>
      <c r="F559" s="17"/>
      <c r="G559" s="17"/>
      <c r="H559" s="17"/>
      <c r="I559" s="17"/>
      <c r="J559" s="17"/>
      <c r="K559" s="17"/>
      <c r="L559" s="34"/>
      <c r="M559" s="34"/>
      <c r="N559" s="35"/>
      <c r="O559" s="35"/>
      <c r="P559" s="35"/>
      <c r="Q559" s="35"/>
      <c r="R559" s="35"/>
      <c r="S559" s="35"/>
      <c r="T559" s="35"/>
    </row>
    <row r="560">
      <c r="A560" s="13"/>
      <c r="B560" s="17"/>
      <c r="C560" s="17"/>
      <c r="D560" s="29"/>
      <c r="E560" s="17"/>
      <c r="F560" s="17"/>
      <c r="G560" s="17"/>
      <c r="H560" s="17"/>
      <c r="I560" s="17"/>
      <c r="J560" s="17"/>
      <c r="K560" s="17"/>
      <c r="L560" s="34"/>
      <c r="M560" s="34"/>
      <c r="N560" s="35"/>
      <c r="O560" s="35"/>
      <c r="P560" s="35"/>
      <c r="Q560" s="35"/>
      <c r="R560" s="35"/>
      <c r="S560" s="35"/>
      <c r="T560" s="35"/>
    </row>
    <row r="561">
      <c r="A561" s="13"/>
      <c r="B561" s="17"/>
      <c r="C561" s="17"/>
      <c r="D561" s="29"/>
      <c r="E561" s="17"/>
      <c r="F561" s="17"/>
      <c r="G561" s="17"/>
      <c r="H561" s="17"/>
      <c r="I561" s="17"/>
      <c r="J561" s="17"/>
      <c r="K561" s="17"/>
      <c r="L561" s="34"/>
      <c r="M561" s="34"/>
      <c r="N561" s="35"/>
      <c r="O561" s="35"/>
      <c r="P561" s="35"/>
      <c r="Q561" s="35"/>
      <c r="R561" s="35"/>
      <c r="S561" s="35"/>
      <c r="T561" s="35"/>
    </row>
    <row r="562">
      <c r="A562" s="13"/>
      <c r="B562" s="17"/>
      <c r="C562" s="17"/>
      <c r="D562" s="29"/>
      <c r="E562" s="17"/>
      <c r="F562" s="17"/>
      <c r="G562" s="17"/>
      <c r="H562" s="17"/>
      <c r="I562" s="17"/>
      <c r="J562" s="17"/>
      <c r="K562" s="17"/>
      <c r="L562" s="34"/>
      <c r="M562" s="34"/>
      <c r="N562" s="35"/>
      <c r="O562" s="35"/>
      <c r="P562" s="35"/>
      <c r="Q562" s="35"/>
      <c r="R562" s="35"/>
      <c r="S562" s="35"/>
      <c r="T562" s="35"/>
    </row>
    <row r="563">
      <c r="A563" s="13"/>
      <c r="B563" s="17"/>
      <c r="C563" s="17"/>
      <c r="D563" s="29"/>
      <c r="E563" s="17"/>
      <c r="F563" s="17"/>
      <c r="G563" s="17"/>
      <c r="H563" s="17"/>
      <c r="I563" s="17"/>
      <c r="J563" s="17"/>
      <c r="K563" s="17"/>
      <c r="L563" s="34"/>
      <c r="M563" s="34"/>
      <c r="N563" s="35"/>
      <c r="O563" s="35"/>
      <c r="P563" s="35"/>
      <c r="Q563" s="35"/>
      <c r="R563" s="35"/>
      <c r="S563" s="35"/>
      <c r="T563" s="35"/>
    </row>
    <row r="564">
      <c r="A564" s="13"/>
      <c r="B564" s="17"/>
      <c r="C564" s="17"/>
      <c r="D564" s="29"/>
      <c r="E564" s="17"/>
      <c r="F564" s="17"/>
      <c r="G564" s="17"/>
      <c r="H564" s="17"/>
      <c r="I564" s="17"/>
      <c r="J564" s="17"/>
      <c r="K564" s="17"/>
      <c r="L564" s="34"/>
      <c r="M564" s="34"/>
      <c r="N564" s="35"/>
      <c r="O564" s="35"/>
      <c r="P564" s="35"/>
      <c r="Q564" s="35"/>
      <c r="R564" s="35"/>
      <c r="S564" s="35"/>
      <c r="T564" s="35"/>
    </row>
    <row r="565">
      <c r="A565" s="13"/>
      <c r="B565" s="17"/>
      <c r="C565" s="17"/>
      <c r="D565" s="29"/>
      <c r="E565" s="17"/>
      <c r="F565" s="17"/>
      <c r="G565" s="17"/>
      <c r="H565" s="17"/>
      <c r="I565" s="17"/>
      <c r="J565" s="17"/>
      <c r="K565" s="17"/>
      <c r="L565" s="34"/>
      <c r="M565" s="34"/>
      <c r="N565" s="35"/>
      <c r="O565" s="35"/>
      <c r="P565" s="35"/>
      <c r="Q565" s="35"/>
      <c r="R565" s="35"/>
      <c r="S565" s="35"/>
      <c r="T565" s="35"/>
    </row>
    <row r="566">
      <c r="A566" s="13"/>
      <c r="B566" s="17"/>
      <c r="C566" s="17"/>
      <c r="D566" s="29"/>
      <c r="E566" s="17"/>
      <c r="F566" s="17"/>
      <c r="G566" s="17"/>
      <c r="H566" s="17"/>
      <c r="I566" s="17"/>
      <c r="J566" s="17"/>
      <c r="K566" s="17"/>
      <c r="L566" s="34"/>
      <c r="M566" s="34"/>
      <c r="N566" s="35"/>
      <c r="O566" s="35"/>
      <c r="P566" s="35"/>
      <c r="Q566" s="35"/>
      <c r="R566" s="35"/>
      <c r="S566" s="35"/>
      <c r="T566" s="35"/>
    </row>
    <row r="567">
      <c r="A567" s="13"/>
      <c r="B567" s="17"/>
      <c r="C567" s="17"/>
      <c r="D567" s="29"/>
      <c r="E567" s="17"/>
      <c r="F567" s="17"/>
      <c r="G567" s="17"/>
      <c r="H567" s="17"/>
      <c r="I567" s="17"/>
      <c r="J567" s="17"/>
      <c r="K567" s="17"/>
      <c r="L567" s="34"/>
      <c r="M567" s="34"/>
      <c r="N567" s="35"/>
      <c r="O567" s="35"/>
      <c r="P567" s="35"/>
      <c r="Q567" s="35"/>
      <c r="R567" s="35"/>
      <c r="S567" s="35"/>
      <c r="T567" s="35"/>
    </row>
    <row r="568">
      <c r="A568" s="13"/>
      <c r="B568" s="17"/>
      <c r="C568" s="17"/>
      <c r="D568" s="29"/>
      <c r="E568" s="17"/>
      <c r="F568" s="17"/>
      <c r="G568" s="17"/>
      <c r="H568" s="17"/>
      <c r="I568" s="17"/>
      <c r="J568" s="17"/>
      <c r="K568" s="17"/>
      <c r="L568" s="34"/>
      <c r="M568" s="34"/>
      <c r="N568" s="35"/>
      <c r="O568" s="35"/>
      <c r="P568" s="35"/>
      <c r="Q568" s="35"/>
      <c r="R568" s="35"/>
      <c r="S568" s="35"/>
      <c r="T568" s="35"/>
    </row>
    <row r="569">
      <c r="A569" s="13"/>
      <c r="B569" s="17"/>
      <c r="C569" s="17"/>
      <c r="D569" s="29"/>
      <c r="E569" s="17"/>
      <c r="F569" s="17"/>
      <c r="G569" s="17"/>
      <c r="H569" s="17"/>
      <c r="I569" s="17"/>
      <c r="J569" s="17"/>
      <c r="K569" s="17"/>
      <c r="L569" s="34"/>
      <c r="M569" s="34"/>
      <c r="N569" s="35"/>
      <c r="O569" s="35"/>
      <c r="P569" s="35"/>
      <c r="Q569" s="35"/>
      <c r="R569" s="35"/>
      <c r="S569" s="35"/>
      <c r="T569" s="35"/>
    </row>
    <row r="570">
      <c r="A570" s="13"/>
      <c r="B570" s="17"/>
      <c r="C570" s="17"/>
      <c r="D570" s="29"/>
      <c r="E570" s="17"/>
      <c r="F570" s="17"/>
      <c r="G570" s="17"/>
      <c r="H570" s="17"/>
      <c r="I570" s="17"/>
      <c r="J570" s="17"/>
      <c r="K570" s="17"/>
      <c r="L570" s="34"/>
      <c r="M570" s="34"/>
      <c r="N570" s="35"/>
      <c r="O570" s="35"/>
      <c r="P570" s="35"/>
      <c r="Q570" s="35"/>
      <c r="R570" s="35"/>
      <c r="S570" s="35"/>
      <c r="T570" s="35"/>
    </row>
    <row r="571">
      <c r="A571" s="13"/>
      <c r="B571" s="17"/>
      <c r="C571" s="17"/>
      <c r="D571" s="29"/>
      <c r="E571" s="17"/>
      <c r="F571" s="17"/>
      <c r="G571" s="17"/>
      <c r="H571" s="17"/>
      <c r="I571" s="17"/>
      <c r="J571" s="17"/>
      <c r="K571" s="17"/>
      <c r="L571" s="34"/>
      <c r="M571" s="34"/>
      <c r="N571" s="35"/>
      <c r="O571" s="35"/>
      <c r="P571" s="35"/>
      <c r="Q571" s="35"/>
      <c r="R571" s="35"/>
      <c r="S571" s="35"/>
      <c r="T571" s="35"/>
    </row>
    <row r="572">
      <c r="A572" s="13"/>
      <c r="B572" s="17"/>
      <c r="C572" s="17"/>
      <c r="D572" s="29"/>
      <c r="E572" s="17"/>
      <c r="F572" s="17"/>
      <c r="G572" s="17"/>
      <c r="H572" s="17"/>
      <c r="I572" s="17"/>
      <c r="J572" s="17"/>
      <c r="K572" s="17"/>
      <c r="L572" s="34"/>
      <c r="M572" s="34"/>
      <c r="N572" s="35"/>
      <c r="O572" s="35"/>
      <c r="P572" s="35"/>
      <c r="Q572" s="35"/>
      <c r="R572" s="35"/>
      <c r="S572" s="35"/>
      <c r="T572" s="35"/>
    </row>
    <row r="573">
      <c r="A573" s="13"/>
      <c r="B573" s="17"/>
      <c r="C573" s="17"/>
      <c r="D573" s="29"/>
      <c r="E573" s="17"/>
      <c r="F573" s="17"/>
      <c r="G573" s="17"/>
      <c r="H573" s="17"/>
      <c r="I573" s="17"/>
      <c r="J573" s="17"/>
      <c r="K573" s="17"/>
      <c r="L573" s="34"/>
      <c r="M573" s="34"/>
      <c r="N573" s="35"/>
      <c r="O573" s="35"/>
      <c r="P573" s="35"/>
      <c r="Q573" s="35"/>
      <c r="R573" s="35"/>
      <c r="S573" s="35"/>
      <c r="T573" s="35"/>
    </row>
    <row r="574">
      <c r="A574" s="13"/>
      <c r="B574" s="17"/>
      <c r="C574" s="17"/>
      <c r="D574" s="29"/>
      <c r="E574" s="17"/>
      <c r="F574" s="17"/>
      <c r="G574" s="17"/>
      <c r="H574" s="17"/>
      <c r="I574" s="17"/>
      <c r="J574" s="17"/>
      <c r="K574" s="17"/>
      <c r="L574" s="34"/>
      <c r="M574" s="34"/>
      <c r="N574" s="35"/>
      <c r="O574" s="35"/>
      <c r="P574" s="35"/>
      <c r="Q574" s="35"/>
      <c r="R574" s="35"/>
      <c r="S574" s="35"/>
      <c r="T574" s="35"/>
    </row>
    <row r="575">
      <c r="A575" s="13"/>
      <c r="B575" s="17"/>
      <c r="C575" s="17"/>
      <c r="D575" s="29"/>
      <c r="E575" s="17"/>
      <c r="F575" s="17"/>
      <c r="G575" s="17"/>
      <c r="H575" s="17"/>
      <c r="I575" s="17"/>
      <c r="J575" s="17"/>
      <c r="K575" s="17"/>
      <c r="L575" s="34"/>
      <c r="M575" s="34"/>
      <c r="N575" s="35"/>
      <c r="O575" s="35"/>
      <c r="P575" s="35"/>
      <c r="Q575" s="35"/>
      <c r="R575" s="35"/>
      <c r="S575" s="35"/>
      <c r="T575" s="35"/>
    </row>
    <row r="576">
      <c r="A576" s="13"/>
      <c r="B576" s="17"/>
      <c r="C576" s="17"/>
      <c r="D576" s="29"/>
      <c r="E576" s="17"/>
      <c r="F576" s="17"/>
      <c r="G576" s="17"/>
      <c r="H576" s="17"/>
      <c r="I576" s="17"/>
      <c r="J576" s="17"/>
      <c r="K576" s="17"/>
      <c r="L576" s="34"/>
      <c r="M576" s="34"/>
      <c r="N576" s="35"/>
      <c r="O576" s="35"/>
      <c r="P576" s="35"/>
      <c r="Q576" s="35"/>
      <c r="R576" s="35"/>
      <c r="S576" s="35"/>
      <c r="T576" s="35"/>
    </row>
    <row r="577">
      <c r="A577" s="13"/>
      <c r="B577" s="17"/>
      <c r="C577" s="17"/>
      <c r="D577" s="29"/>
      <c r="E577" s="17"/>
      <c r="F577" s="17"/>
      <c r="G577" s="17"/>
      <c r="H577" s="17"/>
      <c r="I577" s="17"/>
      <c r="J577" s="17"/>
      <c r="K577" s="17"/>
      <c r="L577" s="34"/>
      <c r="M577" s="34"/>
      <c r="N577" s="35"/>
      <c r="O577" s="35"/>
      <c r="P577" s="35"/>
      <c r="Q577" s="35"/>
      <c r="R577" s="35"/>
      <c r="S577" s="35"/>
      <c r="T577" s="35"/>
    </row>
    <row r="578">
      <c r="A578" s="13"/>
      <c r="B578" s="17"/>
      <c r="C578" s="17"/>
      <c r="D578" s="29"/>
      <c r="E578" s="17"/>
      <c r="F578" s="17"/>
      <c r="G578" s="17"/>
      <c r="H578" s="17"/>
      <c r="I578" s="17"/>
      <c r="J578" s="17"/>
      <c r="K578" s="17"/>
      <c r="L578" s="34"/>
      <c r="M578" s="34"/>
      <c r="N578" s="35"/>
      <c r="O578" s="35"/>
      <c r="P578" s="35"/>
      <c r="Q578" s="35"/>
      <c r="R578" s="35"/>
      <c r="S578" s="35"/>
      <c r="T578" s="35"/>
    </row>
    <row r="579">
      <c r="A579" s="13"/>
      <c r="B579" s="17"/>
      <c r="C579" s="17"/>
      <c r="D579" s="29"/>
      <c r="E579" s="17"/>
      <c r="F579" s="17"/>
      <c r="G579" s="17"/>
      <c r="H579" s="17"/>
      <c r="I579" s="17"/>
      <c r="J579" s="17"/>
      <c r="K579" s="17"/>
      <c r="L579" s="34"/>
      <c r="M579" s="34"/>
      <c r="N579" s="35"/>
      <c r="O579" s="35"/>
      <c r="P579" s="35"/>
      <c r="Q579" s="35"/>
      <c r="R579" s="35"/>
      <c r="S579" s="35"/>
      <c r="T579" s="35"/>
    </row>
    <row r="580">
      <c r="A580" s="13"/>
      <c r="B580" s="17"/>
      <c r="C580" s="17"/>
      <c r="D580" s="29"/>
      <c r="E580" s="17"/>
      <c r="F580" s="17"/>
      <c r="G580" s="17"/>
      <c r="H580" s="17"/>
      <c r="I580" s="17"/>
      <c r="J580" s="17"/>
      <c r="K580" s="17"/>
      <c r="L580" s="34"/>
      <c r="M580" s="34"/>
      <c r="N580" s="35"/>
      <c r="O580" s="35"/>
      <c r="P580" s="35"/>
      <c r="Q580" s="35"/>
      <c r="R580" s="35"/>
      <c r="S580" s="35"/>
      <c r="T580" s="35"/>
    </row>
    <row r="581">
      <c r="A581" s="13"/>
      <c r="B581" s="17"/>
      <c r="C581" s="17"/>
      <c r="D581" s="29"/>
      <c r="E581" s="17"/>
      <c r="F581" s="17"/>
      <c r="G581" s="17"/>
      <c r="H581" s="17"/>
      <c r="I581" s="17"/>
      <c r="J581" s="17"/>
      <c r="K581" s="17"/>
      <c r="L581" s="34"/>
      <c r="M581" s="34"/>
      <c r="N581" s="35"/>
      <c r="O581" s="35"/>
      <c r="P581" s="35"/>
      <c r="Q581" s="35"/>
      <c r="R581" s="35"/>
      <c r="S581" s="35"/>
      <c r="T581" s="35"/>
    </row>
    <row r="582">
      <c r="A582" s="13"/>
      <c r="B582" s="17"/>
      <c r="C582" s="17"/>
      <c r="D582" s="29"/>
      <c r="E582" s="17"/>
      <c r="F582" s="17"/>
      <c r="G582" s="17"/>
      <c r="H582" s="17"/>
      <c r="I582" s="17"/>
      <c r="J582" s="17"/>
      <c r="K582" s="17"/>
      <c r="L582" s="34"/>
      <c r="M582" s="34"/>
      <c r="N582" s="35"/>
      <c r="O582" s="35"/>
      <c r="P582" s="35"/>
      <c r="Q582" s="35"/>
      <c r="R582" s="35"/>
      <c r="S582" s="35"/>
      <c r="T582" s="35"/>
    </row>
    <row r="583">
      <c r="A583" s="13"/>
      <c r="B583" s="17"/>
      <c r="C583" s="17"/>
      <c r="D583" s="29"/>
      <c r="E583" s="17"/>
      <c r="F583" s="17"/>
      <c r="G583" s="17"/>
      <c r="H583" s="17"/>
      <c r="I583" s="17"/>
      <c r="J583" s="17"/>
      <c r="K583" s="17"/>
      <c r="L583" s="34"/>
      <c r="M583" s="34"/>
      <c r="N583" s="35"/>
      <c r="O583" s="35"/>
      <c r="P583" s="35"/>
      <c r="Q583" s="35"/>
      <c r="R583" s="35"/>
      <c r="S583" s="35"/>
      <c r="T583" s="35"/>
    </row>
    <row r="584">
      <c r="A584" s="13"/>
      <c r="B584" s="17"/>
      <c r="C584" s="17"/>
      <c r="D584" s="29"/>
      <c r="E584" s="17"/>
      <c r="F584" s="17"/>
      <c r="G584" s="17"/>
      <c r="H584" s="17"/>
      <c r="I584" s="17"/>
      <c r="J584" s="17"/>
      <c r="K584" s="17"/>
      <c r="L584" s="34"/>
      <c r="M584" s="34"/>
      <c r="N584" s="35"/>
      <c r="O584" s="35"/>
      <c r="P584" s="35"/>
      <c r="Q584" s="35"/>
      <c r="R584" s="35"/>
      <c r="S584" s="35"/>
      <c r="T584" s="35"/>
    </row>
    <row r="585">
      <c r="A585" s="13"/>
      <c r="B585" s="17"/>
      <c r="C585" s="17"/>
      <c r="D585" s="29"/>
      <c r="E585" s="17"/>
      <c r="F585" s="17"/>
      <c r="G585" s="17"/>
      <c r="H585" s="17"/>
      <c r="I585" s="17"/>
      <c r="J585" s="17"/>
      <c r="K585" s="17"/>
      <c r="L585" s="34"/>
      <c r="M585" s="34"/>
      <c r="N585" s="35"/>
      <c r="O585" s="35"/>
      <c r="P585" s="35"/>
      <c r="Q585" s="35"/>
      <c r="R585" s="35"/>
      <c r="S585" s="35"/>
      <c r="T585" s="35"/>
    </row>
    <row r="586">
      <c r="A586" s="13"/>
      <c r="B586" s="17"/>
      <c r="C586" s="17"/>
      <c r="D586" s="29"/>
      <c r="E586" s="17"/>
      <c r="F586" s="17"/>
      <c r="G586" s="17"/>
      <c r="H586" s="17"/>
      <c r="I586" s="17"/>
      <c r="J586" s="17"/>
      <c r="K586" s="17"/>
      <c r="L586" s="34"/>
      <c r="M586" s="34"/>
      <c r="N586" s="35"/>
      <c r="O586" s="35"/>
      <c r="P586" s="35"/>
      <c r="Q586" s="35"/>
      <c r="R586" s="35"/>
      <c r="S586" s="35"/>
      <c r="T586" s="35"/>
    </row>
    <row r="587">
      <c r="A587" s="13"/>
      <c r="B587" s="17"/>
      <c r="C587" s="17"/>
      <c r="D587" s="29"/>
      <c r="E587" s="17"/>
      <c r="F587" s="17"/>
      <c r="G587" s="17"/>
      <c r="H587" s="17"/>
      <c r="I587" s="17"/>
      <c r="J587" s="17"/>
      <c r="K587" s="17"/>
      <c r="L587" s="34"/>
      <c r="M587" s="34"/>
      <c r="N587" s="35"/>
      <c r="O587" s="35"/>
      <c r="P587" s="35"/>
      <c r="Q587" s="35"/>
      <c r="R587" s="35"/>
      <c r="S587" s="35"/>
      <c r="T587" s="35"/>
    </row>
    <row r="588">
      <c r="A588" s="13"/>
      <c r="B588" s="17"/>
      <c r="C588" s="17"/>
      <c r="D588" s="29"/>
      <c r="E588" s="17"/>
      <c r="F588" s="17"/>
      <c r="G588" s="17"/>
      <c r="H588" s="17"/>
      <c r="I588" s="17"/>
      <c r="J588" s="17"/>
      <c r="K588" s="17"/>
      <c r="L588" s="34"/>
      <c r="M588" s="34"/>
      <c r="N588" s="35"/>
      <c r="O588" s="35"/>
      <c r="P588" s="35"/>
      <c r="Q588" s="35"/>
      <c r="R588" s="35"/>
      <c r="S588" s="35"/>
      <c r="T588" s="35"/>
    </row>
    <row r="589">
      <c r="A589" s="13"/>
      <c r="B589" s="17"/>
      <c r="C589" s="17"/>
      <c r="D589" s="29"/>
      <c r="E589" s="17"/>
      <c r="F589" s="17"/>
      <c r="G589" s="17"/>
      <c r="H589" s="17"/>
      <c r="I589" s="17"/>
      <c r="J589" s="17"/>
      <c r="K589" s="17"/>
      <c r="L589" s="34"/>
      <c r="M589" s="34"/>
      <c r="N589" s="35"/>
      <c r="O589" s="35"/>
      <c r="P589" s="35"/>
      <c r="Q589" s="35"/>
      <c r="R589" s="35"/>
      <c r="S589" s="35"/>
      <c r="T589" s="35"/>
    </row>
    <row r="590">
      <c r="A590" s="13"/>
      <c r="B590" s="17"/>
      <c r="C590" s="17"/>
      <c r="D590" s="29"/>
      <c r="E590" s="17"/>
      <c r="F590" s="17"/>
      <c r="G590" s="17"/>
      <c r="H590" s="17"/>
      <c r="I590" s="17"/>
      <c r="J590" s="17"/>
      <c r="K590" s="17"/>
      <c r="L590" s="34"/>
      <c r="M590" s="34"/>
      <c r="N590" s="35"/>
      <c r="O590" s="35"/>
      <c r="P590" s="35"/>
      <c r="Q590" s="35"/>
      <c r="R590" s="35"/>
      <c r="S590" s="35"/>
      <c r="T590" s="35"/>
    </row>
    <row r="591">
      <c r="A591" s="13"/>
      <c r="B591" s="17"/>
      <c r="C591" s="17"/>
      <c r="D591" s="29"/>
      <c r="E591" s="17"/>
      <c r="F591" s="17"/>
      <c r="G591" s="17"/>
      <c r="H591" s="17"/>
      <c r="I591" s="17"/>
      <c r="J591" s="17"/>
      <c r="K591" s="17"/>
      <c r="L591" s="34"/>
      <c r="M591" s="34"/>
      <c r="N591" s="35"/>
      <c r="O591" s="35"/>
      <c r="P591" s="35"/>
      <c r="Q591" s="35"/>
      <c r="R591" s="35"/>
      <c r="S591" s="35"/>
      <c r="T591" s="35"/>
    </row>
    <row r="592">
      <c r="A592" s="13"/>
      <c r="B592" s="17"/>
      <c r="C592" s="17"/>
      <c r="D592" s="29"/>
      <c r="E592" s="17"/>
      <c r="F592" s="17"/>
      <c r="G592" s="17"/>
      <c r="H592" s="17"/>
      <c r="I592" s="17"/>
      <c r="J592" s="17"/>
      <c r="K592" s="17"/>
      <c r="L592" s="34"/>
      <c r="M592" s="34"/>
      <c r="N592" s="35"/>
      <c r="O592" s="35"/>
      <c r="P592" s="35"/>
      <c r="Q592" s="35"/>
      <c r="R592" s="35"/>
      <c r="S592" s="35"/>
      <c r="T592" s="35"/>
    </row>
    <row r="593">
      <c r="A593" s="13"/>
      <c r="B593" s="17"/>
      <c r="C593" s="17"/>
      <c r="D593" s="29"/>
      <c r="E593" s="17"/>
      <c r="F593" s="17"/>
      <c r="G593" s="17"/>
      <c r="H593" s="17"/>
      <c r="I593" s="17"/>
      <c r="J593" s="17"/>
      <c r="K593" s="17"/>
      <c r="L593" s="34"/>
      <c r="M593" s="34"/>
      <c r="N593" s="35"/>
      <c r="O593" s="35"/>
      <c r="P593" s="35"/>
      <c r="Q593" s="35"/>
      <c r="R593" s="35"/>
      <c r="S593" s="35"/>
      <c r="T593" s="35"/>
    </row>
    <row r="594">
      <c r="A594" s="13"/>
      <c r="B594" s="17"/>
      <c r="C594" s="17"/>
      <c r="D594" s="29"/>
      <c r="E594" s="17"/>
      <c r="F594" s="17"/>
      <c r="G594" s="17"/>
      <c r="H594" s="17"/>
      <c r="I594" s="17"/>
      <c r="J594" s="17"/>
      <c r="K594" s="17"/>
      <c r="L594" s="34"/>
      <c r="M594" s="34"/>
      <c r="N594" s="35"/>
      <c r="O594" s="35"/>
      <c r="P594" s="35"/>
      <c r="Q594" s="35"/>
      <c r="R594" s="35"/>
      <c r="S594" s="35"/>
      <c r="T594" s="35"/>
    </row>
    <row r="595">
      <c r="A595" s="13"/>
      <c r="B595" s="17"/>
      <c r="C595" s="17"/>
      <c r="D595" s="29"/>
      <c r="E595" s="17"/>
      <c r="F595" s="17"/>
      <c r="G595" s="17"/>
      <c r="H595" s="17"/>
      <c r="I595" s="17"/>
      <c r="J595" s="17"/>
      <c r="K595" s="17"/>
      <c r="L595" s="34"/>
      <c r="M595" s="34"/>
      <c r="N595" s="35"/>
      <c r="O595" s="35"/>
      <c r="P595" s="35"/>
      <c r="Q595" s="35"/>
      <c r="R595" s="35"/>
      <c r="S595" s="35"/>
      <c r="T595" s="35"/>
    </row>
    <row r="596">
      <c r="A596" s="13"/>
      <c r="B596" s="17"/>
      <c r="C596" s="17"/>
      <c r="D596" s="29"/>
      <c r="E596" s="17"/>
      <c r="F596" s="17"/>
      <c r="G596" s="17"/>
      <c r="H596" s="17"/>
      <c r="I596" s="17"/>
      <c r="J596" s="17"/>
      <c r="K596" s="17"/>
      <c r="L596" s="34"/>
      <c r="M596" s="34"/>
      <c r="N596" s="35"/>
      <c r="O596" s="35"/>
      <c r="P596" s="35"/>
      <c r="Q596" s="35"/>
      <c r="R596" s="35"/>
      <c r="S596" s="35"/>
      <c r="T596" s="35"/>
    </row>
    <row r="597">
      <c r="A597" s="13"/>
      <c r="B597" s="17"/>
      <c r="C597" s="17"/>
      <c r="D597" s="29"/>
      <c r="E597" s="17"/>
      <c r="F597" s="17"/>
      <c r="G597" s="17"/>
      <c r="H597" s="17"/>
      <c r="I597" s="17"/>
      <c r="J597" s="17"/>
      <c r="K597" s="17"/>
      <c r="L597" s="34"/>
      <c r="M597" s="34"/>
      <c r="N597" s="35"/>
      <c r="O597" s="35"/>
      <c r="P597" s="35"/>
      <c r="Q597" s="35"/>
      <c r="R597" s="35"/>
      <c r="S597" s="35"/>
      <c r="T597" s="35"/>
    </row>
    <row r="598">
      <c r="A598" s="13"/>
      <c r="B598" s="17"/>
      <c r="C598" s="17"/>
      <c r="D598" s="29"/>
      <c r="E598" s="17"/>
      <c r="F598" s="17"/>
      <c r="G598" s="17"/>
      <c r="H598" s="17"/>
      <c r="I598" s="17"/>
      <c r="J598" s="17"/>
      <c r="K598" s="17"/>
      <c r="L598" s="34"/>
      <c r="M598" s="34"/>
      <c r="N598" s="35"/>
      <c r="O598" s="35"/>
      <c r="P598" s="35"/>
      <c r="Q598" s="35"/>
      <c r="R598" s="35"/>
      <c r="S598" s="35"/>
      <c r="T598" s="35"/>
    </row>
    <row r="599">
      <c r="A599" s="13"/>
      <c r="B599" s="17"/>
      <c r="C599" s="17"/>
      <c r="D599" s="29"/>
      <c r="E599" s="17"/>
      <c r="F599" s="17"/>
      <c r="G599" s="17"/>
      <c r="H599" s="17"/>
      <c r="I599" s="17"/>
      <c r="J599" s="17"/>
      <c r="K599" s="17"/>
      <c r="L599" s="34"/>
      <c r="M599" s="34"/>
      <c r="N599" s="35"/>
      <c r="O599" s="35"/>
      <c r="P599" s="35"/>
      <c r="Q599" s="35"/>
      <c r="R599" s="35"/>
      <c r="S599" s="35"/>
      <c r="T599" s="35"/>
    </row>
    <row r="600">
      <c r="A600" s="13"/>
      <c r="B600" s="17"/>
      <c r="C600" s="17"/>
      <c r="D600" s="29"/>
      <c r="E600" s="17"/>
      <c r="F600" s="17"/>
      <c r="G600" s="17"/>
      <c r="H600" s="17"/>
      <c r="I600" s="17"/>
      <c r="J600" s="17"/>
      <c r="K600" s="17"/>
      <c r="L600" s="34"/>
      <c r="M600" s="34"/>
      <c r="N600" s="35"/>
      <c r="O600" s="35"/>
      <c r="P600" s="35"/>
      <c r="Q600" s="35"/>
      <c r="R600" s="35"/>
      <c r="S600" s="35"/>
      <c r="T600" s="35"/>
    </row>
    <row r="601">
      <c r="A601" s="13"/>
      <c r="B601" s="17"/>
      <c r="C601" s="17"/>
      <c r="D601" s="29"/>
      <c r="E601" s="17"/>
      <c r="F601" s="17"/>
      <c r="G601" s="17"/>
      <c r="H601" s="17"/>
      <c r="I601" s="17"/>
      <c r="J601" s="17"/>
      <c r="K601" s="17"/>
      <c r="L601" s="34"/>
      <c r="M601" s="34"/>
      <c r="N601" s="35"/>
      <c r="O601" s="35"/>
      <c r="P601" s="35"/>
      <c r="Q601" s="35"/>
      <c r="R601" s="35"/>
      <c r="S601" s="35"/>
      <c r="T601" s="35"/>
    </row>
    <row r="602">
      <c r="A602" s="13"/>
      <c r="B602" s="17"/>
      <c r="C602" s="17"/>
      <c r="D602" s="29"/>
      <c r="E602" s="17"/>
      <c r="F602" s="17"/>
      <c r="G602" s="17"/>
      <c r="H602" s="17"/>
      <c r="I602" s="17"/>
      <c r="J602" s="17"/>
      <c r="K602" s="17"/>
      <c r="L602" s="34"/>
      <c r="M602" s="34"/>
      <c r="N602" s="35"/>
      <c r="O602" s="35"/>
      <c r="P602" s="35"/>
      <c r="Q602" s="35"/>
      <c r="R602" s="35"/>
      <c r="S602" s="35"/>
      <c r="T602" s="35"/>
    </row>
    <row r="603">
      <c r="F603" s="34"/>
      <c r="G603" s="34"/>
      <c r="H603" s="34"/>
      <c r="I603" s="34"/>
      <c r="L603" s="34"/>
      <c r="M603" s="34"/>
      <c r="N603" s="35"/>
      <c r="O603" s="35"/>
      <c r="P603" s="35"/>
      <c r="Q603" s="35"/>
      <c r="R603" s="35"/>
      <c r="S603" s="35"/>
      <c r="T603" s="35"/>
    </row>
    <row r="604">
      <c r="F604" s="34"/>
      <c r="G604" s="34"/>
      <c r="H604" s="34"/>
      <c r="I604" s="34"/>
      <c r="L604" s="34"/>
      <c r="M604" s="34"/>
      <c r="N604" s="35"/>
      <c r="O604" s="35"/>
      <c r="P604" s="35"/>
      <c r="Q604" s="35"/>
      <c r="R604" s="35"/>
      <c r="S604" s="35"/>
      <c r="T604" s="35"/>
    </row>
    <row r="605">
      <c r="F605" s="34"/>
      <c r="G605" s="34"/>
      <c r="H605" s="34"/>
      <c r="I605" s="34"/>
      <c r="L605" s="34"/>
      <c r="M605" s="34"/>
      <c r="N605" s="35"/>
      <c r="O605" s="35"/>
      <c r="P605" s="35"/>
      <c r="Q605" s="35"/>
      <c r="R605" s="35"/>
      <c r="S605" s="35"/>
      <c r="T605" s="35"/>
    </row>
    <row r="606">
      <c r="F606" s="34"/>
      <c r="G606" s="34"/>
      <c r="H606" s="34"/>
      <c r="I606" s="34"/>
      <c r="L606" s="34"/>
      <c r="M606" s="34"/>
      <c r="N606" s="35"/>
      <c r="O606" s="35"/>
      <c r="P606" s="35"/>
      <c r="Q606" s="35"/>
      <c r="R606" s="35"/>
      <c r="S606" s="35"/>
      <c r="T606" s="35"/>
    </row>
    <row r="607">
      <c r="F607" s="34"/>
      <c r="G607" s="34"/>
      <c r="H607" s="34"/>
      <c r="I607" s="34"/>
      <c r="L607" s="34"/>
      <c r="M607" s="34"/>
      <c r="N607" s="35"/>
      <c r="O607" s="35"/>
      <c r="P607" s="35"/>
      <c r="Q607" s="35"/>
      <c r="R607" s="35"/>
      <c r="S607" s="35"/>
      <c r="T607" s="35"/>
    </row>
    <row r="608">
      <c r="F608" s="34"/>
      <c r="G608" s="34"/>
      <c r="H608" s="34"/>
      <c r="I608" s="34"/>
      <c r="L608" s="34"/>
      <c r="M608" s="34"/>
      <c r="N608" s="35"/>
      <c r="O608" s="35"/>
      <c r="P608" s="35"/>
      <c r="Q608" s="35"/>
      <c r="R608" s="35"/>
      <c r="S608" s="35"/>
      <c r="T608" s="35"/>
    </row>
    <row r="609">
      <c r="F609" s="34"/>
      <c r="G609" s="34"/>
      <c r="H609" s="34"/>
      <c r="I609" s="34"/>
      <c r="L609" s="34"/>
      <c r="M609" s="34"/>
      <c r="N609" s="35"/>
      <c r="O609" s="35"/>
      <c r="P609" s="35"/>
      <c r="Q609" s="35"/>
      <c r="R609" s="35"/>
      <c r="S609" s="35"/>
      <c r="T609" s="35"/>
    </row>
    <row r="610">
      <c r="F610" s="34"/>
      <c r="G610" s="34"/>
      <c r="H610" s="34"/>
      <c r="I610" s="34"/>
      <c r="L610" s="34"/>
      <c r="M610" s="34"/>
      <c r="N610" s="35"/>
      <c r="O610" s="35"/>
      <c r="P610" s="35"/>
      <c r="Q610" s="35"/>
      <c r="R610" s="35"/>
      <c r="S610" s="35"/>
      <c r="T610" s="35"/>
    </row>
    <row r="611">
      <c r="F611" s="34"/>
      <c r="G611" s="34"/>
      <c r="H611" s="34"/>
      <c r="I611" s="34"/>
      <c r="L611" s="34"/>
      <c r="M611" s="34"/>
      <c r="N611" s="35"/>
      <c r="O611" s="35"/>
      <c r="P611" s="35"/>
      <c r="Q611" s="35"/>
      <c r="R611" s="35"/>
      <c r="S611" s="35"/>
      <c r="T611" s="35"/>
    </row>
    <row r="612">
      <c r="F612" s="34"/>
      <c r="G612" s="34"/>
      <c r="H612" s="34"/>
      <c r="I612" s="34"/>
      <c r="L612" s="34"/>
      <c r="M612" s="34"/>
      <c r="N612" s="35"/>
      <c r="O612" s="35"/>
      <c r="P612" s="35"/>
      <c r="Q612" s="35"/>
      <c r="R612" s="35"/>
      <c r="S612" s="35"/>
      <c r="T612" s="35"/>
    </row>
    <row r="613">
      <c r="F613" s="34"/>
      <c r="G613" s="34"/>
      <c r="H613" s="34"/>
      <c r="I613" s="34"/>
      <c r="L613" s="34"/>
      <c r="M613" s="34"/>
      <c r="N613" s="35"/>
      <c r="O613" s="35"/>
      <c r="P613" s="35"/>
      <c r="Q613" s="35"/>
      <c r="R613" s="35"/>
      <c r="S613" s="35"/>
      <c r="T613" s="35"/>
    </row>
    <row r="614">
      <c r="F614" s="34"/>
      <c r="G614" s="34"/>
      <c r="H614" s="34"/>
      <c r="I614" s="34"/>
      <c r="L614" s="34"/>
      <c r="M614" s="34"/>
      <c r="N614" s="35"/>
      <c r="O614" s="35"/>
      <c r="P614" s="35"/>
      <c r="Q614" s="35"/>
      <c r="R614" s="35"/>
      <c r="S614" s="35"/>
      <c r="T614" s="35"/>
    </row>
    <row r="615">
      <c r="F615" s="34"/>
      <c r="G615" s="34"/>
      <c r="H615" s="34"/>
      <c r="I615" s="34"/>
      <c r="L615" s="34"/>
      <c r="M615" s="34"/>
      <c r="N615" s="35"/>
      <c r="O615" s="35"/>
      <c r="P615" s="35"/>
      <c r="Q615" s="35"/>
      <c r="R615" s="35"/>
      <c r="S615" s="35"/>
      <c r="T615" s="35"/>
    </row>
    <row r="616">
      <c r="F616" s="34"/>
      <c r="G616" s="34"/>
      <c r="H616" s="34"/>
      <c r="I616" s="34"/>
      <c r="L616" s="34"/>
      <c r="M616" s="34"/>
      <c r="N616" s="35"/>
      <c r="O616" s="35"/>
      <c r="P616" s="35"/>
      <c r="Q616" s="35"/>
      <c r="R616" s="35"/>
      <c r="S616" s="35"/>
      <c r="T616" s="35"/>
    </row>
    <row r="617">
      <c r="F617" s="34"/>
      <c r="G617" s="34"/>
      <c r="H617" s="34"/>
      <c r="I617" s="34"/>
      <c r="L617" s="34"/>
      <c r="M617" s="34"/>
      <c r="N617" s="35"/>
      <c r="O617" s="35"/>
      <c r="P617" s="35"/>
      <c r="Q617" s="35"/>
      <c r="R617" s="35"/>
      <c r="S617" s="35"/>
      <c r="T617" s="35"/>
    </row>
    <row r="618">
      <c r="F618" s="34"/>
      <c r="G618" s="34"/>
      <c r="H618" s="34"/>
      <c r="I618" s="34"/>
      <c r="L618" s="34"/>
      <c r="M618" s="34"/>
      <c r="N618" s="35"/>
      <c r="O618" s="35"/>
      <c r="P618" s="35"/>
      <c r="Q618" s="35"/>
      <c r="R618" s="35"/>
      <c r="S618" s="35"/>
      <c r="T618" s="35"/>
    </row>
    <row r="619">
      <c r="F619" s="34"/>
      <c r="G619" s="34"/>
      <c r="H619" s="34"/>
      <c r="I619" s="34"/>
      <c r="L619" s="34"/>
      <c r="M619" s="34"/>
      <c r="N619" s="35"/>
      <c r="O619" s="35"/>
      <c r="P619" s="35"/>
      <c r="Q619" s="35"/>
      <c r="R619" s="35"/>
      <c r="S619" s="35"/>
      <c r="T619" s="35"/>
    </row>
    <row r="620">
      <c r="F620" s="34"/>
      <c r="G620" s="34"/>
      <c r="H620" s="34"/>
      <c r="I620" s="34"/>
      <c r="L620" s="34"/>
      <c r="M620" s="34"/>
      <c r="N620" s="35"/>
      <c r="O620" s="35"/>
      <c r="P620" s="35"/>
      <c r="Q620" s="35"/>
      <c r="R620" s="35"/>
      <c r="S620" s="35"/>
      <c r="T620" s="35"/>
    </row>
    <row r="621">
      <c r="F621" s="34"/>
      <c r="G621" s="34"/>
      <c r="H621" s="34"/>
      <c r="I621" s="34"/>
      <c r="L621" s="34"/>
      <c r="M621" s="34"/>
      <c r="N621" s="35"/>
      <c r="O621" s="35"/>
      <c r="P621" s="35"/>
      <c r="Q621" s="35"/>
      <c r="R621" s="35"/>
      <c r="S621" s="35"/>
      <c r="T621" s="35"/>
    </row>
    <row r="622">
      <c r="F622" s="34"/>
      <c r="G622" s="34"/>
      <c r="H622" s="34"/>
      <c r="I622" s="34"/>
      <c r="L622" s="34"/>
      <c r="M622" s="34"/>
      <c r="N622" s="35"/>
      <c r="O622" s="35"/>
      <c r="P622" s="35"/>
      <c r="Q622" s="35"/>
      <c r="R622" s="35"/>
      <c r="S622" s="35"/>
      <c r="T622" s="35"/>
    </row>
    <row r="623">
      <c r="F623" s="34"/>
      <c r="G623" s="34"/>
      <c r="H623" s="34"/>
      <c r="I623" s="34"/>
      <c r="L623" s="34"/>
      <c r="M623" s="34"/>
      <c r="N623" s="35"/>
      <c r="O623" s="35"/>
      <c r="P623" s="35"/>
      <c r="Q623" s="35"/>
      <c r="R623" s="35"/>
      <c r="S623" s="35"/>
      <c r="T623" s="35"/>
    </row>
    <row r="624">
      <c r="F624" s="34"/>
      <c r="G624" s="34"/>
      <c r="H624" s="34"/>
      <c r="I624" s="34"/>
      <c r="L624" s="34"/>
      <c r="M624" s="34"/>
      <c r="N624" s="35"/>
      <c r="O624" s="35"/>
      <c r="P624" s="35"/>
      <c r="Q624" s="35"/>
      <c r="R624" s="35"/>
      <c r="S624" s="35"/>
      <c r="T624" s="35"/>
    </row>
    <row r="625">
      <c r="F625" s="34"/>
      <c r="G625" s="34"/>
      <c r="H625" s="34"/>
      <c r="I625" s="34"/>
      <c r="L625" s="34"/>
      <c r="M625" s="34"/>
      <c r="N625" s="35"/>
      <c r="O625" s="35"/>
      <c r="P625" s="35"/>
      <c r="Q625" s="35"/>
      <c r="R625" s="35"/>
      <c r="S625" s="35"/>
      <c r="T625" s="35"/>
    </row>
    <row r="626">
      <c r="F626" s="34"/>
      <c r="G626" s="34"/>
      <c r="H626" s="34"/>
      <c r="I626" s="34"/>
      <c r="L626" s="34"/>
      <c r="M626" s="34"/>
      <c r="N626" s="35"/>
      <c r="O626" s="35"/>
      <c r="P626" s="35"/>
      <c r="Q626" s="35"/>
      <c r="R626" s="35"/>
      <c r="S626" s="35"/>
      <c r="T626" s="35"/>
    </row>
    <row r="627">
      <c r="F627" s="34"/>
      <c r="G627" s="34"/>
      <c r="H627" s="34"/>
      <c r="I627" s="34"/>
      <c r="L627" s="34"/>
      <c r="M627" s="34"/>
      <c r="N627" s="35"/>
      <c r="O627" s="35"/>
      <c r="P627" s="35"/>
      <c r="Q627" s="35"/>
      <c r="R627" s="35"/>
      <c r="S627" s="35"/>
      <c r="T627" s="35"/>
    </row>
    <row r="628">
      <c r="F628" s="34"/>
      <c r="G628" s="34"/>
      <c r="H628" s="34"/>
      <c r="I628" s="34"/>
      <c r="L628" s="34"/>
      <c r="M628" s="34"/>
      <c r="N628" s="35"/>
      <c r="O628" s="35"/>
      <c r="P628" s="35"/>
      <c r="Q628" s="35"/>
      <c r="R628" s="35"/>
      <c r="S628" s="35"/>
      <c r="T628" s="35"/>
    </row>
    <row r="629">
      <c r="F629" s="34"/>
      <c r="G629" s="34"/>
      <c r="H629" s="34"/>
      <c r="I629" s="34"/>
      <c r="L629" s="34"/>
      <c r="M629" s="34"/>
      <c r="N629" s="35"/>
      <c r="O629" s="35"/>
      <c r="P629" s="35"/>
      <c r="Q629" s="35"/>
      <c r="R629" s="35"/>
      <c r="S629" s="35"/>
      <c r="T629" s="35"/>
    </row>
    <row r="630">
      <c r="F630" s="34"/>
      <c r="G630" s="34"/>
      <c r="H630" s="34"/>
      <c r="I630" s="34"/>
      <c r="L630" s="34"/>
      <c r="M630" s="34"/>
      <c r="N630" s="35"/>
      <c r="O630" s="35"/>
      <c r="P630" s="35"/>
      <c r="Q630" s="35"/>
      <c r="R630" s="35"/>
      <c r="S630" s="35"/>
      <c r="T630" s="35"/>
    </row>
    <row r="631">
      <c r="F631" s="34"/>
      <c r="G631" s="34"/>
      <c r="H631" s="34"/>
      <c r="I631" s="34"/>
      <c r="L631" s="34"/>
      <c r="M631" s="34"/>
      <c r="N631" s="35"/>
      <c r="O631" s="35"/>
      <c r="P631" s="35"/>
      <c r="Q631" s="35"/>
      <c r="R631" s="35"/>
      <c r="S631" s="35"/>
      <c r="T631" s="35"/>
    </row>
    <row r="632">
      <c r="F632" s="34"/>
      <c r="G632" s="34"/>
      <c r="H632" s="34"/>
      <c r="I632" s="34"/>
      <c r="L632" s="34"/>
      <c r="M632" s="34"/>
      <c r="N632" s="35"/>
      <c r="O632" s="35"/>
      <c r="P632" s="35"/>
      <c r="Q632" s="35"/>
      <c r="R632" s="35"/>
      <c r="S632" s="35"/>
      <c r="T632" s="35"/>
    </row>
    <row r="633">
      <c r="F633" s="34"/>
      <c r="G633" s="34"/>
      <c r="H633" s="34"/>
      <c r="I633" s="34"/>
      <c r="L633" s="34"/>
      <c r="M633" s="34"/>
      <c r="N633" s="35"/>
      <c r="O633" s="35"/>
      <c r="P633" s="35"/>
      <c r="Q633" s="35"/>
      <c r="R633" s="35"/>
      <c r="S633" s="35"/>
      <c r="T633" s="35"/>
    </row>
    <row r="634">
      <c r="F634" s="34"/>
      <c r="G634" s="34"/>
      <c r="H634" s="34"/>
      <c r="I634" s="34"/>
      <c r="L634" s="34"/>
      <c r="M634" s="34"/>
      <c r="N634" s="35"/>
      <c r="O634" s="35"/>
      <c r="P634" s="35"/>
      <c r="Q634" s="35"/>
      <c r="R634" s="35"/>
      <c r="S634" s="35"/>
      <c r="T634" s="35"/>
    </row>
    <row r="635">
      <c r="F635" s="34"/>
      <c r="G635" s="34"/>
      <c r="H635" s="34"/>
      <c r="I635" s="34"/>
      <c r="L635" s="34"/>
      <c r="M635" s="34"/>
      <c r="N635" s="35"/>
      <c r="O635" s="35"/>
      <c r="P635" s="35"/>
      <c r="Q635" s="35"/>
      <c r="R635" s="35"/>
      <c r="S635" s="35"/>
      <c r="T635" s="35"/>
    </row>
    <row r="636">
      <c r="F636" s="34"/>
      <c r="G636" s="34"/>
      <c r="H636" s="34"/>
      <c r="I636" s="34"/>
      <c r="L636" s="34"/>
      <c r="M636" s="34"/>
      <c r="N636" s="35"/>
      <c r="O636" s="35"/>
      <c r="P636" s="35"/>
      <c r="Q636" s="35"/>
      <c r="R636" s="35"/>
      <c r="S636" s="35"/>
      <c r="T636" s="35"/>
    </row>
    <row r="637">
      <c r="F637" s="34"/>
      <c r="G637" s="34"/>
      <c r="H637" s="34"/>
      <c r="I637" s="34"/>
      <c r="L637" s="34"/>
      <c r="M637" s="34"/>
      <c r="N637" s="35"/>
      <c r="O637" s="35"/>
      <c r="P637" s="35"/>
      <c r="Q637" s="35"/>
      <c r="R637" s="35"/>
      <c r="S637" s="35"/>
      <c r="T637" s="35"/>
    </row>
    <row r="638">
      <c r="F638" s="34"/>
      <c r="G638" s="34"/>
      <c r="H638" s="34"/>
      <c r="I638" s="34"/>
      <c r="L638" s="34"/>
      <c r="M638" s="34"/>
      <c r="N638" s="35"/>
      <c r="O638" s="35"/>
      <c r="P638" s="35"/>
      <c r="Q638" s="35"/>
      <c r="R638" s="35"/>
      <c r="S638" s="35"/>
      <c r="T638" s="35"/>
    </row>
    <row r="639">
      <c r="F639" s="34"/>
      <c r="G639" s="34"/>
      <c r="H639" s="34"/>
      <c r="I639" s="34"/>
      <c r="L639" s="34"/>
      <c r="M639" s="34"/>
      <c r="N639" s="35"/>
      <c r="O639" s="35"/>
      <c r="P639" s="35"/>
      <c r="Q639" s="35"/>
      <c r="R639" s="35"/>
      <c r="S639" s="35"/>
      <c r="T639" s="35"/>
    </row>
    <row r="640">
      <c r="F640" s="34"/>
      <c r="G640" s="34"/>
      <c r="H640" s="34"/>
      <c r="I640" s="34"/>
      <c r="L640" s="34"/>
      <c r="M640" s="34"/>
      <c r="N640" s="35"/>
      <c r="O640" s="35"/>
      <c r="P640" s="35"/>
      <c r="Q640" s="35"/>
      <c r="R640" s="35"/>
      <c r="S640" s="35"/>
      <c r="T640" s="35"/>
    </row>
    <row r="641">
      <c r="F641" s="34"/>
      <c r="G641" s="34"/>
      <c r="H641" s="34"/>
      <c r="I641" s="34"/>
      <c r="L641" s="34"/>
      <c r="M641" s="34"/>
      <c r="N641" s="35"/>
      <c r="O641" s="35"/>
      <c r="P641" s="35"/>
      <c r="Q641" s="35"/>
      <c r="R641" s="35"/>
      <c r="S641" s="35"/>
      <c r="T641" s="35"/>
    </row>
    <row r="642">
      <c r="F642" s="34"/>
      <c r="G642" s="34"/>
      <c r="H642" s="34"/>
      <c r="I642" s="34"/>
      <c r="L642" s="34"/>
      <c r="M642" s="34"/>
      <c r="N642" s="35"/>
      <c r="O642" s="35"/>
      <c r="P642" s="35"/>
      <c r="Q642" s="35"/>
      <c r="R642" s="35"/>
      <c r="S642" s="35"/>
      <c r="T642" s="35"/>
    </row>
    <row r="643">
      <c r="F643" s="34"/>
      <c r="G643" s="34"/>
      <c r="H643" s="34"/>
      <c r="I643" s="34"/>
      <c r="L643" s="34"/>
      <c r="M643" s="34"/>
      <c r="N643" s="35"/>
      <c r="O643" s="35"/>
      <c r="P643" s="35"/>
      <c r="Q643" s="35"/>
      <c r="R643" s="35"/>
      <c r="S643" s="35"/>
      <c r="T643" s="35"/>
    </row>
    <row r="644">
      <c r="F644" s="34"/>
      <c r="G644" s="34"/>
      <c r="H644" s="34"/>
      <c r="I644" s="34"/>
      <c r="L644" s="34"/>
      <c r="M644" s="34"/>
      <c r="N644" s="35"/>
      <c r="O644" s="35"/>
      <c r="P644" s="35"/>
      <c r="Q644" s="35"/>
      <c r="R644" s="35"/>
      <c r="S644" s="35"/>
      <c r="T644" s="35"/>
    </row>
    <row r="645">
      <c r="F645" s="34"/>
      <c r="G645" s="34"/>
      <c r="H645" s="34"/>
      <c r="I645" s="34"/>
      <c r="L645" s="34"/>
      <c r="M645" s="34"/>
      <c r="N645" s="35"/>
      <c r="O645" s="35"/>
      <c r="P645" s="35"/>
      <c r="Q645" s="35"/>
      <c r="R645" s="35"/>
      <c r="S645" s="35"/>
      <c r="T645" s="35"/>
    </row>
    <row r="646">
      <c r="F646" s="34"/>
      <c r="G646" s="34"/>
      <c r="H646" s="34"/>
      <c r="I646" s="34"/>
      <c r="L646" s="34"/>
      <c r="M646" s="34"/>
      <c r="N646" s="35"/>
      <c r="O646" s="35"/>
      <c r="P646" s="35"/>
      <c r="Q646" s="35"/>
      <c r="R646" s="35"/>
      <c r="S646" s="35"/>
      <c r="T646" s="35"/>
    </row>
    <row r="647">
      <c r="F647" s="34"/>
      <c r="G647" s="34"/>
      <c r="H647" s="34"/>
      <c r="I647" s="34"/>
      <c r="L647" s="34"/>
      <c r="M647" s="34"/>
      <c r="N647" s="35"/>
      <c r="O647" s="35"/>
      <c r="P647" s="35"/>
      <c r="Q647" s="35"/>
      <c r="R647" s="35"/>
      <c r="S647" s="35"/>
      <c r="T647" s="35"/>
    </row>
    <row r="648">
      <c r="F648" s="34"/>
      <c r="G648" s="34"/>
      <c r="H648" s="34"/>
      <c r="I648" s="34"/>
      <c r="L648" s="34"/>
      <c r="M648" s="34"/>
      <c r="N648" s="35"/>
      <c r="O648" s="35"/>
      <c r="P648" s="35"/>
      <c r="Q648" s="35"/>
      <c r="R648" s="35"/>
      <c r="S648" s="35"/>
      <c r="T648" s="35"/>
    </row>
    <row r="649">
      <c r="F649" s="34"/>
      <c r="G649" s="34"/>
      <c r="H649" s="34"/>
      <c r="I649" s="34"/>
      <c r="L649" s="34"/>
      <c r="M649" s="34"/>
      <c r="N649" s="35"/>
      <c r="O649" s="35"/>
      <c r="P649" s="35"/>
      <c r="Q649" s="35"/>
      <c r="R649" s="35"/>
      <c r="S649" s="35"/>
      <c r="T649" s="35"/>
    </row>
    <row r="650">
      <c r="F650" s="34"/>
      <c r="G650" s="34"/>
      <c r="H650" s="34"/>
      <c r="I650" s="34"/>
      <c r="L650" s="34"/>
      <c r="M650" s="34"/>
      <c r="N650" s="35"/>
      <c r="O650" s="35"/>
      <c r="P650" s="35"/>
      <c r="Q650" s="35"/>
      <c r="R650" s="35"/>
      <c r="S650" s="35"/>
      <c r="T650" s="35"/>
    </row>
    <row r="651">
      <c r="F651" s="34"/>
      <c r="G651" s="34"/>
      <c r="H651" s="34"/>
      <c r="I651" s="34"/>
      <c r="L651" s="34"/>
      <c r="M651" s="34"/>
      <c r="N651" s="35"/>
      <c r="O651" s="35"/>
      <c r="P651" s="35"/>
      <c r="Q651" s="35"/>
      <c r="R651" s="35"/>
      <c r="S651" s="35"/>
      <c r="T651" s="35"/>
    </row>
    <row r="652">
      <c r="F652" s="34"/>
      <c r="G652" s="34"/>
      <c r="H652" s="34"/>
      <c r="I652" s="34"/>
      <c r="L652" s="34"/>
      <c r="M652" s="34"/>
      <c r="N652" s="35"/>
      <c r="O652" s="35"/>
      <c r="P652" s="35"/>
      <c r="Q652" s="35"/>
      <c r="R652" s="35"/>
      <c r="S652" s="35"/>
      <c r="T652" s="35"/>
    </row>
    <row r="653">
      <c r="F653" s="34"/>
      <c r="G653" s="34"/>
      <c r="H653" s="34"/>
      <c r="I653" s="34"/>
      <c r="L653" s="34"/>
      <c r="M653" s="34"/>
      <c r="N653" s="35"/>
      <c r="O653" s="35"/>
      <c r="P653" s="35"/>
      <c r="Q653" s="35"/>
      <c r="R653" s="35"/>
      <c r="S653" s="35"/>
      <c r="T653" s="35"/>
    </row>
    <row r="654">
      <c r="F654" s="34"/>
      <c r="G654" s="34"/>
      <c r="H654" s="34"/>
      <c r="I654" s="34"/>
      <c r="L654" s="34"/>
      <c r="M654" s="34"/>
      <c r="N654" s="35"/>
      <c r="O654" s="35"/>
      <c r="P654" s="35"/>
      <c r="Q654" s="35"/>
      <c r="R654" s="35"/>
      <c r="S654" s="35"/>
      <c r="T654" s="35"/>
    </row>
    <row r="655">
      <c r="F655" s="34"/>
      <c r="G655" s="34"/>
      <c r="H655" s="34"/>
      <c r="I655" s="34"/>
      <c r="L655" s="34"/>
      <c r="M655" s="34"/>
      <c r="N655" s="35"/>
      <c r="O655" s="35"/>
      <c r="P655" s="35"/>
      <c r="Q655" s="35"/>
      <c r="R655" s="35"/>
      <c r="S655" s="35"/>
      <c r="T655" s="35"/>
    </row>
    <row r="656">
      <c r="F656" s="34"/>
      <c r="G656" s="34"/>
      <c r="H656" s="34"/>
      <c r="I656" s="34"/>
      <c r="L656" s="34"/>
      <c r="M656" s="34"/>
      <c r="N656" s="35"/>
      <c r="O656" s="35"/>
      <c r="P656" s="35"/>
      <c r="Q656" s="35"/>
      <c r="R656" s="35"/>
      <c r="S656" s="35"/>
      <c r="T656" s="35"/>
    </row>
    <row r="657">
      <c r="F657" s="34"/>
      <c r="G657" s="34"/>
      <c r="H657" s="34"/>
      <c r="I657" s="34"/>
      <c r="L657" s="34"/>
      <c r="M657" s="34"/>
      <c r="N657" s="35"/>
      <c r="O657" s="35"/>
      <c r="P657" s="35"/>
      <c r="Q657" s="35"/>
      <c r="R657" s="35"/>
      <c r="S657" s="35"/>
      <c r="T657" s="35"/>
    </row>
    <row r="658">
      <c r="F658" s="34"/>
      <c r="G658" s="34"/>
      <c r="H658" s="34"/>
      <c r="I658" s="34"/>
      <c r="L658" s="34"/>
      <c r="M658" s="34"/>
      <c r="N658" s="35"/>
      <c r="O658" s="35"/>
      <c r="P658" s="35"/>
      <c r="Q658" s="35"/>
      <c r="R658" s="35"/>
      <c r="S658" s="35"/>
      <c r="T658" s="35"/>
    </row>
    <row r="659">
      <c r="F659" s="34"/>
      <c r="G659" s="34"/>
      <c r="H659" s="34"/>
      <c r="I659" s="34"/>
      <c r="L659" s="34"/>
      <c r="M659" s="34"/>
      <c r="N659" s="35"/>
      <c r="O659" s="35"/>
      <c r="P659" s="35"/>
      <c r="Q659" s="35"/>
      <c r="R659" s="35"/>
      <c r="S659" s="35"/>
      <c r="T659" s="35"/>
    </row>
    <row r="660">
      <c r="F660" s="34"/>
      <c r="G660" s="34"/>
      <c r="H660" s="34"/>
      <c r="I660" s="34"/>
      <c r="L660" s="34"/>
      <c r="M660" s="34"/>
      <c r="N660" s="35"/>
      <c r="O660" s="35"/>
      <c r="P660" s="35"/>
      <c r="Q660" s="35"/>
      <c r="R660" s="35"/>
      <c r="S660" s="35"/>
      <c r="T660" s="35"/>
    </row>
    <row r="661">
      <c r="F661" s="34"/>
      <c r="G661" s="34"/>
      <c r="H661" s="34"/>
      <c r="I661" s="34"/>
      <c r="L661" s="34"/>
      <c r="M661" s="34"/>
      <c r="N661" s="35"/>
      <c r="O661" s="35"/>
      <c r="P661" s="35"/>
      <c r="Q661" s="35"/>
      <c r="R661" s="35"/>
      <c r="S661" s="35"/>
      <c r="T661" s="35"/>
    </row>
    <row r="662">
      <c r="F662" s="34"/>
      <c r="G662" s="34"/>
      <c r="H662" s="34"/>
      <c r="I662" s="34"/>
      <c r="L662" s="34"/>
      <c r="M662" s="34"/>
      <c r="N662" s="35"/>
      <c r="O662" s="35"/>
      <c r="P662" s="35"/>
      <c r="Q662" s="35"/>
      <c r="R662" s="35"/>
      <c r="S662" s="35"/>
      <c r="T662" s="35"/>
    </row>
    <row r="663">
      <c r="F663" s="34"/>
      <c r="G663" s="34"/>
      <c r="H663" s="34"/>
      <c r="I663" s="34"/>
      <c r="L663" s="34"/>
      <c r="M663" s="34"/>
      <c r="N663" s="35"/>
      <c r="O663" s="35"/>
      <c r="P663" s="35"/>
      <c r="Q663" s="35"/>
      <c r="R663" s="35"/>
      <c r="S663" s="35"/>
      <c r="T663" s="35"/>
    </row>
    <row r="664">
      <c r="F664" s="34"/>
      <c r="G664" s="34"/>
      <c r="H664" s="34"/>
      <c r="I664" s="34"/>
      <c r="L664" s="34"/>
      <c r="M664" s="34"/>
      <c r="N664" s="35"/>
      <c r="O664" s="35"/>
      <c r="P664" s="35"/>
      <c r="Q664" s="35"/>
      <c r="R664" s="35"/>
      <c r="S664" s="35"/>
      <c r="T664" s="35"/>
    </row>
    <row r="665">
      <c r="F665" s="34"/>
      <c r="G665" s="34"/>
      <c r="H665" s="34"/>
      <c r="I665" s="34"/>
      <c r="L665" s="34"/>
      <c r="M665" s="34"/>
      <c r="N665" s="35"/>
      <c r="O665" s="35"/>
      <c r="P665" s="35"/>
      <c r="Q665" s="35"/>
      <c r="R665" s="35"/>
      <c r="S665" s="35"/>
      <c r="T665" s="35"/>
    </row>
    <row r="666">
      <c r="F666" s="34"/>
      <c r="G666" s="34"/>
      <c r="H666" s="34"/>
      <c r="I666" s="34"/>
      <c r="L666" s="34"/>
      <c r="M666" s="34"/>
      <c r="N666" s="35"/>
      <c r="O666" s="35"/>
      <c r="P666" s="35"/>
      <c r="Q666" s="35"/>
      <c r="R666" s="35"/>
      <c r="S666" s="35"/>
      <c r="T666" s="35"/>
    </row>
    <row r="667">
      <c r="F667" s="34"/>
      <c r="G667" s="34"/>
      <c r="H667" s="34"/>
      <c r="I667" s="34"/>
      <c r="L667" s="34"/>
      <c r="M667" s="34"/>
      <c r="N667" s="35"/>
      <c r="O667" s="35"/>
      <c r="P667" s="35"/>
      <c r="Q667" s="35"/>
      <c r="R667" s="35"/>
      <c r="S667" s="35"/>
      <c r="T667" s="35"/>
    </row>
    <row r="668">
      <c r="F668" s="34"/>
      <c r="G668" s="34"/>
      <c r="H668" s="34"/>
      <c r="I668" s="34"/>
      <c r="L668" s="34"/>
      <c r="M668" s="34"/>
      <c r="N668" s="35"/>
      <c r="O668" s="35"/>
      <c r="P668" s="35"/>
      <c r="Q668" s="35"/>
      <c r="R668" s="35"/>
      <c r="S668" s="35"/>
      <c r="T668" s="35"/>
    </row>
    <row r="669">
      <c r="F669" s="34"/>
      <c r="G669" s="34"/>
      <c r="H669" s="34"/>
      <c r="I669" s="34"/>
      <c r="L669" s="34"/>
      <c r="M669" s="34"/>
      <c r="N669" s="35"/>
      <c r="O669" s="35"/>
      <c r="P669" s="35"/>
      <c r="Q669" s="35"/>
      <c r="R669" s="35"/>
      <c r="S669" s="35"/>
      <c r="T669" s="35"/>
    </row>
    <row r="670">
      <c r="F670" s="34"/>
      <c r="G670" s="34"/>
      <c r="H670" s="34"/>
      <c r="I670" s="34"/>
      <c r="L670" s="34"/>
      <c r="M670" s="34"/>
      <c r="N670" s="35"/>
      <c r="O670" s="35"/>
      <c r="P670" s="35"/>
      <c r="Q670" s="35"/>
      <c r="R670" s="35"/>
      <c r="S670" s="35"/>
      <c r="T670" s="35"/>
    </row>
    <row r="671">
      <c r="F671" s="34"/>
      <c r="G671" s="34"/>
      <c r="H671" s="34"/>
      <c r="I671" s="34"/>
      <c r="L671" s="34"/>
      <c r="M671" s="34"/>
      <c r="N671" s="35"/>
      <c r="O671" s="35"/>
      <c r="P671" s="35"/>
      <c r="Q671" s="35"/>
      <c r="R671" s="35"/>
      <c r="S671" s="35"/>
      <c r="T671" s="35"/>
    </row>
    <row r="672">
      <c r="F672" s="34"/>
      <c r="G672" s="34"/>
      <c r="H672" s="34"/>
      <c r="I672" s="34"/>
      <c r="L672" s="34"/>
      <c r="M672" s="34"/>
      <c r="N672" s="35"/>
      <c r="O672" s="35"/>
      <c r="P672" s="35"/>
      <c r="Q672" s="35"/>
      <c r="R672" s="35"/>
      <c r="S672" s="35"/>
      <c r="T672" s="35"/>
    </row>
    <row r="673">
      <c r="F673" s="34"/>
      <c r="G673" s="34"/>
      <c r="H673" s="34"/>
      <c r="I673" s="34"/>
      <c r="L673" s="34"/>
      <c r="M673" s="34"/>
      <c r="N673" s="35"/>
      <c r="O673" s="35"/>
      <c r="P673" s="35"/>
      <c r="Q673" s="35"/>
      <c r="R673" s="35"/>
      <c r="S673" s="35"/>
      <c r="T673" s="35"/>
    </row>
    <row r="674">
      <c r="F674" s="34"/>
      <c r="G674" s="34"/>
      <c r="H674" s="34"/>
      <c r="I674" s="34"/>
      <c r="L674" s="34"/>
      <c r="M674" s="34"/>
      <c r="N674" s="35"/>
      <c r="O674" s="35"/>
      <c r="P674" s="35"/>
      <c r="Q674" s="35"/>
      <c r="R674" s="35"/>
      <c r="S674" s="35"/>
      <c r="T674" s="35"/>
    </row>
    <row r="675">
      <c r="F675" s="34"/>
      <c r="G675" s="34"/>
      <c r="H675" s="34"/>
      <c r="I675" s="34"/>
      <c r="L675" s="34"/>
      <c r="M675" s="34"/>
      <c r="N675" s="35"/>
      <c r="O675" s="35"/>
      <c r="P675" s="35"/>
      <c r="Q675" s="35"/>
      <c r="R675" s="35"/>
      <c r="S675" s="35"/>
      <c r="T675" s="35"/>
    </row>
    <row r="676">
      <c r="F676" s="34"/>
      <c r="G676" s="34"/>
      <c r="H676" s="34"/>
      <c r="I676" s="34"/>
      <c r="L676" s="34"/>
      <c r="M676" s="34"/>
      <c r="N676" s="35"/>
      <c r="O676" s="35"/>
      <c r="P676" s="35"/>
      <c r="Q676" s="35"/>
      <c r="R676" s="35"/>
      <c r="S676" s="35"/>
      <c r="T676" s="35"/>
    </row>
    <row r="677">
      <c r="F677" s="34"/>
      <c r="G677" s="34"/>
      <c r="H677" s="34"/>
      <c r="I677" s="34"/>
      <c r="L677" s="34"/>
      <c r="M677" s="34"/>
      <c r="N677" s="35"/>
      <c r="O677" s="35"/>
      <c r="P677" s="35"/>
      <c r="Q677" s="35"/>
      <c r="R677" s="35"/>
      <c r="S677" s="35"/>
      <c r="T677" s="35"/>
    </row>
    <row r="678">
      <c r="F678" s="34"/>
      <c r="G678" s="34"/>
      <c r="H678" s="34"/>
      <c r="I678" s="34"/>
      <c r="L678" s="34"/>
      <c r="M678" s="34"/>
      <c r="N678" s="35"/>
      <c r="O678" s="35"/>
      <c r="P678" s="35"/>
      <c r="Q678" s="35"/>
      <c r="R678" s="35"/>
      <c r="S678" s="35"/>
      <c r="T678" s="35"/>
    </row>
    <row r="679">
      <c r="F679" s="34"/>
      <c r="G679" s="34"/>
      <c r="H679" s="34"/>
      <c r="I679" s="34"/>
      <c r="L679" s="34"/>
      <c r="M679" s="34"/>
      <c r="N679" s="35"/>
      <c r="O679" s="35"/>
      <c r="P679" s="35"/>
      <c r="Q679" s="35"/>
      <c r="R679" s="35"/>
      <c r="S679" s="35"/>
      <c r="T679" s="35"/>
    </row>
    <row r="680">
      <c r="F680" s="34"/>
      <c r="G680" s="34"/>
      <c r="H680" s="34"/>
      <c r="I680" s="34"/>
      <c r="L680" s="34"/>
      <c r="M680" s="34"/>
      <c r="N680" s="35"/>
      <c r="O680" s="35"/>
      <c r="P680" s="35"/>
      <c r="Q680" s="35"/>
      <c r="R680" s="35"/>
      <c r="S680" s="35"/>
      <c r="T680" s="35"/>
    </row>
    <row r="681">
      <c r="F681" s="34"/>
      <c r="G681" s="34"/>
      <c r="H681" s="34"/>
      <c r="I681" s="34"/>
      <c r="L681" s="34"/>
      <c r="M681" s="34"/>
      <c r="N681" s="35"/>
      <c r="O681" s="35"/>
      <c r="P681" s="35"/>
      <c r="Q681" s="35"/>
      <c r="R681" s="35"/>
      <c r="S681" s="35"/>
      <c r="T681" s="35"/>
    </row>
    <row r="682">
      <c r="F682" s="34"/>
      <c r="G682" s="34"/>
      <c r="H682" s="34"/>
      <c r="I682" s="34"/>
      <c r="L682" s="34"/>
      <c r="M682" s="34"/>
      <c r="N682" s="35"/>
      <c r="O682" s="35"/>
      <c r="P682" s="35"/>
      <c r="Q682" s="35"/>
      <c r="R682" s="35"/>
      <c r="S682" s="35"/>
      <c r="T682" s="35"/>
    </row>
    <row r="683">
      <c r="F683" s="34"/>
      <c r="G683" s="34"/>
      <c r="H683" s="34"/>
      <c r="I683" s="34"/>
      <c r="L683" s="34"/>
      <c r="M683" s="34"/>
      <c r="N683" s="35"/>
      <c r="O683" s="35"/>
      <c r="P683" s="35"/>
      <c r="Q683" s="35"/>
      <c r="R683" s="35"/>
      <c r="S683" s="35"/>
      <c r="T683" s="35"/>
    </row>
    <row r="684">
      <c r="F684" s="34"/>
      <c r="G684" s="34"/>
      <c r="H684" s="34"/>
      <c r="I684" s="34"/>
      <c r="L684" s="34"/>
      <c r="M684" s="34"/>
      <c r="N684" s="35"/>
      <c r="O684" s="35"/>
      <c r="P684" s="35"/>
      <c r="Q684" s="35"/>
      <c r="R684" s="35"/>
      <c r="S684" s="35"/>
      <c r="T684" s="35"/>
    </row>
    <row r="685">
      <c r="F685" s="34"/>
      <c r="G685" s="34"/>
      <c r="H685" s="34"/>
      <c r="I685" s="34"/>
      <c r="L685" s="34"/>
      <c r="M685" s="34"/>
      <c r="N685" s="35"/>
      <c r="O685" s="35"/>
      <c r="P685" s="35"/>
      <c r="Q685" s="35"/>
      <c r="R685" s="35"/>
      <c r="S685" s="35"/>
      <c r="T685" s="35"/>
    </row>
    <row r="686">
      <c r="F686" s="34"/>
      <c r="G686" s="34"/>
      <c r="H686" s="34"/>
      <c r="I686" s="34"/>
      <c r="L686" s="34"/>
      <c r="M686" s="34"/>
      <c r="N686" s="35"/>
      <c r="O686" s="35"/>
      <c r="P686" s="35"/>
      <c r="Q686" s="35"/>
      <c r="R686" s="35"/>
      <c r="S686" s="35"/>
      <c r="T686" s="35"/>
    </row>
    <row r="687">
      <c r="F687" s="34"/>
      <c r="G687" s="34"/>
      <c r="H687" s="34"/>
      <c r="I687" s="34"/>
      <c r="L687" s="34"/>
      <c r="M687" s="34"/>
      <c r="N687" s="35"/>
      <c r="O687" s="35"/>
      <c r="P687" s="35"/>
      <c r="Q687" s="35"/>
      <c r="R687" s="35"/>
      <c r="S687" s="35"/>
      <c r="T687" s="35"/>
    </row>
    <row r="688">
      <c r="F688" s="34"/>
      <c r="G688" s="34"/>
      <c r="H688" s="34"/>
      <c r="I688" s="34"/>
      <c r="L688" s="34"/>
      <c r="M688" s="34"/>
      <c r="N688" s="35"/>
      <c r="O688" s="35"/>
      <c r="P688" s="35"/>
      <c r="Q688" s="35"/>
      <c r="R688" s="35"/>
      <c r="S688" s="35"/>
      <c r="T688" s="35"/>
    </row>
    <row r="689">
      <c r="F689" s="34"/>
      <c r="G689" s="34"/>
      <c r="H689" s="34"/>
      <c r="I689" s="34"/>
      <c r="L689" s="34"/>
      <c r="M689" s="34"/>
      <c r="N689" s="35"/>
      <c r="O689" s="35"/>
      <c r="P689" s="35"/>
      <c r="Q689" s="35"/>
      <c r="R689" s="35"/>
      <c r="S689" s="35"/>
      <c r="T689" s="35"/>
    </row>
    <row r="690">
      <c r="F690" s="34"/>
      <c r="G690" s="34"/>
      <c r="H690" s="34"/>
      <c r="I690" s="34"/>
      <c r="L690" s="34"/>
      <c r="M690" s="34"/>
      <c r="N690" s="35"/>
      <c r="O690" s="35"/>
      <c r="P690" s="35"/>
      <c r="Q690" s="35"/>
      <c r="R690" s="35"/>
      <c r="S690" s="35"/>
      <c r="T690" s="35"/>
    </row>
    <row r="691">
      <c r="F691" s="34"/>
      <c r="G691" s="34"/>
      <c r="H691" s="34"/>
      <c r="I691" s="34"/>
      <c r="L691" s="34"/>
      <c r="M691" s="34"/>
      <c r="N691" s="35"/>
      <c r="O691" s="35"/>
      <c r="P691" s="35"/>
      <c r="Q691" s="35"/>
      <c r="R691" s="35"/>
      <c r="S691" s="35"/>
      <c r="T691" s="35"/>
    </row>
    <row r="692">
      <c r="F692" s="34"/>
      <c r="G692" s="34"/>
      <c r="H692" s="34"/>
      <c r="I692" s="34"/>
      <c r="L692" s="34"/>
      <c r="M692" s="34"/>
      <c r="N692" s="35"/>
      <c r="O692" s="35"/>
      <c r="P692" s="35"/>
      <c r="Q692" s="35"/>
      <c r="R692" s="35"/>
      <c r="S692" s="35"/>
      <c r="T692" s="35"/>
    </row>
    <row r="693">
      <c r="F693" s="34"/>
      <c r="G693" s="34"/>
      <c r="H693" s="34"/>
      <c r="I693" s="34"/>
      <c r="L693" s="34"/>
      <c r="M693" s="34"/>
      <c r="N693" s="35"/>
      <c r="O693" s="35"/>
      <c r="P693" s="35"/>
      <c r="Q693" s="35"/>
      <c r="R693" s="35"/>
      <c r="S693" s="35"/>
      <c r="T693" s="35"/>
    </row>
    <row r="694">
      <c r="F694" s="34"/>
      <c r="G694" s="34"/>
      <c r="H694" s="34"/>
      <c r="I694" s="34"/>
      <c r="L694" s="34"/>
      <c r="M694" s="34"/>
      <c r="N694" s="35"/>
      <c r="O694" s="35"/>
      <c r="P694" s="35"/>
      <c r="Q694" s="35"/>
      <c r="R694" s="35"/>
      <c r="S694" s="35"/>
      <c r="T694" s="35"/>
    </row>
    <row r="695">
      <c r="F695" s="34"/>
      <c r="G695" s="34"/>
      <c r="H695" s="34"/>
      <c r="I695" s="34"/>
      <c r="L695" s="34"/>
      <c r="M695" s="34"/>
      <c r="N695" s="35"/>
      <c r="O695" s="35"/>
      <c r="P695" s="35"/>
      <c r="Q695" s="35"/>
      <c r="R695" s="35"/>
      <c r="S695" s="35"/>
      <c r="T695" s="35"/>
    </row>
    <row r="696">
      <c r="F696" s="34"/>
      <c r="G696" s="34"/>
      <c r="H696" s="34"/>
      <c r="I696" s="34"/>
      <c r="L696" s="34"/>
      <c r="M696" s="34"/>
      <c r="N696" s="35"/>
      <c r="O696" s="35"/>
      <c r="P696" s="35"/>
      <c r="Q696" s="35"/>
      <c r="R696" s="35"/>
      <c r="S696" s="35"/>
      <c r="T696" s="35"/>
    </row>
    <row r="697">
      <c r="F697" s="34"/>
      <c r="G697" s="34"/>
      <c r="H697" s="34"/>
      <c r="I697" s="34"/>
      <c r="L697" s="34"/>
      <c r="M697" s="34"/>
      <c r="N697" s="35"/>
      <c r="O697" s="35"/>
      <c r="P697" s="35"/>
      <c r="Q697" s="35"/>
      <c r="R697" s="35"/>
      <c r="S697" s="35"/>
      <c r="T697" s="35"/>
    </row>
    <row r="698">
      <c r="F698" s="34"/>
      <c r="G698" s="34"/>
      <c r="H698" s="34"/>
      <c r="I698" s="34"/>
      <c r="L698" s="34"/>
      <c r="M698" s="34"/>
      <c r="N698" s="35"/>
      <c r="O698" s="35"/>
      <c r="P698" s="35"/>
      <c r="Q698" s="35"/>
      <c r="R698" s="35"/>
      <c r="S698" s="35"/>
      <c r="T698" s="35"/>
    </row>
    <row r="699">
      <c r="F699" s="34"/>
      <c r="G699" s="34"/>
      <c r="H699" s="34"/>
      <c r="I699" s="34"/>
      <c r="L699" s="34"/>
      <c r="M699" s="34"/>
      <c r="N699" s="35"/>
      <c r="O699" s="35"/>
      <c r="P699" s="35"/>
      <c r="Q699" s="35"/>
      <c r="R699" s="35"/>
      <c r="S699" s="35"/>
      <c r="T699" s="35"/>
    </row>
    <row r="700">
      <c r="F700" s="34"/>
      <c r="G700" s="34"/>
      <c r="H700" s="34"/>
      <c r="I700" s="34"/>
      <c r="L700" s="34"/>
      <c r="M700" s="34"/>
      <c r="N700" s="35"/>
      <c r="O700" s="35"/>
      <c r="P700" s="35"/>
      <c r="Q700" s="35"/>
      <c r="R700" s="35"/>
      <c r="S700" s="35"/>
      <c r="T700" s="35"/>
    </row>
    <row r="701">
      <c r="F701" s="34"/>
      <c r="G701" s="34"/>
      <c r="H701" s="34"/>
      <c r="I701" s="34"/>
      <c r="L701" s="34"/>
      <c r="M701" s="34"/>
      <c r="N701" s="35"/>
      <c r="O701" s="35"/>
      <c r="P701" s="35"/>
      <c r="Q701" s="35"/>
      <c r="R701" s="35"/>
      <c r="S701" s="35"/>
      <c r="T701" s="35"/>
    </row>
    <row r="702">
      <c r="F702" s="34"/>
      <c r="G702" s="34"/>
      <c r="H702" s="34"/>
      <c r="I702" s="34"/>
      <c r="L702" s="34"/>
      <c r="M702" s="34"/>
      <c r="N702" s="35"/>
      <c r="O702" s="35"/>
      <c r="P702" s="35"/>
      <c r="Q702" s="35"/>
      <c r="R702" s="35"/>
      <c r="S702" s="35"/>
      <c r="T702" s="35"/>
    </row>
    <row r="703">
      <c r="F703" s="34"/>
      <c r="G703" s="34"/>
      <c r="H703" s="34"/>
      <c r="I703" s="34"/>
      <c r="L703" s="34"/>
      <c r="M703" s="34"/>
      <c r="N703" s="35"/>
      <c r="O703" s="35"/>
      <c r="P703" s="35"/>
      <c r="Q703" s="35"/>
      <c r="R703" s="35"/>
      <c r="S703" s="35"/>
      <c r="T703" s="35"/>
    </row>
    <row r="704">
      <c r="F704" s="34"/>
      <c r="G704" s="34"/>
      <c r="H704" s="34"/>
      <c r="I704" s="34"/>
      <c r="L704" s="34"/>
      <c r="M704" s="34"/>
      <c r="N704" s="35"/>
      <c r="O704" s="35"/>
      <c r="P704" s="35"/>
      <c r="Q704" s="35"/>
      <c r="R704" s="35"/>
      <c r="S704" s="35"/>
      <c r="T704" s="35"/>
    </row>
    <row r="705">
      <c r="F705" s="34"/>
      <c r="G705" s="34"/>
      <c r="H705" s="34"/>
      <c r="I705" s="34"/>
      <c r="L705" s="34"/>
      <c r="M705" s="34"/>
      <c r="N705" s="35"/>
      <c r="O705" s="35"/>
      <c r="P705" s="35"/>
      <c r="Q705" s="35"/>
      <c r="R705" s="35"/>
      <c r="S705" s="35"/>
      <c r="T705" s="35"/>
    </row>
    <row r="706">
      <c r="F706" s="34"/>
      <c r="G706" s="34"/>
      <c r="H706" s="34"/>
      <c r="I706" s="34"/>
      <c r="L706" s="34"/>
      <c r="M706" s="34"/>
      <c r="N706" s="35"/>
      <c r="O706" s="35"/>
      <c r="P706" s="35"/>
      <c r="Q706" s="35"/>
      <c r="R706" s="35"/>
      <c r="S706" s="35"/>
      <c r="T706" s="35"/>
    </row>
    <row r="707">
      <c r="F707" s="34"/>
      <c r="G707" s="34"/>
      <c r="H707" s="34"/>
      <c r="I707" s="34"/>
      <c r="L707" s="34"/>
      <c r="M707" s="34"/>
      <c r="N707" s="35"/>
      <c r="O707" s="35"/>
      <c r="P707" s="35"/>
      <c r="Q707" s="35"/>
      <c r="R707" s="35"/>
      <c r="S707" s="35"/>
      <c r="T707" s="35"/>
    </row>
    <row r="708">
      <c r="F708" s="34"/>
      <c r="G708" s="34"/>
      <c r="H708" s="34"/>
      <c r="I708" s="34"/>
      <c r="L708" s="34"/>
      <c r="M708" s="34"/>
      <c r="N708" s="35"/>
      <c r="O708" s="35"/>
      <c r="P708" s="35"/>
      <c r="Q708" s="35"/>
      <c r="R708" s="35"/>
      <c r="S708" s="35"/>
      <c r="T708" s="35"/>
    </row>
    <row r="709">
      <c r="F709" s="34"/>
      <c r="G709" s="34"/>
      <c r="H709" s="34"/>
      <c r="I709" s="34"/>
      <c r="L709" s="34"/>
      <c r="M709" s="34"/>
      <c r="N709" s="35"/>
      <c r="O709" s="35"/>
      <c r="P709" s="35"/>
      <c r="Q709" s="35"/>
      <c r="R709" s="35"/>
      <c r="S709" s="35"/>
      <c r="T709" s="35"/>
    </row>
    <row r="710">
      <c r="F710" s="34"/>
      <c r="G710" s="34"/>
      <c r="H710" s="34"/>
      <c r="I710" s="34"/>
      <c r="L710" s="34"/>
      <c r="M710" s="34"/>
      <c r="N710" s="35"/>
      <c r="O710" s="35"/>
      <c r="P710" s="35"/>
      <c r="Q710" s="35"/>
      <c r="R710" s="35"/>
      <c r="S710" s="35"/>
      <c r="T710" s="35"/>
    </row>
    <row r="711">
      <c r="F711" s="34"/>
      <c r="G711" s="34"/>
      <c r="H711" s="34"/>
      <c r="I711" s="34"/>
      <c r="L711" s="34"/>
      <c r="M711" s="34"/>
      <c r="N711" s="35"/>
      <c r="O711" s="35"/>
      <c r="P711" s="35"/>
      <c r="Q711" s="35"/>
      <c r="R711" s="35"/>
      <c r="S711" s="35"/>
      <c r="T711" s="35"/>
    </row>
    <row r="712">
      <c r="F712" s="34"/>
      <c r="G712" s="34"/>
      <c r="H712" s="34"/>
      <c r="I712" s="34"/>
      <c r="L712" s="34"/>
      <c r="M712" s="34"/>
      <c r="N712" s="35"/>
      <c r="O712" s="35"/>
      <c r="P712" s="35"/>
      <c r="Q712" s="35"/>
      <c r="R712" s="35"/>
      <c r="S712" s="35"/>
      <c r="T712" s="35"/>
    </row>
    <row r="713">
      <c r="F713" s="34"/>
      <c r="G713" s="34"/>
      <c r="H713" s="34"/>
      <c r="I713" s="34"/>
      <c r="L713" s="34"/>
      <c r="M713" s="34"/>
      <c r="N713" s="35"/>
      <c r="O713" s="35"/>
      <c r="P713" s="35"/>
      <c r="Q713" s="35"/>
      <c r="R713" s="35"/>
      <c r="S713" s="35"/>
      <c r="T713" s="35"/>
    </row>
    <row r="714">
      <c r="F714" s="34"/>
      <c r="G714" s="34"/>
      <c r="H714" s="34"/>
      <c r="I714" s="34"/>
      <c r="L714" s="34"/>
      <c r="M714" s="34"/>
      <c r="N714" s="35"/>
      <c r="O714" s="35"/>
      <c r="P714" s="35"/>
      <c r="Q714" s="35"/>
      <c r="R714" s="35"/>
      <c r="S714" s="35"/>
      <c r="T714" s="35"/>
    </row>
    <row r="715">
      <c r="F715" s="34"/>
      <c r="G715" s="34"/>
      <c r="H715" s="34"/>
      <c r="I715" s="34"/>
      <c r="L715" s="34"/>
      <c r="M715" s="34"/>
      <c r="N715" s="35"/>
      <c r="O715" s="35"/>
      <c r="P715" s="35"/>
      <c r="Q715" s="35"/>
      <c r="R715" s="35"/>
      <c r="S715" s="35"/>
      <c r="T715" s="35"/>
    </row>
    <row r="716">
      <c r="F716" s="34"/>
      <c r="G716" s="34"/>
      <c r="H716" s="34"/>
      <c r="I716" s="34"/>
      <c r="L716" s="34"/>
      <c r="M716" s="34"/>
      <c r="N716" s="35"/>
      <c r="O716" s="35"/>
      <c r="P716" s="35"/>
      <c r="Q716" s="35"/>
      <c r="R716" s="35"/>
      <c r="S716" s="35"/>
      <c r="T716" s="35"/>
    </row>
    <row r="717">
      <c r="F717" s="34"/>
      <c r="G717" s="34"/>
      <c r="H717" s="34"/>
      <c r="I717" s="34"/>
      <c r="L717" s="34"/>
      <c r="M717" s="34"/>
      <c r="N717" s="35"/>
      <c r="O717" s="35"/>
      <c r="P717" s="35"/>
      <c r="Q717" s="35"/>
      <c r="R717" s="35"/>
      <c r="S717" s="35"/>
      <c r="T717" s="35"/>
    </row>
    <row r="718">
      <c r="F718" s="34"/>
      <c r="G718" s="34"/>
      <c r="H718" s="34"/>
      <c r="I718" s="34"/>
      <c r="L718" s="34"/>
      <c r="M718" s="34"/>
      <c r="N718" s="35"/>
      <c r="O718" s="35"/>
      <c r="P718" s="35"/>
      <c r="Q718" s="35"/>
      <c r="R718" s="35"/>
      <c r="S718" s="35"/>
      <c r="T718" s="35"/>
    </row>
    <row r="719">
      <c r="F719" s="34"/>
      <c r="G719" s="34"/>
      <c r="H719" s="34"/>
      <c r="I719" s="34"/>
      <c r="L719" s="34"/>
      <c r="M719" s="34"/>
      <c r="N719" s="35"/>
      <c r="O719" s="35"/>
      <c r="P719" s="35"/>
      <c r="Q719" s="35"/>
      <c r="R719" s="35"/>
      <c r="S719" s="35"/>
      <c r="T719" s="35"/>
    </row>
    <row r="720">
      <c r="F720" s="34"/>
      <c r="G720" s="34"/>
      <c r="H720" s="34"/>
      <c r="I720" s="34"/>
      <c r="L720" s="34"/>
      <c r="M720" s="34"/>
      <c r="N720" s="35"/>
      <c r="O720" s="35"/>
      <c r="P720" s="35"/>
      <c r="Q720" s="35"/>
      <c r="R720" s="35"/>
      <c r="S720" s="35"/>
      <c r="T720" s="35"/>
    </row>
    <row r="721">
      <c r="F721" s="34"/>
      <c r="G721" s="34"/>
      <c r="H721" s="34"/>
      <c r="I721" s="34"/>
      <c r="L721" s="34"/>
      <c r="M721" s="34"/>
      <c r="N721" s="35"/>
      <c r="O721" s="35"/>
      <c r="P721" s="35"/>
      <c r="Q721" s="35"/>
      <c r="R721" s="35"/>
      <c r="S721" s="35"/>
      <c r="T721" s="35"/>
    </row>
    <row r="722">
      <c r="F722" s="34"/>
      <c r="G722" s="34"/>
      <c r="H722" s="34"/>
      <c r="I722" s="34"/>
      <c r="L722" s="34"/>
      <c r="M722" s="34"/>
      <c r="N722" s="35"/>
      <c r="O722" s="35"/>
      <c r="P722" s="35"/>
      <c r="Q722" s="35"/>
      <c r="R722" s="35"/>
      <c r="S722" s="35"/>
      <c r="T722" s="35"/>
    </row>
    <row r="723">
      <c r="F723" s="34"/>
      <c r="G723" s="34"/>
      <c r="H723" s="34"/>
      <c r="I723" s="34"/>
      <c r="L723" s="34"/>
      <c r="M723" s="34"/>
      <c r="N723" s="35"/>
      <c r="O723" s="35"/>
      <c r="P723" s="35"/>
      <c r="Q723" s="35"/>
      <c r="R723" s="35"/>
      <c r="S723" s="35"/>
      <c r="T723" s="35"/>
    </row>
    <row r="724">
      <c r="F724" s="34"/>
      <c r="G724" s="34"/>
      <c r="H724" s="34"/>
      <c r="I724" s="34"/>
      <c r="L724" s="34"/>
      <c r="M724" s="34"/>
      <c r="N724" s="35"/>
      <c r="O724" s="35"/>
      <c r="P724" s="35"/>
      <c r="Q724" s="35"/>
      <c r="R724" s="35"/>
      <c r="S724" s="35"/>
      <c r="T724" s="35"/>
    </row>
    <row r="725">
      <c r="F725" s="34"/>
      <c r="G725" s="34"/>
      <c r="H725" s="34"/>
      <c r="I725" s="34"/>
      <c r="L725" s="34"/>
      <c r="M725" s="34"/>
      <c r="N725" s="35"/>
      <c r="O725" s="35"/>
      <c r="P725" s="35"/>
      <c r="Q725" s="35"/>
      <c r="R725" s="35"/>
      <c r="S725" s="35"/>
      <c r="T725" s="35"/>
    </row>
    <row r="726">
      <c r="F726" s="34"/>
      <c r="G726" s="34"/>
      <c r="H726" s="34"/>
      <c r="I726" s="34"/>
      <c r="L726" s="34"/>
      <c r="M726" s="34"/>
      <c r="N726" s="35"/>
      <c r="O726" s="35"/>
      <c r="P726" s="35"/>
      <c r="Q726" s="35"/>
      <c r="R726" s="35"/>
      <c r="S726" s="35"/>
      <c r="T726" s="35"/>
    </row>
    <row r="727">
      <c r="F727" s="34"/>
      <c r="G727" s="34"/>
      <c r="H727" s="34"/>
      <c r="I727" s="34"/>
      <c r="L727" s="34"/>
      <c r="M727" s="34"/>
      <c r="N727" s="35"/>
      <c r="O727" s="35"/>
      <c r="P727" s="35"/>
      <c r="Q727" s="35"/>
      <c r="R727" s="35"/>
      <c r="S727" s="35"/>
      <c r="T727" s="35"/>
    </row>
    <row r="728">
      <c r="F728" s="34"/>
      <c r="G728" s="34"/>
      <c r="H728" s="34"/>
      <c r="I728" s="34"/>
      <c r="L728" s="34"/>
      <c r="M728" s="34"/>
      <c r="N728" s="35"/>
      <c r="O728" s="35"/>
      <c r="P728" s="35"/>
      <c r="Q728" s="35"/>
      <c r="R728" s="35"/>
      <c r="S728" s="35"/>
      <c r="T728" s="35"/>
    </row>
    <row r="729">
      <c r="F729" s="34"/>
      <c r="G729" s="34"/>
      <c r="H729" s="34"/>
      <c r="I729" s="34"/>
      <c r="L729" s="34"/>
      <c r="M729" s="34"/>
      <c r="N729" s="35"/>
      <c r="O729" s="35"/>
      <c r="P729" s="35"/>
      <c r="Q729" s="35"/>
      <c r="R729" s="35"/>
      <c r="S729" s="35"/>
      <c r="T729" s="35"/>
    </row>
    <row r="730">
      <c r="F730" s="34"/>
      <c r="G730" s="34"/>
      <c r="H730" s="34"/>
      <c r="I730" s="34"/>
      <c r="L730" s="34"/>
      <c r="M730" s="34"/>
      <c r="N730" s="35"/>
      <c r="O730" s="35"/>
      <c r="P730" s="35"/>
      <c r="Q730" s="35"/>
      <c r="R730" s="35"/>
      <c r="S730" s="35"/>
      <c r="T730" s="35"/>
    </row>
    <row r="731">
      <c r="F731" s="34"/>
      <c r="G731" s="34"/>
      <c r="H731" s="34"/>
      <c r="I731" s="34"/>
      <c r="L731" s="34"/>
      <c r="M731" s="34"/>
      <c r="N731" s="35"/>
      <c r="O731" s="35"/>
      <c r="P731" s="35"/>
      <c r="Q731" s="35"/>
      <c r="R731" s="35"/>
      <c r="S731" s="35"/>
      <c r="T731" s="35"/>
    </row>
    <row r="732">
      <c r="F732" s="34"/>
      <c r="G732" s="34"/>
      <c r="H732" s="34"/>
      <c r="I732" s="34"/>
      <c r="L732" s="34"/>
      <c r="M732" s="34"/>
      <c r="N732" s="35"/>
      <c r="O732" s="35"/>
      <c r="P732" s="35"/>
      <c r="Q732" s="35"/>
      <c r="R732" s="35"/>
      <c r="S732" s="35"/>
      <c r="T732" s="35"/>
    </row>
    <row r="733">
      <c r="F733" s="34"/>
      <c r="G733" s="34"/>
      <c r="H733" s="34"/>
      <c r="I733" s="34"/>
      <c r="L733" s="34"/>
      <c r="M733" s="34"/>
      <c r="N733" s="35"/>
      <c r="O733" s="35"/>
      <c r="P733" s="35"/>
      <c r="Q733" s="35"/>
      <c r="R733" s="35"/>
      <c r="S733" s="35"/>
      <c r="T733" s="35"/>
    </row>
    <row r="734">
      <c r="F734" s="34"/>
      <c r="G734" s="34"/>
      <c r="H734" s="34"/>
      <c r="I734" s="34"/>
      <c r="L734" s="34"/>
      <c r="M734" s="34"/>
      <c r="N734" s="35"/>
      <c r="O734" s="35"/>
      <c r="P734" s="35"/>
      <c r="Q734" s="35"/>
      <c r="R734" s="35"/>
      <c r="S734" s="35"/>
      <c r="T734" s="35"/>
    </row>
    <row r="735">
      <c r="F735" s="34"/>
      <c r="G735" s="34"/>
      <c r="H735" s="34"/>
      <c r="I735" s="34"/>
      <c r="L735" s="34"/>
      <c r="M735" s="34"/>
      <c r="N735" s="35"/>
      <c r="O735" s="35"/>
      <c r="P735" s="35"/>
      <c r="Q735" s="35"/>
      <c r="R735" s="35"/>
      <c r="S735" s="35"/>
      <c r="T735" s="35"/>
    </row>
    <row r="736">
      <c r="F736" s="34"/>
      <c r="G736" s="34"/>
      <c r="H736" s="34"/>
      <c r="I736" s="34"/>
      <c r="L736" s="34"/>
      <c r="M736" s="34"/>
      <c r="N736" s="35"/>
      <c r="O736" s="35"/>
      <c r="P736" s="35"/>
      <c r="Q736" s="35"/>
      <c r="R736" s="35"/>
      <c r="S736" s="35"/>
      <c r="T736" s="35"/>
    </row>
    <row r="737">
      <c r="F737" s="34"/>
      <c r="G737" s="34"/>
      <c r="H737" s="34"/>
      <c r="I737" s="34"/>
      <c r="L737" s="34"/>
      <c r="M737" s="34"/>
      <c r="N737" s="35"/>
      <c r="O737" s="35"/>
      <c r="P737" s="35"/>
      <c r="Q737" s="35"/>
      <c r="R737" s="35"/>
      <c r="S737" s="35"/>
      <c r="T737" s="35"/>
    </row>
    <row r="738">
      <c r="F738" s="34"/>
      <c r="G738" s="34"/>
      <c r="H738" s="34"/>
      <c r="I738" s="34"/>
      <c r="L738" s="34"/>
      <c r="M738" s="34"/>
      <c r="N738" s="35"/>
      <c r="O738" s="35"/>
      <c r="P738" s="35"/>
      <c r="Q738" s="35"/>
      <c r="R738" s="35"/>
      <c r="S738" s="35"/>
      <c r="T738" s="35"/>
    </row>
    <row r="739">
      <c r="F739" s="34"/>
      <c r="G739" s="34"/>
      <c r="H739" s="34"/>
      <c r="I739" s="34"/>
      <c r="L739" s="34"/>
      <c r="M739" s="34"/>
      <c r="N739" s="35"/>
      <c r="O739" s="35"/>
      <c r="P739" s="35"/>
      <c r="Q739" s="35"/>
      <c r="R739" s="35"/>
      <c r="S739" s="35"/>
      <c r="T739" s="35"/>
    </row>
    <row r="740">
      <c r="F740" s="34"/>
      <c r="G740" s="34"/>
      <c r="H740" s="34"/>
      <c r="I740" s="34"/>
      <c r="L740" s="34"/>
      <c r="M740" s="34"/>
      <c r="N740" s="35"/>
      <c r="O740" s="35"/>
      <c r="P740" s="35"/>
      <c r="Q740" s="35"/>
      <c r="R740" s="35"/>
      <c r="S740" s="35"/>
      <c r="T740" s="35"/>
    </row>
    <row r="741">
      <c r="F741" s="34"/>
      <c r="G741" s="34"/>
      <c r="H741" s="34"/>
      <c r="I741" s="34"/>
      <c r="L741" s="34"/>
      <c r="M741" s="34"/>
      <c r="N741" s="35"/>
      <c r="O741" s="35"/>
      <c r="P741" s="35"/>
      <c r="Q741" s="35"/>
      <c r="R741" s="35"/>
      <c r="S741" s="35"/>
      <c r="T741" s="35"/>
    </row>
    <row r="742">
      <c r="F742" s="34"/>
      <c r="G742" s="34"/>
      <c r="H742" s="34"/>
      <c r="I742" s="34"/>
      <c r="L742" s="34"/>
      <c r="M742" s="34"/>
      <c r="N742" s="35"/>
      <c r="O742" s="35"/>
      <c r="P742" s="35"/>
      <c r="Q742" s="35"/>
      <c r="R742" s="35"/>
      <c r="S742" s="35"/>
      <c r="T742" s="35"/>
    </row>
    <row r="743">
      <c r="F743" s="34"/>
      <c r="G743" s="34"/>
      <c r="H743" s="34"/>
      <c r="I743" s="34"/>
      <c r="L743" s="34"/>
      <c r="M743" s="34"/>
      <c r="N743" s="35"/>
      <c r="O743" s="35"/>
      <c r="P743" s="35"/>
      <c r="Q743" s="35"/>
      <c r="R743" s="35"/>
      <c r="S743" s="35"/>
      <c r="T743" s="35"/>
    </row>
    <row r="744">
      <c r="F744" s="34"/>
      <c r="G744" s="34"/>
      <c r="H744" s="34"/>
      <c r="I744" s="34"/>
      <c r="L744" s="34"/>
      <c r="M744" s="34"/>
      <c r="N744" s="35"/>
      <c r="O744" s="35"/>
      <c r="P744" s="35"/>
      <c r="Q744" s="35"/>
      <c r="R744" s="35"/>
      <c r="S744" s="35"/>
      <c r="T744" s="35"/>
    </row>
    <row r="745">
      <c r="F745" s="34"/>
      <c r="G745" s="34"/>
      <c r="H745" s="34"/>
      <c r="I745" s="34"/>
      <c r="L745" s="34"/>
      <c r="M745" s="34"/>
      <c r="N745" s="35"/>
      <c r="O745" s="35"/>
      <c r="P745" s="35"/>
      <c r="Q745" s="35"/>
      <c r="R745" s="35"/>
      <c r="S745" s="35"/>
      <c r="T745" s="35"/>
    </row>
    <row r="746">
      <c r="F746" s="34"/>
      <c r="G746" s="34"/>
      <c r="H746" s="34"/>
      <c r="I746" s="34"/>
      <c r="L746" s="34"/>
      <c r="M746" s="34"/>
      <c r="N746" s="35"/>
      <c r="O746" s="35"/>
      <c r="P746" s="35"/>
      <c r="Q746" s="35"/>
      <c r="R746" s="35"/>
      <c r="S746" s="35"/>
      <c r="T746" s="35"/>
    </row>
    <row r="747">
      <c r="F747" s="34"/>
      <c r="G747" s="34"/>
      <c r="H747" s="34"/>
      <c r="I747" s="34"/>
      <c r="L747" s="34"/>
      <c r="M747" s="34"/>
      <c r="N747" s="35"/>
      <c r="O747" s="35"/>
      <c r="P747" s="35"/>
      <c r="Q747" s="35"/>
      <c r="R747" s="35"/>
      <c r="S747" s="35"/>
      <c r="T747" s="35"/>
    </row>
    <row r="748">
      <c r="F748" s="34"/>
      <c r="G748" s="34"/>
      <c r="H748" s="34"/>
      <c r="I748" s="34"/>
      <c r="L748" s="34"/>
      <c r="M748" s="34"/>
      <c r="N748" s="35"/>
      <c r="O748" s="35"/>
      <c r="P748" s="35"/>
      <c r="Q748" s="35"/>
      <c r="R748" s="35"/>
      <c r="S748" s="35"/>
      <c r="T748" s="35"/>
    </row>
    <row r="749">
      <c r="F749" s="34"/>
      <c r="G749" s="34"/>
      <c r="H749" s="34"/>
      <c r="I749" s="34"/>
      <c r="L749" s="34"/>
      <c r="M749" s="34"/>
      <c r="N749" s="35"/>
      <c r="O749" s="35"/>
      <c r="P749" s="35"/>
      <c r="Q749" s="35"/>
      <c r="R749" s="35"/>
      <c r="S749" s="35"/>
      <c r="T749" s="35"/>
    </row>
    <row r="750">
      <c r="F750" s="34"/>
      <c r="G750" s="34"/>
      <c r="H750" s="34"/>
      <c r="I750" s="34"/>
      <c r="L750" s="34"/>
      <c r="M750" s="34"/>
      <c r="N750" s="35"/>
      <c r="O750" s="35"/>
      <c r="P750" s="35"/>
      <c r="Q750" s="35"/>
      <c r="R750" s="35"/>
      <c r="S750" s="35"/>
      <c r="T750" s="35"/>
    </row>
    <row r="751">
      <c r="F751" s="34"/>
      <c r="G751" s="34"/>
      <c r="H751" s="34"/>
      <c r="I751" s="34"/>
      <c r="L751" s="34"/>
      <c r="M751" s="34"/>
      <c r="N751" s="35"/>
      <c r="O751" s="35"/>
      <c r="P751" s="35"/>
      <c r="Q751" s="35"/>
      <c r="R751" s="35"/>
      <c r="S751" s="35"/>
      <c r="T751" s="35"/>
    </row>
    <row r="752">
      <c r="F752" s="34"/>
      <c r="G752" s="34"/>
      <c r="H752" s="34"/>
      <c r="I752" s="34"/>
      <c r="L752" s="34"/>
      <c r="M752" s="34"/>
      <c r="N752" s="35"/>
      <c r="O752" s="35"/>
      <c r="P752" s="35"/>
      <c r="Q752" s="35"/>
      <c r="R752" s="35"/>
      <c r="S752" s="35"/>
      <c r="T752" s="35"/>
    </row>
    <row r="753">
      <c r="F753" s="34"/>
      <c r="G753" s="34"/>
      <c r="H753" s="34"/>
      <c r="I753" s="34"/>
      <c r="L753" s="34"/>
      <c r="M753" s="34"/>
      <c r="N753" s="35"/>
      <c r="O753" s="35"/>
      <c r="P753" s="35"/>
      <c r="Q753" s="35"/>
      <c r="R753" s="35"/>
      <c r="S753" s="35"/>
      <c r="T753" s="35"/>
    </row>
    <row r="754">
      <c r="F754" s="34"/>
      <c r="G754" s="34"/>
      <c r="H754" s="34"/>
      <c r="I754" s="34"/>
      <c r="L754" s="34"/>
      <c r="M754" s="34"/>
      <c r="N754" s="35"/>
      <c r="O754" s="35"/>
      <c r="P754" s="35"/>
      <c r="Q754" s="35"/>
      <c r="R754" s="35"/>
      <c r="S754" s="35"/>
      <c r="T754" s="35"/>
    </row>
    <row r="755">
      <c r="F755" s="34"/>
      <c r="G755" s="34"/>
      <c r="H755" s="34"/>
      <c r="I755" s="34"/>
      <c r="L755" s="34"/>
      <c r="M755" s="34"/>
      <c r="N755" s="35"/>
      <c r="O755" s="35"/>
      <c r="P755" s="35"/>
      <c r="Q755" s="35"/>
      <c r="R755" s="35"/>
      <c r="S755" s="35"/>
      <c r="T755" s="35"/>
    </row>
    <row r="756">
      <c r="F756" s="34"/>
      <c r="G756" s="34"/>
      <c r="H756" s="34"/>
      <c r="I756" s="34"/>
      <c r="L756" s="34"/>
      <c r="M756" s="34"/>
      <c r="N756" s="35"/>
      <c r="O756" s="35"/>
      <c r="P756" s="35"/>
      <c r="Q756" s="35"/>
      <c r="R756" s="35"/>
      <c r="S756" s="35"/>
      <c r="T756" s="35"/>
    </row>
    <row r="757">
      <c r="F757" s="34"/>
      <c r="G757" s="34"/>
      <c r="H757" s="34"/>
      <c r="I757" s="34"/>
      <c r="L757" s="34"/>
      <c r="M757" s="34"/>
      <c r="N757" s="35"/>
      <c r="O757" s="35"/>
      <c r="P757" s="35"/>
      <c r="Q757" s="35"/>
      <c r="R757" s="35"/>
      <c r="S757" s="35"/>
      <c r="T757" s="35"/>
    </row>
    <row r="758">
      <c r="F758" s="34"/>
      <c r="G758" s="34"/>
      <c r="H758" s="34"/>
      <c r="I758" s="34"/>
      <c r="L758" s="34"/>
      <c r="M758" s="34"/>
      <c r="N758" s="35"/>
      <c r="O758" s="35"/>
      <c r="P758" s="35"/>
      <c r="Q758" s="35"/>
      <c r="R758" s="35"/>
      <c r="S758" s="35"/>
      <c r="T758" s="35"/>
    </row>
    <row r="759">
      <c r="F759" s="34"/>
      <c r="G759" s="34"/>
      <c r="H759" s="34"/>
      <c r="I759" s="34"/>
      <c r="L759" s="34"/>
      <c r="M759" s="34"/>
      <c r="N759" s="35"/>
      <c r="O759" s="35"/>
      <c r="P759" s="35"/>
      <c r="Q759" s="35"/>
      <c r="R759" s="35"/>
      <c r="S759" s="35"/>
      <c r="T759" s="35"/>
    </row>
    <row r="760">
      <c r="F760" s="34"/>
      <c r="G760" s="34"/>
      <c r="H760" s="34"/>
      <c r="I760" s="34"/>
      <c r="L760" s="34"/>
      <c r="M760" s="34"/>
      <c r="N760" s="35"/>
      <c r="O760" s="35"/>
      <c r="P760" s="35"/>
      <c r="Q760" s="35"/>
      <c r="R760" s="35"/>
      <c r="S760" s="35"/>
      <c r="T760" s="35"/>
    </row>
    <row r="761">
      <c r="F761" s="34"/>
      <c r="G761" s="34"/>
      <c r="H761" s="34"/>
      <c r="I761" s="34"/>
      <c r="L761" s="34"/>
      <c r="M761" s="34"/>
      <c r="N761" s="35"/>
      <c r="O761" s="35"/>
      <c r="P761" s="35"/>
      <c r="Q761" s="35"/>
      <c r="R761" s="35"/>
      <c r="S761" s="35"/>
      <c r="T761" s="35"/>
    </row>
    <row r="762">
      <c r="F762" s="34"/>
      <c r="G762" s="34"/>
      <c r="H762" s="34"/>
      <c r="I762" s="34"/>
      <c r="L762" s="34"/>
      <c r="M762" s="34"/>
      <c r="N762" s="35"/>
      <c r="O762" s="35"/>
      <c r="P762" s="35"/>
      <c r="Q762" s="35"/>
      <c r="R762" s="35"/>
      <c r="S762" s="35"/>
      <c r="T762" s="35"/>
    </row>
    <row r="763">
      <c r="F763" s="34"/>
      <c r="G763" s="34"/>
      <c r="H763" s="34"/>
      <c r="I763" s="34"/>
      <c r="L763" s="34"/>
      <c r="M763" s="34"/>
      <c r="N763" s="35"/>
      <c r="O763" s="35"/>
      <c r="P763" s="35"/>
      <c r="Q763" s="35"/>
      <c r="R763" s="35"/>
      <c r="S763" s="35"/>
      <c r="T763" s="35"/>
    </row>
    <row r="764">
      <c r="F764" s="34"/>
      <c r="G764" s="34"/>
      <c r="H764" s="34"/>
      <c r="I764" s="34"/>
      <c r="L764" s="34"/>
      <c r="M764" s="34"/>
      <c r="N764" s="35"/>
      <c r="O764" s="35"/>
      <c r="P764" s="35"/>
      <c r="Q764" s="35"/>
      <c r="R764" s="35"/>
      <c r="S764" s="35"/>
      <c r="T764" s="35"/>
    </row>
    <row r="765">
      <c r="F765" s="34"/>
      <c r="G765" s="34"/>
      <c r="H765" s="34"/>
      <c r="I765" s="34"/>
      <c r="L765" s="34"/>
      <c r="M765" s="34"/>
      <c r="N765" s="35"/>
      <c r="O765" s="35"/>
      <c r="P765" s="35"/>
      <c r="Q765" s="35"/>
      <c r="R765" s="35"/>
      <c r="S765" s="35"/>
      <c r="T765" s="35"/>
    </row>
    <row r="766">
      <c r="F766" s="34"/>
      <c r="G766" s="34"/>
      <c r="H766" s="34"/>
      <c r="I766" s="34"/>
      <c r="L766" s="34"/>
      <c r="M766" s="34"/>
      <c r="N766" s="35"/>
      <c r="O766" s="35"/>
      <c r="P766" s="35"/>
      <c r="Q766" s="35"/>
      <c r="R766" s="35"/>
      <c r="S766" s="35"/>
      <c r="T766" s="35"/>
    </row>
    <row r="767">
      <c r="F767" s="34"/>
      <c r="G767" s="34"/>
      <c r="H767" s="34"/>
      <c r="I767" s="34"/>
      <c r="L767" s="34"/>
      <c r="M767" s="34"/>
      <c r="N767" s="35"/>
      <c r="O767" s="35"/>
      <c r="P767" s="35"/>
      <c r="Q767" s="35"/>
      <c r="R767" s="35"/>
      <c r="S767" s="35"/>
      <c r="T767" s="35"/>
    </row>
    <row r="768">
      <c r="F768" s="34"/>
      <c r="G768" s="34"/>
      <c r="H768" s="34"/>
      <c r="I768" s="34"/>
      <c r="L768" s="34"/>
      <c r="M768" s="34"/>
      <c r="N768" s="35"/>
      <c r="O768" s="35"/>
      <c r="P768" s="35"/>
      <c r="Q768" s="35"/>
      <c r="R768" s="35"/>
      <c r="S768" s="35"/>
      <c r="T768" s="35"/>
    </row>
    <row r="769">
      <c r="F769" s="34"/>
      <c r="G769" s="34"/>
      <c r="H769" s="34"/>
      <c r="I769" s="34"/>
      <c r="L769" s="34"/>
      <c r="M769" s="34"/>
      <c r="N769" s="35"/>
      <c r="O769" s="35"/>
      <c r="P769" s="35"/>
      <c r="Q769" s="35"/>
      <c r="R769" s="35"/>
      <c r="S769" s="35"/>
      <c r="T769" s="35"/>
    </row>
    <row r="770">
      <c r="F770" s="34"/>
      <c r="G770" s="34"/>
      <c r="H770" s="34"/>
      <c r="I770" s="34"/>
      <c r="L770" s="34"/>
      <c r="M770" s="34"/>
      <c r="N770" s="35"/>
      <c r="O770" s="35"/>
      <c r="P770" s="35"/>
      <c r="Q770" s="35"/>
      <c r="R770" s="35"/>
      <c r="S770" s="35"/>
      <c r="T770" s="35"/>
    </row>
    <row r="771">
      <c r="F771" s="34"/>
      <c r="G771" s="34"/>
      <c r="H771" s="34"/>
      <c r="I771" s="34"/>
      <c r="L771" s="34"/>
      <c r="M771" s="34"/>
      <c r="N771" s="35"/>
      <c r="O771" s="35"/>
      <c r="P771" s="35"/>
      <c r="Q771" s="35"/>
      <c r="R771" s="35"/>
      <c r="S771" s="35"/>
      <c r="T771" s="35"/>
    </row>
    <row r="772">
      <c r="F772" s="34"/>
      <c r="G772" s="34"/>
      <c r="H772" s="34"/>
      <c r="I772" s="34"/>
      <c r="L772" s="34"/>
      <c r="M772" s="34"/>
      <c r="N772" s="35"/>
      <c r="O772" s="35"/>
      <c r="P772" s="35"/>
      <c r="Q772" s="35"/>
      <c r="R772" s="35"/>
      <c r="S772" s="35"/>
      <c r="T772" s="35"/>
    </row>
    <row r="773">
      <c r="F773" s="34"/>
      <c r="G773" s="34"/>
      <c r="H773" s="34"/>
      <c r="I773" s="34"/>
      <c r="L773" s="34"/>
      <c r="M773" s="34"/>
      <c r="N773" s="35"/>
      <c r="O773" s="35"/>
      <c r="P773" s="35"/>
      <c r="Q773" s="35"/>
      <c r="R773" s="35"/>
      <c r="S773" s="35"/>
      <c r="T773" s="35"/>
    </row>
    <row r="774">
      <c r="F774" s="34"/>
      <c r="G774" s="34"/>
      <c r="H774" s="34"/>
      <c r="I774" s="34"/>
      <c r="L774" s="34"/>
      <c r="M774" s="34"/>
      <c r="N774" s="35"/>
      <c r="O774" s="35"/>
      <c r="P774" s="35"/>
      <c r="Q774" s="35"/>
      <c r="R774" s="35"/>
      <c r="S774" s="35"/>
      <c r="T774" s="35"/>
    </row>
    <row r="775">
      <c r="F775" s="34"/>
      <c r="G775" s="34"/>
      <c r="H775" s="34"/>
      <c r="I775" s="34"/>
      <c r="L775" s="34"/>
      <c r="M775" s="34"/>
      <c r="N775" s="35"/>
      <c r="O775" s="35"/>
      <c r="P775" s="35"/>
      <c r="Q775" s="35"/>
      <c r="R775" s="35"/>
      <c r="S775" s="35"/>
      <c r="T775" s="35"/>
    </row>
    <row r="776">
      <c r="F776" s="34"/>
      <c r="G776" s="34"/>
      <c r="H776" s="34"/>
      <c r="I776" s="34"/>
      <c r="L776" s="34"/>
      <c r="M776" s="34"/>
      <c r="N776" s="35"/>
      <c r="O776" s="35"/>
      <c r="P776" s="35"/>
      <c r="Q776" s="35"/>
      <c r="R776" s="35"/>
      <c r="S776" s="35"/>
      <c r="T776" s="35"/>
    </row>
    <row r="777">
      <c r="F777" s="34"/>
      <c r="G777" s="34"/>
      <c r="H777" s="34"/>
      <c r="I777" s="34"/>
      <c r="L777" s="34"/>
      <c r="M777" s="34"/>
      <c r="N777" s="35"/>
      <c r="O777" s="35"/>
      <c r="P777" s="35"/>
      <c r="Q777" s="35"/>
      <c r="R777" s="35"/>
      <c r="S777" s="35"/>
      <c r="T777" s="35"/>
    </row>
    <row r="778">
      <c r="F778" s="34"/>
      <c r="G778" s="34"/>
      <c r="H778" s="34"/>
      <c r="I778" s="34"/>
      <c r="L778" s="34"/>
      <c r="M778" s="34"/>
      <c r="N778" s="35"/>
      <c r="O778" s="35"/>
      <c r="P778" s="35"/>
      <c r="Q778" s="35"/>
      <c r="R778" s="35"/>
      <c r="S778" s="35"/>
      <c r="T778" s="35"/>
    </row>
    <row r="779">
      <c r="F779" s="34"/>
      <c r="G779" s="34"/>
      <c r="H779" s="34"/>
      <c r="I779" s="34"/>
      <c r="L779" s="34"/>
      <c r="M779" s="34"/>
      <c r="N779" s="35"/>
      <c r="O779" s="35"/>
      <c r="P779" s="35"/>
      <c r="Q779" s="35"/>
      <c r="R779" s="35"/>
      <c r="S779" s="35"/>
      <c r="T779" s="35"/>
    </row>
    <row r="780">
      <c r="F780" s="34"/>
      <c r="G780" s="34"/>
      <c r="H780" s="34"/>
      <c r="I780" s="34"/>
      <c r="L780" s="34"/>
      <c r="M780" s="34"/>
      <c r="N780" s="35"/>
      <c r="O780" s="35"/>
      <c r="P780" s="35"/>
      <c r="Q780" s="35"/>
      <c r="R780" s="35"/>
      <c r="S780" s="35"/>
      <c r="T780" s="35"/>
    </row>
    <row r="781">
      <c r="F781" s="34"/>
      <c r="G781" s="34"/>
      <c r="H781" s="34"/>
      <c r="I781" s="34"/>
      <c r="L781" s="34"/>
      <c r="M781" s="34"/>
      <c r="N781" s="35"/>
      <c r="O781" s="35"/>
      <c r="P781" s="35"/>
      <c r="Q781" s="35"/>
      <c r="R781" s="35"/>
      <c r="S781" s="35"/>
      <c r="T781" s="35"/>
    </row>
    <row r="782">
      <c r="F782" s="34"/>
      <c r="G782" s="34"/>
      <c r="H782" s="34"/>
      <c r="I782" s="34"/>
      <c r="L782" s="34"/>
      <c r="M782" s="34"/>
      <c r="N782" s="35"/>
      <c r="O782" s="35"/>
      <c r="P782" s="35"/>
      <c r="Q782" s="35"/>
      <c r="R782" s="35"/>
      <c r="S782" s="35"/>
      <c r="T782" s="35"/>
    </row>
    <row r="783">
      <c r="F783" s="34"/>
      <c r="G783" s="34"/>
      <c r="H783" s="34"/>
      <c r="I783" s="34"/>
      <c r="L783" s="34"/>
      <c r="M783" s="34"/>
      <c r="N783" s="35"/>
      <c r="O783" s="35"/>
      <c r="P783" s="35"/>
      <c r="Q783" s="35"/>
      <c r="R783" s="35"/>
      <c r="S783" s="35"/>
      <c r="T783" s="35"/>
    </row>
    <row r="784">
      <c r="F784" s="34"/>
      <c r="G784" s="34"/>
      <c r="H784" s="34"/>
      <c r="I784" s="34"/>
      <c r="L784" s="34"/>
      <c r="M784" s="34"/>
      <c r="N784" s="35"/>
      <c r="O784" s="35"/>
      <c r="P784" s="35"/>
      <c r="Q784" s="35"/>
      <c r="R784" s="35"/>
      <c r="S784" s="35"/>
      <c r="T784" s="35"/>
    </row>
    <row r="785">
      <c r="F785" s="34"/>
      <c r="G785" s="34"/>
      <c r="H785" s="34"/>
      <c r="I785" s="34"/>
      <c r="L785" s="34"/>
      <c r="M785" s="34"/>
      <c r="N785" s="35"/>
      <c r="O785" s="35"/>
      <c r="P785" s="35"/>
      <c r="Q785" s="35"/>
      <c r="R785" s="35"/>
      <c r="S785" s="35"/>
      <c r="T785" s="35"/>
    </row>
    <row r="786">
      <c r="F786" s="34"/>
      <c r="G786" s="34"/>
      <c r="H786" s="34"/>
      <c r="I786" s="34"/>
      <c r="L786" s="34"/>
      <c r="M786" s="34"/>
      <c r="N786" s="35"/>
      <c r="O786" s="35"/>
      <c r="P786" s="35"/>
      <c r="Q786" s="35"/>
      <c r="R786" s="35"/>
      <c r="S786" s="35"/>
      <c r="T786" s="35"/>
    </row>
    <row r="787">
      <c r="F787" s="34"/>
      <c r="G787" s="34"/>
      <c r="H787" s="34"/>
      <c r="I787" s="34"/>
      <c r="L787" s="34"/>
      <c r="M787" s="34"/>
      <c r="N787" s="35"/>
      <c r="O787" s="35"/>
      <c r="P787" s="35"/>
      <c r="Q787" s="35"/>
      <c r="R787" s="35"/>
      <c r="S787" s="35"/>
      <c r="T787" s="35"/>
    </row>
    <row r="788">
      <c r="F788" s="34"/>
      <c r="G788" s="34"/>
      <c r="H788" s="34"/>
      <c r="I788" s="34"/>
      <c r="L788" s="34"/>
      <c r="M788" s="34"/>
      <c r="N788" s="35"/>
      <c r="O788" s="35"/>
      <c r="P788" s="35"/>
      <c r="Q788" s="35"/>
      <c r="R788" s="35"/>
      <c r="S788" s="35"/>
      <c r="T788" s="35"/>
    </row>
    <row r="789">
      <c r="F789" s="34"/>
      <c r="G789" s="34"/>
      <c r="H789" s="34"/>
      <c r="I789" s="34"/>
      <c r="L789" s="34"/>
      <c r="M789" s="34"/>
      <c r="N789" s="35"/>
      <c r="O789" s="35"/>
      <c r="P789" s="35"/>
      <c r="Q789" s="35"/>
      <c r="R789" s="35"/>
      <c r="S789" s="35"/>
      <c r="T789" s="35"/>
    </row>
    <row r="790">
      <c r="F790" s="34"/>
      <c r="G790" s="34"/>
      <c r="H790" s="34"/>
      <c r="I790" s="34"/>
      <c r="L790" s="34"/>
      <c r="M790" s="34"/>
      <c r="N790" s="35"/>
      <c r="O790" s="35"/>
      <c r="P790" s="35"/>
      <c r="Q790" s="35"/>
      <c r="R790" s="35"/>
      <c r="S790" s="35"/>
      <c r="T790" s="35"/>
    </row>
    <row r="791">
      <c r="F791" s="34"/>
      <c r="G791" s="34"/>
      <c r="H791" s="34"/>
      <c r="I791" s="34"/>
      <c r="L791" s="34"/>
      <c r="M791" s="34"/>
      <c r="N791" s="35"/>
      <c r="O791" s="35"/>
      <c r="P791" s="35"/>
      <c r="Q791" s="35"/>
      <c r="R791" s="35"/>
      <c r="S791" s="35"/>
      <c r="T791" s="35"/>
    </row>
    <row r="792">
      <c r="F792" s="34"/>
      <c r="G792" s="34"/>
      <c r="H792" s="34"/>
      <c r="I792" s="34"/>
      <c r="L792" s="34"/>
      <c r="M792" s="34"/>
      <c r="N792" s="35"/>
      <c r="O792" s="35"/>
      <c r="P792" s="35"/>
      <c r="Q792" s="35"/>
      <c r="R792" s="35"/>
      <c r="S792" s="35"/>
      <c r="T792" s="35"/>
    </row>
    <row r="793">
      <c r="F793" s="34"/>
      <c r="G793" s="34"/>
      <c r="H793" s="34"/>
      <c r="I793" s="34"/>
      <c r="L793" s="34"/>
      <c r="M793" s="34"/>
      <c r="N793" s="35"/>
      <c r="O793" s="35"/>
      <c r="P793" s="35"/>
      <c r="Q793" s="35"/>
      <c r="R793" s="35"/>
      <c r="S793" s="35"/>
      <c r="T793" s="35"/>
    </row>
    <row r="794">
      <c r="F794" s="34"/>
      <c r="G794" s="34"/>
      <c r="H794" s="34"/>
      <c r="I794" s="34"/>
      <c r="L794" s="34"/>
      <c r="M794" s="34"/>
      <c r="N794" s="35"/>
      <c r="O794" s="35"/>
      <c r="P794" s="35"/>
      <c r="Q794" s="35"/>
      <c r="R794" s="35"/>
      <c r="S794" s="35"/>
      <c r="T794" s="35"/>
    </row>
    <row r="795">
      <c r="F795" s="34"/>
      <c r="G795" s="34"/>
      <c r="H795" s="34"/>
      <c r="I795" s="34"/>
      <c r="L795" s="34"/>
      <c r="M795" s="34"/>
      <c r="N795" s="35"/>
      <c r="O795" s="35"/>
      <c r="P795" s="35"/>
      <c r="Q795" s="35"/>
      <c r="R795" s="35"/>
      <c r="S795" s="35"/>
      <c r="T795" s="35"/>
    </row>
    <row r="796">
      <c r="F796" s="34"/>
      <c r="G796" s="34"/>
      <c r="H796" s="34"/>
      <c r="I796" s="34"/>
      <c r="L796" s="34"/>
      <c r="M796" s="34"/>
      <c r="N796" s="35"/>
      <c r="O796" s="35"/>
      <c r="P796" s="35"/>
      <c r="Q796" s="35"/>
      <c r="R796" s="35"/>
      <c r="S796" s="35"/>
      <c r="T796" s="35"/>
    </row>
    <row r="797">
      <c r="F797" s="34"/>
      <c r="G797" s="34"/>
      <c r="H797" s="34"/>
      <c r="I797" s="34"/>
      <c r="L797" s="34"/>
      <c r="M797" s="34"/>
      <c r="N797" s="35"/>
      <c r="O797" s="35"/>
      <c r="P797" s="35"/>
      <c r="Q797" s="35"/>
      <c r="R797" s="35"/>
      <c r="S797" s="35"/>
      <c r="T797" s="35"/>
    </row>
    <row r="798">
      <c r="F798" s="34"/>
      <c r="G798" s="34"/>
      <c r="H798" s="34"/>
      <c r="I798" s="34"/>
      <c r="L798" s="34"/>
      <c r="M798" s="34"/>
      <c r="N798" s="35"/>
      <c r="O798" s="35"/>
      <c r="P798" s="35"/>
      <c r="Q798" s="35"/>
      <c r="R798" s="35"/>
      <c r="S798" s="35"/>
      <c r="T798" s="35"/>
    </row>
    <row r="799">
      <c r="F799" s="34"/>
      <c r="G799" s="34"/>
      <c r="H799" s="34"/>
      <c r="I799" s="34"/>
      <c r="L799" s="34"/>
      <c r="M799" s="34"/>
      <c r="N799" s="35"/>
      <c r="O799" s="35"/>
      <c r="P799" s="35"/>
      <c r="Q799" s="35"/>
      <c r="R799" s="35"/>
      <c r="S799" s="35"/>
      <c r="T799" s="35"/>
    </row>
    <row r="800">
      <c r="F800" s="34"/>
      <c r="G800" s="34"/>
      <c r="H800" s="34"/>
      <c r="I800" s="34"/>
      <c r="L800" s="34"/>
      <c r="M800" s="34"/>
      <c r="N800" s="35"/>
      <c r="O800" s="35"/>
      <c r="P800" s="35"/>
      <c r="Q800" s="35"/>
      <c r="R800" s="35"/>
      <c r="S800" s="35"/>
      <c r="T800" s="35"/>
    </row>
    <row r="801">
      <c r="F801" s="34"/>
      <c r="G801" s="34"/>
      <c r="H801" s="34"/>
      <c r="I801" s="34"/>
      <c r="L801" s="34"/>
      <c r="M801" s="34"/>
      <c r="N801" s="35"/>
      <c r="O801" s="35"/>
      <c r="P801" s="35"/>
      <c r="Q801" s="35"/>
      <c r="R801" s="35"/>
      <c r="S801" s="35"/>
      <c r="T801" s="35"/>
    </row>
    <row r="802">
      <c r="F802" s="34"/>
      <c r="G802" s="34"/>
      <c r="H802" s="34"/>
      <c r="I802" s="34"/>
      <c r="L802" s="34"/>
      <c r="M802" s="34"/>
      <c r="N802" s="35"/>
      <c r="O802" s="35"/>
      <c r="P802" s="35"/>
      <c r="Q802" s="35"/>
      <c r="R802" s="35"/>
      <c r="S802" s="35"/>
      <c r="T802" s="35"/>
    </row>
    <row r="803">
      <c r="F803" s="34"/>
      <c r="G803" s="34"/>
      <c r="H803" s="34"/>
      <c r="I803" s="34"/>
      <c r="L803" s="34"/>
      <c r="M803" s="34"/>
      <c r="N803" s="35"/>
      <c r="O803" s="35"/>
      <c r="P803" s="35"/>
      <c r="Q803" s="35"/>
      <c r="R803" s="35"/>
      <c r="S803" s="35"/>
      <c r="T803" s="35"/>
    </row>
    <row r="804">
      <c r="F804" s="34"/>
      <c r="G804" s="34"/>
      <c r="H804" s="34"/>
      <c r="I804" s="34"/>
      <c r="L804" s="34"/>
      <c r="M804" s="34"/>
      <c r="N804" s="35"/>
      <c r="O804" s="35"/>
      <c r="P804" s="35"/>
      <c r="Q804" s="35"/>
      <c r="R804" s="35"/>
      <c r="S804" s="35"/>
      <c r="T804" s="35"/>
    </row>
    <row r="805">
      <c r="F805" s="34"/>
      <c r="G805" s="34"/>
      <c r="H805" s="34"/>
      <c r="I805" s="34"/>
      <c r="L805" s="34"/>
      <c r="M805" s="34"/>
      <c r="N805" s="35"/>
      <c r="O805" s="35"/>
      <c r="P805" s="35"/>
      <c r="Q805" s="35"/>
      <c r="R805" s="35"/>
      <c r="S805" s="35"/>
      <c r="T805" s="35"/>
    </row>
    <row r="806">
      <c r="F806" s="34"/>
      <c r="G806" s="34"/>
      <c r="H806" s="34"/>
      <c r="I806" s="34"/>
      <c r="L806" s="34"/>
      <c r="M806" s="34"/>
      <c r="N806" s="35"/>
      <c r="O806" s="35"/>
      <c r="P806" s="35"/>
      <c r="Q806" s="35"/>
      <c r="R806" s="35"/>
      <c r="S806" s="35"/>
      <c r="T806" s="35"/>
    </row>
    <row r="807">
      <c r="F807" s="34"/>
      <c r="G807" s="34"/>
      <c r="H807" s="34"/>
      <c r="I807" s="34"/>
      <c r="L807" s="34"/>
      <c r="M807" s="34"/>
      <c r="N807" s="35"/>
      <c r="O807" s="35"/>
      <c r="P807" s="35"/>
      <c r="Q807" s="35"/>
      <c r="R807" s="35"/>
      <c r="S807" s="35"/>
      <c r="T807" s="35"/>
    </row>
    <row r="808">
      <c r="F808" s="34"/>
      <c r="G808" s="34"/>
      <c r="H808" s="34"/>
      <c r="I808" s="34"/>
      <c r="L808" s="34"/>
      <c r="M808" s="34"/>
      <c r="N808" s="35"/>
      <c r="O808" s="35"/>
      <c r="P808" s="35"/>
      <c r="Q808" s="35"/>
      <c r="R808" s="35"/>
      <c r="S808" s="35"/>
      <c r="T808" s="35"/>
    </row>
    <row r="809">
      <c r="F809" s="34"/>
      <c r="G809" s="34"/>
      <c r="H809" s="34"/>
      <c r="I809" s="34"/>
      <c r="L809" s="34"/>
      <c r="M809" s="34"/>
      <c r="N809" s="35"/>
      <c r="O809" s="35"/>
      <c r="P809" s="35"/>
      <c r="Q809" s="35"/>
      <c r="R809" s="35"/>
      <c r="S809" s="35"/>
      <c r="T809" s="35"/>
    </row>
    <row r="810">
      <c r="F810" s="34"/>
      <c r="G810" s="34"/>
      <c r="H810" s="34"/>
      <c r="I810" s="34"/>
      <c r="L810" s="34"/>
      <c r="M810" s="34"/>
      <c r="N810" s="35"/>
      <c r="O810" s="35"/>
      <c r="P810" s="35"/>
      <c r="Q810" s="35"/>
      <c r="R810" s="35"/>
      <c r="S810" s="35"/>
      <c r="T810" s="35"/>
    </row>
    <row r="811">
      <c r="F811" s="34"/>
      <c r="G811" s="34"/>
      <c r="H811" s="34"/>
      <c r="I811" s="34"/>
      <c r="L811" s="34"/>
      <c r="M811" s="34"/>
      <c r="N811" s="35"/>
      <c r="O811" s="35"/>
      <c r="P811" s="35"/>
      <c r="Q811" s="35"/>
      <c r="R811" s="35"/>
      <c r="S811" s="35"/>
      <c r="T811" s="35"/>
    </row>
    <row r="812">
      <c r="F812" s="34"/>
      <c r="G812" s="34"/>
      <c r="H812" s="34"/>
      <c r="I812" s="34"/>
      <c r="L812" s="34"/>
      <c r="M812" s="34"/>
      <c r="N812" s="35"/>
      <c r="O812" s="35"/>
      <c r="P812" s="35"/>
      <c r="Q812" s="35"/>
      <c r="R812" s="35"/>
      <c r="S812" s="35"/>
      <c r="T812" s="35"/>
    </row>
    <row r="813">
      <c r="F813" s="34"/>
      <c r="G813" s="34"/>
      <c r="H813" s="34"/>
      <c r="I813" s="34"/>
      <c r="L813" s="34"/>
      <c r="M813" s="34"/>
      <c r="N813" s="35"/>
      <c r="O813" s="35"/>
      <c r="P813" s="35"/>
      <c r="Q813" s="35"/>
      <c r="R813" s="35"/>
      <c r="S813" s="35"/>
      <c r="T813" s="35"/>
    </row>
    <row r="814">
      <c r="F814" s="34"/>
      <c r="G814" s="34"/>
      <c r="H814" s="34"/>
      <c r="I814" s="34"/>
      <c r="L814" s="34"/>
      <c r="M814" s="34"/>
      <c r="N814" s="35"/>
      <c r="O814" s="35"/>
      <c r="P814" s="35"/>
      <c r="Q814" s="35"/>
      <c r="R814" s="35"/>
      <c r="S814" s="35"/>
      <c r="T814" s="35"/>
    </row>
    <row r="815">
      <c r="F815" s="34"/>
      <c r="G815" s="34"/>
      <c r="H815" s="34"/>
      <c r="I815" s="34"/>
      <c r="L815" s="34"/>
      <c r="M815" s="34"/>
      <c r="N815" s="35"/>
      <c r="O815" s="35"/>
      <c r="P815" s="35"/>
      <c r="Q815" s="35"/>
      <c r="R815" s="35"/>
      <c r="S815" s="35"/>
      <c r="T815" s="35"/>
    </row>
    <row r="816">
      <c r="F816" s="34"/>
      <c r="G816" s="34"/>
      <c r="H816" s="34"/>
      <c r="I816" s="34"/>
      <c r="L816" s="34"/>
      <c r="M816" s="34"/>
      <c r="N816" s="35"/>
      <c r="O816" s="35"/>
      <c r="P816" s="35"/>
      <c r="Q816" s="35"/>
      <c r="R816" s="35"/>
      <c r="S816" s="35"/>
      <c r="T816" s="35"/>
    </row>
    <row r="817">
      <c r="F817" s="34"/>
      <c r="G817" s="34"/>
      <c r="H817" s="34"/>
      <c r="I817" s="34"/>
      <c r="L817" s="34"/>
      <c r="M817" s="34"/>
      <c r="N817" s="35"/>
      <c r="O817" s="35"/>
      <c r="P817" s="35"/>
      <c r="Q817" s="35"/>
      <c r="R817" s="35"/>
      <c r="S817" s="35"/>
      <c r="T817" s="35"/>
    </row>
    <row r="818">
      <c r="F818" s="34"/>
      <c r="G818" s="34"/>
      <c r="H818" s="34"/>
      <c r="I818" s="34"/>
      <c r="L818" s="34"/>
      <c r="M818" s="34"/>
      <c r="N818" s="35"/>
      <c r="O818" s="35"/>
      <c r="P818" s="35"/>
      <c r="Q818" s="35"/>
      <c r="R818" s="35"/>
      <c r="S818" s="35"/>
      <c r="T818" s="35"/>
    </row>
    <row r="819">
      <c r="F819" s="34"/>
      <c r="G819" s="34"/>
      <c r="H819" s="34"/>
      <c r="I819" s="34"/>
      <c r="L819" s="34"/>
      <c r="M819" s="34"/>
      <c r="N819" s="35"/>
      <c r="O819" s="35"/>
      <c r="P819" s="35"/>
      <c r="Q819" s="35"/>
      <c r="R819" s="35"/>
      <c r="S819" s="35"/>
      <c r="T819" s="35"/>
    </row>
    <row r="820">
      <c r="F820" s="34"/>
      <c r="G820" s="34"/>
      <c r="H820" s="34"/>
      <c r="I820" s="34"/>
      <c r="L820" s="34"/>
      <c r="M820" s="34"/>
      <c r="N820" s="35"/>
      <c r="O820" s="35"/>
      <c r="P820" s="35"/>
      <c r="Q820" s="35"/>
      <c r="R820" s="35"/>
      <c r="S820" s="35"/>
      <c r="T820" s="35"/>
    </row>
    <row r="821">
      <c r="F821" s="34"/>
      <c r="G821" s="34"/>
      <c r="H821" s="34"/>
      <c r="I821" s="34"/>
      <c r="L821" s="34"/>
      <c r="M821" s="34"/>
      <c r="N821" s="35"/>
      <c r="O821" s="35"/>
      <c r="P821" s="35"/>
      <c r="Q821" s="35"/>
      <c r="R821" s="35"/>
      <c r="S821" s="35"/>
      <c r="T821" s="35"/>
    </row>
    <row r="822">
      <c r="F822" s="34"/>
      <c r="G822" s="34"/>
      <c r="H822" s="34"/>
      <c r="I822" s="34"/>
      <c r="L822" s="34"/>
      <c r="M822" s="34"/>
      <c r="N822" s="35"/>
      <c r="O822" s="35"/>
      <c r="P822" s="35"/>
      <c r="Q822" s="35"/>
      <c r="R822" s="35"/>
      <c r="S822" s="35"/>
      <c r="T822" s="35"/>
    </row>
    <row r="823">
      <c r="F823" s="34"/>
      <c r="G823" s="34"/>
      <c r="H823" s="34"/>
      <c r="I823" s="34"/>
      <c r="L823" s="34"/>
      <c r="M823" s="34"/>
      <c r="N823" s="35"/>
      <c r="O823" s="35"/>
      <c r="P823" s="35"/>
      <c r="Q823" s="35"/>
      <c r="R823" s="35"/>
      <c r="S823" s="35"/>
      <c r="T823" s="35"/>
    </row>
    <row r="824">
      <c r="F824" s="34"/>
      <c r="G824" s="34"/>
      <c r="H824" s="34"/>
      <c r="I824" s="34"/>
      <c r="L824" s="34"/>
      <c r="M824" s="34"/>
      <c r="N824" s="35"/>
      <c r="O824" s="35"/>
      <c r="P824" s="35"/>
      <c r="Q824" s="35"/>
      <c r="R824" s="35"/>
      <c r="S824" s="35"/>
      <c r="T824" s="35"/>
    </row>
    <row r="825">
      <c r="F825" s="34"/>
      <c r="G825" s="34"/>
      <c r="H825" s="34"/>
      <c r="I825" s="34"/>
      <c r="L825" s="34"/>
      <c r="M825" s="34"/>
      <c r="N825" s="35"/>
      <c r="O825" s="35"/>
      <c r="P825" s="35"/>
      <c r="Q825" s="35"/>
      <c r="R825" s="35"/>
      <c r="S825" s="35"/>
      <c r="T825" s="35"/>
    </row>
    <row r="826">
      <c r="F826" s="34"/>
      <c r="G826" s="34"/>
      <c r="H826" s="34"/>
      <c r="I826" s="34"/>
      <c r="L826" s="34"/>
      <c r="M826" s="34"/>
      <c r="N826" s="35"/>
      <c r="O826" s="35"/>
      <c r="P826" s="35"/>
      <c r="Q826" s="35"/>
      <c r="R826" s="35"/>
      <c r="S826" s="35"/>
      <c r="T826" s="35"/>
    </row>
    <row r="827">
      <c r="F827" s="34"/>
      <c r="G827" s="34"/>
      <c r="H827" s="34"/>
      <c r="I827" s="34"/>
      <c r="L827" s="34"/>
      <c r="M827" s="34"/>
      <c r="N827" s="35"/>
      <c r="O827" s="35"/>
      <c r="P827" s="35"/>
      <c r="Q827" s="35"/>
      <c r="R827" s="35"/>
      <c r="S827" s="35"/>
      <c r="T827" s="35"/>
    </row>
    <row r="828">
      <c r="F828" s="34"/>
      <c r="G828" s="34"/>
      <c r="H828" s="34"/>
      <c r="I828" s="34"/>
      <c r="L828" s="34"/>
      <c r="M828" s="34"/>
      <c r="N828" s="35"/>
      <c r="O828" s="35"/>
      <c r="P828" s="35"/>
      <c r="Q828" s="35"/>
      <c r="R828" s="35"/>
      <c r="S828" s="35"/>
      <c r="T828" s="35"/>
    </row>
    <row r="829">
      <c r="F829" s="34"/>
      <c r="G829" s="34"/>
      <c r="H829" s="34"/>
      <c r="I829" s="34"/>
      <c r="L829" s="34"/>
      <c r="M829" s="34"/>
      <c r="N829" s="35"/>
      <c r="O829" s="35"/>
      <c r="P829" s="35"/>
      <c r="Q829" s="35"/>
      <c r="R829" s="35"/>
      <c r="S829" s="35"/>
      <c r="T829" s="35"/>
    </row>
    <row r="830">
      <c r="F830" s="34"/>
      <c r="G830" s="34"/>
      <c r="H830" s="34"/>
      <c r="I830" s="34"/>
      <c r="L830" s="34"/>
      <c r="M830" s="34"/>
      <c r="N830" s="35"/>
      <c r="O830" s="35"/>
      <c r="P830" s="35"/>
      <c r="Q830" s="35"/>
      <c r="R830" s="35"/>
      <c r="S830" s="35"/>
      <c r="T830" s="35"/>
    </row>
    <row r="831">
      <c r="F831" s="34"/>
      <c r="G831" s="34"/>
      <c r="H831" s="34"/>
      <c r="I831" s="34"/>
      <c r="L831" s="34"/>
      <c r="M831" s="34"/>
      <c r="N831" s="35"/>
      <c r="O831" s="35"/>
      <c r="P831" s="35"/>
      <c r="Q831" s="35"/>
      <c r="R831" s="35"/>
      <c r="S831" s="35"/>
      <c r="T831" s="35"/>
    </row>
    <row r="832">
      <c r="F832" s="34"/>
      <c r="G832" s="34"/>
      <c r="H832" s="34"/>
      <c r="I832" s="34"/>
      <c r="L832" s="34"/>
      <c r="M832" s="34"/>
      <c r="N832" s="35"/>
      <c r="O832" s="35"/>
      <c r="P832" s="35"/>
      <c r="Q832" s="35"/>
      <c r="R832" s="35"/>
      <c r="S832" s="35"/>
      <c r="T832" s="35"/>
    </row>
    <row r="833">
      <c r="F833" s="34"/>
      <c r="G833" s="34"/>
      <c r="H833" s="34"/>
      <c r="I833" s="34"/>
      <c r="L833" s="34"/>
      <c r="M833" s="34"/>
      <c r="N833" s="35"/>
      <c r="O833" s="35"/>
      <c r="P833" s="35"/>
      <c r="Q833" s="35"/>
      <c r="R833" s="35"/>
      <c r="S833" s="35"/>
      <c r="T833" s="35"/>
    </row>
    <row r="834">
      <c r="F834" s="34"/>
      <c r="G834" s="34"/>
      <c r="H834" s="34"/>
      <c r="I834" s="34"/>
      <c r="L834" s="34"/>
      <c r="M834" s="34"/>
      <c r="N834" s="35"/>
      <c r="O834" s="35"/>
      <c r="P834" s="35"/>
      <c r="Q834" s="35"/>
      <c r="R834" s="35"/>
      <c r="S834" s="35"/>
      <c r="T834" s="35"/>
    </row>
    <row r="835">
      <c r="F835" s="34"/>
      <c r="G835" s="34"/>
      <c r="H835" s="34"/>
      <c r="I835" s="34"/>
      <c r="L835" s="34"/>
      <c r="M835" s="34"/>
      <c r="N835" s="35"/>
      <c r="O835" s="35"/>
      <c r="P835" s="35"/>
      <c r="Q835" s="35"/>
      <c r="R835" s="35"/>
      <c r="S835" s="35"/>
      <c r="T835" s="35"/>
    </row>
    <row r="836">
      <c r="F836" s="34"/>
      <c r="G836" s="34"/>
      <c r="H836" s="34"/>
      <c r="I836" s="34"/>
      <c r="L836" s="34"/>
      <c r="M836" s="34"/>
      <c r="N836" s="35"/>
      <c r="O836" s="35"/>
      <c r="P836" s="35"/>
      <c r="Q836" s="35"/>
      <c r="R836" s="35"/>
      <c r="S836" s="35"/>
      <c r="T836" s="35"/>
    </row>
    <row r="837">
      <c r="F837" s="34"/>
      <c r="G837" s="34"/>
      <c r="H837" s="34"/>
      <c r="I837" s="34"/>
      <c r="L837" s="34"/>
      <c r="M837" s="34"/>
      <c r="N837" s="35"/>
      <c r="O837" s="35"/>
      <c r="P837" s="35"/>
      <c r="Q837" s="35"/>
      <c r="R837" s="35"/>
      <c r="S837" s="35"/>
      <c r="T837" s="35"/>
    </row>
    <row r="838">
      <c r="F838" s="34"/>
      <c r="G838" s="34"/>
      <c r="H838" s="34"/>
      <c r="I838" s="34"/>
      <c r="L838" s="34"/>
      <c r="M838" s="34"/>
      <c r="N838" s="35"/>
      <c r="O838" s="35"/>
      <c r="P838" s="35"/>
      <c r="Q838" s="35"/>
      <c r="R838" s="35"/>
      <c r="S838" s="35"/>
      <c r="T838" s="35"/>
    </row>
    <row r="839">
      <c r="F839" s="34"/>
      <c r="G839" s="34"/>
      <c r="H839" s="34"/>
      <c r="I839" s="34"/>
      <c r="L839" s="34"/>
      <c r="M839" s="34"/>
      <c r="N839" s="35"/>
      <c r="O839" s="35"/>
      <c r="P839" s="35"/>
      <c r="Q839" s="35"/>
      <c r="R839" s="35"/>
      <c r="S839" s="35"/>
      <c r="T839" s="35"/>
    </row>
    <row r="840">
      <c r="F840" s="34"/>
      <c r="G840" s="34"/>
      <c r="H840" s="34"/>
      <c r="I840" s="34"/>
      <c r="L840" s="34"/>
      <c r="M840" s="34"/>
      <c r="N840" s="35"/>
      <c r="O840" s="35"/>
      <c r="P840" s="35"/>
      <c r="Q840" s="35"/>
      <c r="R840" s="35"/>
      <c r="S840" s="35"/>
      <c r="T840" s="35"/>
    </row>
    <row r="841">
      <c r="F841" s="34"/>
      <c r="G841" s="34"/>
      <c r="H841" s="34"/>
      <c r="I841" s="34"/>
      <c r="L841" s="34"/>
      <c r="M841" s="34"/>
      <c r="N841" s="35"/>
      <c r="O841" s="35"/>
      <c r="P841" s="35"/>
      <c r="Q841" s="35"/>
      <c r="R841" s="35"/>
      <c r="S841" s="35"/>
      <c r="T841" s="35"/>
    </row>
    <row r="842">
      <c r="F842" s="34"/>
      <c r="G842" s="34"/>
      <c r="H842" s="34"/>
      <c r="I842" s="34"/>
      <c r="L842" s="34"/>
      <c r="M842" s="34"/>
      <c r="N842" s="35"/>
      <c r="O842" s="35"/>
      <c r="P842" s="35"/>
      <c r="Q842" s="35"/>
      <c r="R842" s="35"/>
      <c r="S842" s="35"/>
      <c r="T842" s="35"/>
    </row>
    <row r="843">
      <c r="F843" s="34"/>
      <c r="G843" s="34"/>
      <c r="H843" s="34"/>
      <c r="I843" s="34"/>
      <c r="L843" s="34"/>
      <c r="M843" s="34"/>
      <c r="N843" s="35"/>
      <c r="O843" s="35"/>
      <c r="P843" s="35"/>
      <c r="Q843" s="35"/>
      <c r="R843" s="35"/>
      <c r="S843" s="35"/>
      <c r="T843" s="35"/>
    </row>
    <row r="844">
      <c r="F844" s="34"/>
      <c r="G844" s="34"/>
      <c r="H844" s="34"/>
      <c r="I844" s="34"/>
      <c r="L844" s="34"/>
      <c r="M844" s="34"/>
      <c r="N844" s="35"/>
      <c r="O844" s="35"/>
      <c r="P844" s="35"/>
      <c r="Q844" s="35"/>
      <c r="R844" s="35"/>
      <c r="S844" s="35"/>
      <c r="T844" s="35"/>
    </row>
    <row r="845">
      <c r="F845" s="34"/>
      <c r="G845" s="34"/>
      <c r="H845" s="34"/>
      <c r="I845" s="34"/>
      <c r="L845" s="34"/>
      <c r="M845" s="34"/>
      <c r="N845" s="35"/>
      <c r="O845" s="35"/>
      <c r="P845" s="35"/>
      <c r="Q845" s="35"/>
      <c r="R845" s="35"/>
      <c r="S845" s="35"/>
      <c r="T845" s="35"/>
    </row>
    <row r="846">
      <c r="F846" s="34"/>
      <c r="G846" s="34"/>
      <c r="H846" s="34"/>
      <c r="I846" s="34"/>
      <c r="L846" s="34"/>
      <c r="M846" s="34"/>
      <c r="N846" s="35"/>
      <c r="O846" s="35"/>
      <c r="P846" s="35"/>
      <c r="Q846" s="35"/>
      <c r="R846" s="35"/>
      <c r="S846" s="35"/>
      <c r="T846" s="35"/>
    </row>
    <row r="847">
      <c r="F847" s="34"/>
      <c r="G847" s="34"/>
      <c r="H847" s="34"/>
      <c r="I847" s="34"/>
      <c r="L847" s="34"/>
      <c r="M847" s="34"/>
      <c r="N847" s="35"/>
      <c r="O847" s="35"/>
      <c r="P847" s="35"/>
      <c r="Q847" s="35"/>
      <c r="R847" s="35"/>
      <c r="S847" s="35"/>
      <c r="T847" s="35"/>
    </row>
    <row r="848">
      <c r="F848" s="34"/>
      <c r="G848" s="34"/>
      <c r="H848" s="34"/>
      <c r="I848" s="34"/>
      <c r="L848" s="34"/>
      <c r="M848" s="34"/>
      <c r="N848" s="35"/>
      <c r="O848" s="35"/>
      <c r="P848" s="35"/>
      <c r="Q848" s="35"/>
      <c r="R848" s="35"/>
      <c r="S848" s="35"/>
      <c r="T848" s="35"/>
    </row>
    <row r="849">
      <c r="F849" s="34"/>
      <c r="G849" s="34"/>
      <c r="H849" s="34"/>
      <c r="I849" s="34"/>
      <c r="L849" s="34"/>
      <c r="M849" s="34"/>
      <c r="N849" s="35"/>
      <c r="O849" s="35"/>
      <c r="P849" s="35"/>
      <c r="Q849" s="35"/>
      <c r="R849" s="35"/>
      <c r="S849" s="35"/>
      <c r="T849" s="35"/>
    </row>
    <row r="850">
      <c r="F850" s="34"/>
      <c r="G850" s="34"/>
      <c r="H850" s="34"/>
      <c r="I850" s="34"/>
      <c r="L850" s="34"/>
      <c r="M850" s="34"/>
      <c r="N850" s="35"/>
      <c r="O850" s="35"/>
      <c r="P850" s="35"/>
      <c r="Q850" s="35"/>
      <c r="R850" s="35"/>
      <c r="S850" s="35"/>
      <c r="T850" s="35"/>
    </row>
    <row r="851">
      <c r="F851" s="34"/>
      <c r="G851" s="34"/>
      <c r="H851" s="34"/>
      <c r="I851" s="34"/>
      <c r="L851" s="34"/>
      <c r="M851" s="34"/>
      <c r="N851" s="35"/>
      <c r="O851" s="35"/>
      <c r="P851" s="35"/>
      <c r="Q851" s="35"/>
      <c r="R851" s="35"/>
      <c r="S851" s="35"/>
      <c r="T851" s="35"/>
    </row>
    <row r="852">
      <c r="F852" s="34"/>
      <c r="G852" s="34"/>
      <c r="H852" s="34"/>
      <c r="I852" s="34"/>
      <c r="L852" s="34"/>
      <c r="M852" s="34"/>
      <c r="N852" s="35"/>
      <c r="O852" s="35"/>
      <c r="P852" s="35"/>
      <c r="Q852" s="35"/>
      <c r="R852" s="35"/>
      <c r="S852" s="35"/>
      <c r="T852" s="35"/>
    </row>
    <row r="853">
      <c r="F853" s="34"/>
      <c r="G853" s="34"/>
      <c r="H853" s="34"/>
      <c r="I853" s="34"/>
      <c r="L853" s="34"/>
      <c r="M853" s="34"/>
      <c r="N853" s="35"/>
      <c r="O853" s="35"/>
      <c r="P853" s="35"/>
      <c r="Q853" s="35"/>
      <c r="R853" s="35"/>
      <c r="S853" s="35"/>
      <c r="T853" s="35"/>
    </row>
    <row r="854">
      <c r="F854" s="34"/>
      <c r="G854" s="34"/>
      <c r="H854" s="34"/>
      <c r="I854" s="34"/>
      <c r="L854" s="34"/>
      <c r="M854" s="34"/>
      <c r="N854" s="35"/>
      <c r="O854" s="35"/>
      <c r="P854" s="35"/>
      <c r="Q854" s="35"/>
      <c r="R854" s="35"/>
      <c r="S854" s="35"/>
      <c r="T854" s="35"/>
    </row>
    <row r="855">
      <c r="F855" s="34"/>
      <c r="G855" s="34"/>
      <c r="H855" s="34"/>
      <c r="I855" s="34"/>
      <c r="L855" s="34"/>
      <c r="M855" s="34"/>
      <c r="N855" s="35"/>
      <c r="O855" s="35"/>
      <c r="P855" s="35"/>
      <c r="Q855" s="35"/>
      <c r="R855" s="35"/>
      <c r="S855" s="35"/>
      <c r="T855" s="35"/>
    </row>
    <row r="856">
      <c r="F856" s="34"/>
      <c r="G856" s="34"/>
      <c r="H856" s="34"/>
      <c r="I856" s="34"/>
      <c r="L856" s="34"/>
      <c r="M856" s="34"/>
      <c r="N856" s="35"/>
      <c r="O856" s="35"/>
      <c r="P856" s="35"/>
      <c r="Q856" s="35"/>
      <c r="R856" s="35"/>
      <c r="S856" s="35"/>
      <c r="T856" s="35"/>
    </row>
    <row r="857">
      <c r="F857" s="34"/>
      <c r="G857" s="34"/>
      <c r="H857" s="34"/>
      <c r="I857" s="34"/>
      <c r="L857" s="34"/>
      <c r="M857" s="34"/>
      <c r="N857" s="35"/>
      <c r="O857" s="35"/>
      <c r="P857" s="35"/>
      <c r="Q857" s="35"/>
      <c r="R857" s="35"/>
      <c r="S857" s="35"/>
      <c r="T857" s="35"/>
    </row>
    <row r="858">
      <c r="F858" s="34"/>
      <c r="G858" s="34"/>
      <c r="H858" s="34"/>
      <c r="I858" s="34"/>
      <c r="L858" s="34"/>
      <c r="M858" s="34"/>
      <c r="N858" s="35"/>
      <c r="O858" s="35"/>
      <c r="P858" s="35"/>
      <c r="Q858" s="35"/>
      <c r="R858" s="35"/>
      <c r="S858" s="35"/>
      <c r="T858" s="35"/>
    </row>
    <row r="859">
      <c r="F859" s="34"/>
      <c r="G859" s="34"/>
      <c r="H859" s="34"/>
      <c r="I859" s="34"/>
      <c r="L859" s="34"/>
      <c r="M859" s="34"/>
      <c r="N859" s="35"/>
      <c r="O859" s="35"/>
      <c r="P859" s="35"/>
      <c r="Q859" s="35"/>
      <c r="R859" s="35"/>
      <c r="S859" s="35"/>
      <c r="T859" s="35"/>
    </row>
    <row r="860">
      <c r="F860" s="34"/>
      <c r="G860" s="34"/>
      <c r="H860" s="34"/>
      <c r="I860" s="34"/>
      <c r="L860" s="34"/>
      <c r="M860" s="34"/>
      <c r="N860" s="35"/>
      <c r="O860" s="35"/>
      <c r="P860" s="35"/>
      <c r="Q860" s="35"/>
      <c r="R860" s="35"/>
      <c r="S860" s="35"/>
      <c r="T860" s="35"/>
    </row>
    <row r="861">
      <c r="F861" s="34"/>
      <c r="G861" s="34"/>
      <c r="H861" s="34"/>
      <c r="I861" s="34"/>
      <c r="L861" s="34"/>
      <c r="M861" s="34"/>
      <c r="N861" s="35"/>
      <c r="O861" s="35"/>
      <c r="P861" s="35"/>
      <c r="Q861" s="35"/>
      <c r="R861" s="35"/>
      <c r="S861" s="35"/>
      <c r="T861" s="35"/>
    </row>
    <row r="862">
      <c r="F862" s="34"/>
      <c r="G862" s="34"/>
      <c r="H862" s="34"/>
      <c r="I862" s="34"/>
      <c r="L862" s="34"/>
      <c r="M862" s="34"/>
      <c r="N862" s="35"/>
      <c r="O862" s="35"/>
      <c r="P862" s="35"/>
      <c r="Q862" s="35"/>
      <c r="R862" s="35"/>
      <c r="S862" s="35"/>
      <c r="T862" s="35"/>
    </row>
    <row r="863">
      <c r="F863" s="34"/>
      <c r="G863" s="34"/>
      <c r="H863" s="34"/>
      <c r="I863" s="34"/>
      <c r="L863" s="34"/>
      <c r="M863" s="34"/>
      <c r="N863" s="35"/>
      <c r="O863" s="35"/>
      <c r="P863" s="35"/>
      <c r="Q863" s="35"/>
      <c r="R863" s="35"/>
      <c r="S863" s="35"/>
      <c r="T863" s="35"/>
    </row>
    <row r="864">
      <c r="F864" s="34"/>
      <c r="G864" s="34"/>
      <c r="H864" s="34"/>
      <c r="I864" s="34"/>
      <c r="L864" s="34"/>
      <c r="M864" s="34"/>
      <c r="N864" s="35"/>
      <c r="O864" s="35"/>
      <c r="P864" s="35"/>
      <c r="Q864" s="35"/>
      <c r="R864" s="35"/>
      <c r="S864" s="35"/>
      <c r="T864" s="35"/>
    </row>
    <row r="865">
      <c r="F865" s="34"/>
      <c r="G865" s="34"/>
      <c r="H865" s="34"/>
      <c r="I865" s="34"/>
      <c r="L865" s="34"/>
      <c r="M865" s="34"/>
      <c r="N865" s="35"/>
      <c r="O865" s="35"/>
      <c r="P865" s="35"/>
      <c r="Q865" s="35"/>
      <c r="R865" s="35"/>
      <c r="S865" s="35"/>
      <c r="T865" s="35"/>
    </row>
    <row r="866">
      <c r="F866" s="34"/>
      <c r="G866" s="34"/>
      <c r="H866" s="34"/>
      <c r="I866" s="34"/>
      <c r="L866" s="34"/>
      <c r="M866" s="34"/>
      <c r="N866" s="35"/>
      <c r="O866" s="35"/>
      <c r="P866" s="35"/>
      <c r="Q866" s="35"/>
      <c r="R866" s="35"/>
      <c r="S866" s="35"/>
      <c r="T866" s="35"/>
    </row>
    <row r="867">
      <c r="F867" s="34"/>
      <c r="G867" s="34"/>
      <c r="H867" s="34"/>
      <c r="I867" s="34"/>
      <c r="L867" s="34"/>
      <c r="M867" s="34"/>
      <c r="N867" s="35"/>
      <c r="O867" s="35"/>
      <c r="P867" s="35"/>
      <c r="Q867" s="35"/>
      <c r="R867" s="35"/>
      <c r="S867" s="35"/>
      <c r="T867" s="35"/>
    </row>
    <row r="868">
      <c r="F868" s="34"/>
      <c r="G868" s="34"/>
      <c r="H868" s="34"/>
      <c r="I868" s="34"/>
      <c r="L868" s="34"/>
      <c r="M868" s="34"/>
      <c r="N868" s="35"/>
      <c r="O868" s="35"/>
      <c r="P868" s="35"/>
      <c r="Q868" s="35"/>
      <c r="R868" s="35"/>
      <c r="S868" s="35"/>
      <c r="T868" s="35"/>
    </row>
    <row r="869">
      <c r="F869" s="34"/>
      <c r="G869" s="34"/>
      <c r="H869" s="34"/>
      <c r="I869" s="34"/>
      <c r="L869" s="34"/>
      <c r="M869" s="34"/>
      <c r="N869" s="35"/>
      <c r="O869" s="35"/>
      <c r="P869" s="35"/>
      <c r="Q869" s="35"/>
      <c r="R869" s="35"/>
      <c r="S869" s="35"/>
      <c r="T869" s="35"/>
    </row>
    <row r="870">
      <c r="F870" s="34"/>
      <c r="G870" s="34"/>
      <c r="H870" s="34"/>
      <c r="I870" s="34"/>
      <c r="L870" s="34"/>
      <c r="M870" s="34"/>
      <c r="N870" s="35"/>
      <c r="O870" s="35"/>
      <c r="P870" s="35"/>
      <c r="Q870" s="35"/>
      <c r="R870" s="35"/>
      <c r="S870" s="35"/>
      <c r="T870" s="35"/>
    </row>
    <row r="871">
      <c r="F871" s="34"/>
      <c r="G871" s="34"/>
      <c r="H871" s="34"/>
      <c r="I871" s="34"/>
      <c r="L871" s="34"/>
      <c r="M871" s="34"/>
      <c r="N871" s="35"/>
      <c r="O871" s="35"/>
      <c r="P871" s="35"/>
      <c r="Q871" s="35"/>
      <c r="R871" s="35"/>
      <c r="S871" s="35"/>
      <c r="T871" s="35"/>
    </row>
    <row r="872">
      <c r="F872" s="34"/>
      <c r="G872" s="34"/>
      <c r="H872" s="34"/>
      <c r="I872" s="34"/>
      <c r="L872" s="34"/>
      <c r="M872" s="34"/>
      <c r="N872" s="35"/>
      <c r="O872" s="35"/>
      <c r="P872" s="35"/>
      <c r="Q872" s="35"/>
      <c r="R872" s="35"/>
      <c r="S872" s="35"/>
      <c r="T872" s="35"/>
    </row>
    <row r="873">
      <c r="F873" s="34"/>
      <c r="G873" s="34"/>
      <c r="H873" s="34"/>
      <c r="I873" s="34"/>
      <c r="L873" s="34"/>
      <c r="M873" s="34"/>
      <c r="N873" s="35"/>
      <c r="O873" s="35"/>
      <c r="P873" s="35"/>
      <c r="Q873" s="35"/>
      <c r="R873" s="35"/>
      <c r="S873" s="35"/>
      <c r="T873" s="35"/>
    </row>
    <row r="874">
      <c r="F874" s="34"/>
      <c r="G874" s="34"/>
      <c r="H874" s="34"/>
      <c r="I874" s="34"/>
      <c r="L874" s="34"/>
      <c r="M874" s="34"/>
      <c r="N874" s="35"/>
      <c r="O874" s="35"/>
      <c r="P874" s="35"/>
      <c r="Q874" s="35"/>
      <c r="R874" s="35"/>
      <c r="S874" s="35"/>
      <c r="T874" s="35"/>
    </row>
    <row r="875">
      <c r="F875" s="34"/>
      <c r="G875" s="34"/>
      <c r="H875" s="34"/>
      <c r="I875" s="34"/>
      <c r="L875" s="34"/>
      <c r="M875" s="34"/>
      <c r="N875" s="35"/>
      <c r="O875" s="35"/>
      <c r="P875" s="35"/>
      <c r="Q875" s="35"/>
      <c r="R875" s="35"/>
      <c r="S875" s="35"/>
      <c r="T875" s="35"/>
    </row>
    <row r="876">
      <c r="F876" s="34"/>
      <c r="G876" s="34"/>
      <c r="H876" s="34"/>
      <c r="I876" s="34"/>
      <c r="L876" s="34"/>
      <c r="M876" s="34"/>
      <c r="N876" s="35"/>
      <c r="O876" s="35"/>
      <c r="P876" s="35"/>
      <c r="Q876" s="35"/>
      <c r="R876" s="35"/>
      <c r="S876" s="35"/>
      <c r="T876" s="35"/>
    </row>
    <row r="877">
      <c r="F877" s="34"/>
      <c r="G877" s="34"/>
      <c r="H877" s="34"/>
      <c r="I877" s="34"/>
      <c r="L877" s="34"/>
      <c r="M877" s="34"/>
      <c r="N877" s="35"/>
      <c r="O877" s="35"/>
      <c r="P877" s="35"/>
      <c r="Q877" s="35"/>
      <c r="R877" s="35"/>
      <c r="S877" s="35"/>
      <c r="T877" s="35"/>
    </row>
    <row r="878">
      <c r="F878" s="34"/>
      <c r="G878" s="34"/>
      <c r="H878" s="34"/>
      <c r="I878" s="34"/>
      <c r="L878" s="34"/>
      <c r="M878" s="34"/>
      <c r="N878" s="35"/>
      <c r="O878" s="35"/>
      <c r="P878" s="35"/>
      <c r="Q878" s="35"/>
      <c r="R878" s="35"/>
      <c r="S878" s="35"/>
      <c r="T878" s="35"/>
    </row>
    <row r="879">
      <c r="F879" s="34"/>
      <c r="G879" s="34"/>
      <c r="H879" s="34"/>
      <c r="I879" s="34"/>
      <c r="L879" s="34"/>
      <c r="M879" s="34"/>
      <c r="N879" s="35"/>
      <c r="O879" s="35"/>
      <c r="P879" s="35"/>
      <c r="Q879" s="35"/>
      <c r="R879" s="35"/>
      <c r="S879" s="35"/>
      <c r="T879" s="35"/>
    </row>
    <row r="880">
      <c r="F880" s="34"/>
      <c r="G880" s="34"/>
      <c r="H880" s="34"/>
      <c r="I880" s="34"/>
      <c r="L880" s="34"/>
      <c r="M880" s="34"/>
      <c r="N880" s="35"/>
      <c r="O880" s="35"/>
      <c r="P880" s="35"/>
      <c r="Q880" s="35"/>
      <c r="R880" s="35"/>
      <c r="S880" s="35"/>
      <c r="T880" s="35"/>
    </row>
    <row r="881">
      <c r="F881" s="34"/>
      <c r="G881" s="34"/>
      <c r="H881" s="34"/>
      <c r="I881" s="34"/>
      <c r="L881" s="34"/>
      <c r="M881" s="34"/>
      <c r="N881" s="35"/>
      <c r="O881" s="35"/>
      <c r="P881" s="35"/>
      <c r="Q881" s="35"/>
      <c r="R881" s="35"/>
      <c r="S881" s="35"/>
      <c r="T881" s="35"/>
    </row>
    <row r="882">
      <c r="F882" s="34"/>
      <c r="G882" s="34"/>
      <c r="H882" s="34"/>
      <c r="I882" s="34"/>
      <c r="L882" s="34"/>
      <c r="M882" s="34"/>
      <c r="N882" s="35"/>
      <c r="O882" s="35"/>
      <c r="P882" s="35"/>
      <c r="Q882" s="35"/>
      <c r="R882" s="35"/>
      <c r="S882" s="35"/>
      <c r="T882" s="35"/>
    </row>
    <row r="883">
      <c r="F883" s="34"/>
      <c r="G883" s="34"/>
      <c r="H883" s="34"/>
      <c r="I883" s="34"/>
      <c r="L883" s="34"/>
      <c r="M883" s="34"/>
      <c r="N883" s="35"/>
      <c r="O883" s="35"/>
      <c r="P883" s="35"/>
      <c r="Q883" s="35"/>
      <c r="R883" s="35"/>
      <c r="S883" s="35"/>
      <c r="T883" s="35"/>
    </row>
    <row r="884">
      <c r="F884" s="34"/>
      <c r="G884" s="34"/>
      <c r="H884" s="34"/>
      <c r="I884" s="34"/>
      <c r="L884" s="34"/>
      <c r="M884" s="34"/>
      <c r="N884" s="35"/>
      <c r="O884" s="35"/>
      <c r="P884" s="35"/>
      <c r="Q884" s="35"/>
      <c r="R884" s="35"/>
      <c r="S884" s="35"/>
      <c r="T884" s="35"/>
    </row>
    <row r="885">
      <c r="F885" s="34"/>
      <c r="G885" s="34"/>
      <c r="H885" s="34"/>
      <c r="I885" s="34"/>
      <c r="L885" s="34"/>
      <c r="M885" s="34"/>
      <c r="N885" s="35"/>
      <c r="O885" s="35"/>
      <c r="P885" s="35"/>
      <c r="Q885" s="35"/>
      <c r="R885" s="35"/>
      <c r="S885" s="35"/>
      <c r="T885" s="35"/>
    </row>
    <row r="886">
      <c r="F886" s="34"/>
      <c r="G886" s="34"/>
      <c r="H886" s="34"/>
      <c r="I886" s="34"/>
      <c r="L886" s="34"/>
      <c r="M886" s="34"/>
      <c r="N886" s="35"/>
      <c r="O886" s="35"/>
      <c r="P886" s="35"/>
      <c r="Q886" s="35"/>
      <c r="R886" s="35"/>
      <c r="S886" s="35"/>
      <c r="T886" s="35"/>
    </row>
    <row r="887">
      <c r="F887" s="34"/>
      <c r="G887" s="34"/>
      <c r="H887" s="34"/>
      <c r="I887" s="34"/>
      <c r="L887" s="34"/>
      <c r="M887" s="34"/>
      <c r="N887" s="35"/>
      <c r="O887" s="35"/>
      <c r="P887" s="35"/>
      <c r="Q887" s="35"/>
      <c r="R887" s="35"/>
      <c r="S887" s="35"/>
      <c r="T887" s="35"/>
    </row>
    <row r="888">
      <c r="F888" s="34"/>
      <c r="G888" s="34"/>
      <c r="H888" s="34"/>
      <c r="I888" s="34"/>
      <c r="L888" s="34"/>
      <c r="M888" s="34"/>
      <c r="N888" s="35"/>
      <c r="O888" s="35"/>
      <c r="P888" s="35"/>
      <c r="Q888" s="35"/>
      <c r="R888" s="35"/>
      <c r="S888" s="35"/>
      <c r="T888" s="35"/>
    </row>
    <row r="889">
      <c r="F889" s="34"/>
      <c r="G889" s="34"/>
      <c r="H889" s="34"/>
      <c r="I889" s="34"/>
      <c r="L889" s="34"/>
      <c r="M889" s="34"/>
      <c r="N889" s="35"/>
      <c r="O889" s="35"/>
      <c r="P889" s="35"/>
      <c r="Q889" s="35"/>
      <c r="R889" s="35"/>
      <c r="S889" s="35"/>
      <c r="T889" s="35"/>
    </row>
    <row r="890">
      <c r="F890" s="34"/>
      <c r="G890" s="34"/>
      <c r="H890" s="34"/>
      <c r="I890" s="34"/>
      <c r="L890" s="34"/>
      <c r="M890" s="34"/>
      <c r="N890" s="35"/>
      <c r="O890" s="35"/>
      <c r="P890" s="35"/>
      <c r="Q890" s="35"/>
      <c r="R890" s="35"/>
      <c r="S890" s="35"/>
      <c r="T890" s="35"/>
    </row>
    <row r="891">
      <c r="F891" s="34"/>
      <c r="G891" s="34"/>
      <c r="H891" s="34"/>
      <c r="I891" s="34"/>
      <c r="L891" s="34"/>
      <c r="M891" s="34"/>
      <c r="N891" s="35"/>
      <c r="O891" s="35"/>
      <c r="P891" s="35"/>
      <c r="Q891" s="35"/>
      <c r="R891" s="35"/>
      <c r="S891" s="35"/>
      <c r="T891" s="35"/>
    </row>
    <row r="892">
      <c r="F892" s="34"/>
      <c r="G892" s="34"/>
      <c r="H892" s="34"/>
      <c r="I892" s="34"/>
      <c r="L892" s="34"/>
      <c r="M892" s="34"/>
      <c r="N892" s="35"/>
      <c r="O892" s="35"/>
      <c r="P892" s="35"/>
      <c r="Q892" s="35"/>
      <c r="R892" s="35"/>
      <c r="S892" s="35"/>
      <c r="T892" s="35"/>
    </row>
    <row r="893">
      <c r="F893" s="34"/>
      <c r="G893" s="34"/>
      <c r="H893" s="34"/>
      <c r="I893" s="34"/>
      <c r="L893" s="34"/>
      <c r="M893" s="34"/>
      <c r="N893" s="35"/>
      <c r="O893" s="35"/>
      <c r="P893" s="35"/>
      <c r="Q893" s="35"/>
      <c r="R893" s="35"/>
      <c r="S893" s="35"/>
      <c r="T893" s="35"/>
    </row>
    <row r="894">
      <c r="F894" s="34"/>
      <c r="G894" s="34"/>
      <c r="H894" s="34"/>
      <c r="I894" s="34"/>
      <c r="L894" s="34"/>
      <c r="M894" s="34"/>
      <c r="N894" s="35"/>
      <c r="O894" s="35"/>
      <c r="P894" s="35"/>
      <c r="Q894" s="35"/>
      <c r="R894" s="35"/>
      <c r="S894" s="35"/>
      <c r="T894" s="35"/>
    </row>
    <row r="895">
      <c r="F895" s="34"/>
      <c r="G895" s="34"/>
      <c r="H895" s="34"/>
      <c r="I895" s="34"/>
      <c r="L895" s="34"/>
      <c r="M895" s="34"/>
      <c r="N895" s="35"/>
      <c r="O895" s="35"/>
      <c r="P895" s="35"/>
      <c r="Q895" s="35"/>
      <c r="R895" s="35"/>
      <c r="S895" s="35"/>
      <c r="T895" s="35"/>
    </row>
    <row r="896">
      <c r="F896" s="34"/>
      <c r="G896" s="34"/>
      <c r="H896" s="34"/>
      <c r="I896" s="34"/>
      <c r="L896" s="34"/>
      <c r="M896" s="34"/>
      <c r="N896" s="35"/>
      <c r="O896" s="35"/>
      <c r="P896" s="35"/>
      <c r="Q896" s="35"/>
      <c r="R896" s="35"/>
      <c r="S896" s="35"/>
      <c r="T896" s="35"/>
    </row>
    <row r="897">
      <c r="F897" s="34"/>
      <c r="G897" s="34"/>
      <c r="H897" s="34"/>
      <c r="I897" s="34"/>
      <c r="L897" s="34"/>
      <c r="M897" s="34"/>
      <c r="N897" s="35"/>
      <c r="O897" s="35"/>
      <c r="P897" s="35"/>
      <c r="Q897" s="35"/>
      <c r="R897" s="35"/>
      <c r="S897" s="35"/>
      <c r="T897" s="35"/>
    </row>
    <row r="898">
      <c r="F898" s="34"/>
      <c r="G898" s="34"/>
      <c r="H898" s="34"/>
      <c r="I898" s="34"/>
      <c r="L898" s="34"/>
      <c r="M898" s="34"/>
      <c r="N898" s="35"/>
      <c r="O898" s="35"/>
      <c r="P898" s="35"/>
      <c r="Q898" s="35"/>
      <c r="R898" s="35"/>
      <c r="S898" s="35"/>
      <c r="T898" s="35"/>
    </row>
    <row r="899">
      <c r="F899" s="34"/>
      <c r="G899" s="34"/>
      <c r="H899" s="34"/>
      <c r="I899" s="34"/>
      <c r="L899" s="34"/>
      <c r="M899" s="34"/>
      <c r="N899" s="35"/>
      <c r="O899" s="35"/>
      <c r="P899" s="35"/>
      <c r="Q899" s="35"/>
      <c r="R899" s="35"/>
      <c r="S899" s="35"/>
      <c r="T899" s="35"/>
    </row>
    <row r="900">
      <c r="F900" s="34"/>
      <c r="G900" s="34"/>
      <c r="H900" s="34"/>
      <c r="I900" s="34"/>
      <c r="L900" s="34"/>
      <c r="M900" s="34"/>
      <c r="N900" s="35"/>
      <c r="O900" s="35"/>
      <c r="P900" s="35"/>
      <c r="Q900" s="35"/>
      <c r="R900" s="35"/>
      <c r="S900" s="35"/>
      <c r="T900" s="35"/>
    </row>
    <row r="901">
      <c r="F901" s="34"/>
      <c r="G901" s="34"/>
      <c r="H901" s="34"/>
      <c r="I901" s="34"/>
      <c r="L901" s="34"/>
      <c r="M901" s="34"/>
      <c r="N901" s="35"/>
      <c r="O901" s="35"/>
      <c r="P901" s="35"/>
      <c r="Q901" s="35"/>
      <c r="R901" s="35"/>
      <c r="S901" s="35"/>
      <c r="T901" s="35"/>
    </row>
    <row r="902">
      <c r="F902" s="34"/>
      <c r="G902" s="34"/>
      <c r="H902" s="34"/>
      <c r="I902" s="34"/>
      <c r="L902" s="34"/>
      <c r="M902" s="34"/>
      <c r="N902" s="35"/>
      <c r="O902" s="35"/>
      <c r="P902" s="35"/>
      <c r="Q902" s="35"/>
      <c r="R902" s="35"/>
      <c r="S902" s="35"/>
      <c r="T902" s="35"/>
    </row>
    <row r="903">
      <c r="F903" s="34"/>
      <c r="G903" s="34"/>
      <c r="H903" s="34"/>
      <c r="I903" s="34"/>
      <c r="L903" s="34"/>
      <c r="M903" s="34"/>
      <c r="N903" s="35"/>
      <c r="O903" s="35"/>
      <c r="P903" s="35"/>
      <c r="Q903" s="35"/>
      <c r="R903" s="35"/>
      <c r="S903" s="35"/>
      <c r="T903" s="35"/>
    </row>
    <row r="904">
      <c r="F904" s="34"/>
      <c r="G904" s="34"/>
      <c r="H904" s="34"/>
      <c r="I904" s="34"/>
      <c r="L904" s="34"/>
      <c r="M904" s="34"/>
      <c r="N904" s="35"/>
      <c r="O904" s="35"/>
      <c r="P904" s="35"/>
      <c r="Q904" s="35"/>
      <c r="R904" s="35"/>
      <c r="S904" s="35"/>
      <c r="T904" s="35"/>
    </row>
    <row r="905">
      <c r="F905" s="34"/>
      <c r="G905" s="34"/>
      <c r="H905" s="34"/>
      <c r="I905" s="34"/>
      <c r="L905" s="34"/>
      <c r="M905" s="34"/>
      <c r="N905" s="35"/>
      <c r="O905" s="35"/>
      <c r="P905" s="35"/>
      <c r="Q905" s="35"/>
      <c r="R905" s="35"/>
      <c r="S905" s="35"/>
      <c r="T905" s="35"/>
    </row>
    <row r="906">
      <c r="F906" s="34"/>
      <c r="G906" s="34"/>
      <c r="H906" s="34"/>
      <c r="I906" s="34"/>
      <c r="L906" s="34"/>
      <c r="M906" s="34"/>
      <c r="N906" s="35"/>
      <c r="O906" s="35"/>
      <c r="P906" s="35"/>
      <c r="Q906" s="35"/>
      <c r="R906" s="35"/>
      <c r="S906" s="35"/>
      <c r="T906" s="35"/>
    </row>
    <row r="907">
      <c r="F907" s="34"/>
      <c r="G907" s="34"/>
      <c r="H907" s="34"/>
      <c r="I907" s="34"/>
      <c r="L907" s="34"/>
      <c r="M907" s="34"/>
      <c r="N907" s="35"/>
      <c r="O907" s="35"/>
      <c r="P907" s="35"/>
      <c r="Q907" s="35"/>
      <c r="R907" s="35"/>
      <c r="S907" s="35"/>
      <c r="T907" s="35"/>
    </row>
    <row r="908">
      <c r="F908" s="34"/>
      <c r="G908" s="34"/>
      <c r="H908" s="34"/>
      <c r="I908" s="34"/>
      <c r="L908" s="34"/>
      <c r="M908" s="34"/>
      <c r="N908" s="35"/>
      <c r="O908" s="35"/>
      <c r="P908" s="35"/>
      <c r="Q908" s="35"/>
      <c r="R908" s="35"/>
      <c r="S908" s="35"/>
      <c r="T908" s="35"/>
    </row>
    <row r="909">
      <c r="F909" s="34"/>
      <c r="G909" s="34"/>
      <c r="H909" s="34"/>
      <c r="I909" s="34"/>
      <c r="L909" s="34"/>
      <c r="M909" s="34"/>
      <c r="N909" s="35"/>
      <c r="O909" s="35"/>
      <c r="P909" s="35"/>
      <c r="Q909" s="35"/>
      <c r="R909" s="35"/>
      <c r="S909" s="35"/>
      <c r="T909" s="35"/>
    </row>
    <row r="910">
      <c r="F910" s="34"/>
      <c r="G910" s="34"/>
      <c r="H910" s="34"/>
      <c r="I910" s="34"/>
      <c r="L910" s="34"/>
      <c r="M910" s="34"/>
      <c r="N910" s="35"/>
      <c r="O910" s="35"/>
      <c r="P910" s="35"/>
      <c r="Q910" s="35"/>
      <c r="R910" s="35"/>
      <c r="S910" s="35"/>
      <c r="T910" s="35"/>
    </row>
    <row r="911">
      <c r="F911" s="34"/>
      <c r="G911" s="34"/>
      <c r="H911" s="34"/>
      <c r="I911" s="34"/>
      <c r="L911" s="34"/>
      <c r="M911" s="34"/>
      <c r="N911" s="35"/>
      <c r="O911" s="35"/>
      <c r="P911" s="35"/>
      <c r="Q911" s="35"/>
      <c r="R911" s="35"/>
      <c r="S911" s="35"/>
      <c r="T911" s="35"/>
    </row>
    <row r="912">
      <c r="F912" s="34"/>
      <c r="G912" s="34"/>
      <c r="H912" s="34"/>
      <c r="I912" s="34"/>
      <c r="L912" s="34"/>
      <c r="M912" s="34"/>
      <c r="N912" s="35"/>
      <c r="O912" s="35"/>
      <c r="P912" s="35"/>
      <c r="Q912" s="35"/>
      <c r="R912" s="35"/>
      <c r="S912" s="35"/>
      <c r="T912" s="35"/>
    </row>
    <row r="913">
      <c r="F913" s="34"/>
      <c r="G913" s="34"/>
      <c r="H913" s="34"/>
      <c r="I913" s="34"/>
      <c r="L913" s="34"/>
      <c r="M913" s="34"/>
      <c r="N913" s="35"/>
      <c r="O913" s="35"/>
      <c r="P913" s="35"/>
      <c r="Q913" s="35"/>
      <c r="R913" s="35"/>
      <c r="S913" s="35"/>
      <c r="T913" s="35"/>
    </row>
    <row r="914">
      <c r="F914" s="34"/>
      <c r="G914" s="34"/>
      <c r="H914" s="34"/>
      <c r="I914" s="34"/>
      <c r="L914" s="34"/>
      <c r="M914" s="34"/>
      <c r="N914" s="35"/>
      <c r="O914" s="35"/>
      <c r="P914" s="35"/>
      <c r="Q914" s="35"/>
      <c r="R914" s="35"/>
      <c r="S914" s="35"/>
      <c r="T914" s="35"/>
    </row>
    <row r="915">
      <c r="F915" s="34"/>
      <c r="G915" s="34"/>
      <c r="H915" s="34"/>
      <c r="I915" s="34"/>
      <c r="L915" s="34"/>
      <c r="M915" s="34"/>
      <c r="N915" s="35"/>
      <c r="O915" s="35"/>
      <c r="P915" s="35"/>
      <c r="Q915" s="35"/>
      <c r="R915" s="35"/>
      <c r="S915" s="35"/>
      <c r="T915" s="35"/>
    </row>
    <row r="916">
      <c r="F916" s="34"/>
      <c r="G916" s="34"/>
      <c r="H916" s="34"/>
      <c r="I916" s="34"/>
      <c r="L916" s="34"/>
      <c r="M916" s="34"/>
      <c r="N916" s="35"/>
      <c r="O916" s="35"/>
      <c r="P916" s="35"/>
      <c r="Q916" s="35"/>
      <c r="R916" s="35"/>
      <c r="S916" s="35"/>
      <c r="T916" s="35"/>
    </row>
    <row r="917">
      <c r="F917" s="34"/>
      <c r="G917" s="34"/>
      <c r="H917" s="34"/>
      <c r="I917" s="34"/>
      <c r="L917" s="34"/>
      <c r="M917" s="34"/>
      <c r="N917" s="35"/>
      <c r="O917" s="35"/>
      <c r="P917" s="35"/>
      <c r="Q917" s="35"/>
      <c r="R917" s="35"/>
      <c r="S917" s="35"/>
      <c r="T917" s="35"/>
    </row>
    <row r="918">
      <c r="F918" s="34"/>
      <c r="G918" s="34"/>
      <c r="H918" s="34"/>
      <c r="I918" s="34"/>
      <c r="L918" s="34"/>
      <c r="M918" s="34"/>
      <c r="N918" s="35"/>
      <c r="O918" s="35"/>
      <c r="P918" s="35"/>
      <c r="Q918" s="35"/>
      <c r="R918" s="35"/>
      <c r="S918" s="35"/>
      <c r="T918" s="35"/>
    </row>
    <row r="919">
      <c r="F919" s="34"/>
      <c r="G919" s="34"/>
      <c r="H919" s="34"/>
      <c r="I919" s="34"/>
      <c r="L919" s="34"/>
      <c r="M919" s="34"/>
      <c r="N919" s="35"/>
      <c r="O919" s="35"/>
      <c r="P919" s="35"/>
      <c r="Q919" s="35"/>
      <c r="R919" s="35"/>
      <c r="S919" s="35"/>
      <c r="T919" s="35"/>
    </row>
    <row r="920">
      <c r="F920" s="34"/>
      <c r="G920" s="34"/>
      <c r="H920" s="34"/>
      <c r="I920" s="34"/>
      <c r="L920" s="34"/>
      <c r="M920" s="34"/>
      <c r="N920" s="35"/>
      <c r="O920" s="35"/>
      <c r="P920" s="35"/>
      <c r="Q920" s="35"/>
      <c r="R920" s="35"/>
      <c r="S920" s="35"/>
      <c r="T920" s="35"/>
    </row>
    <row r="921">
      <c r="F921" s="34"/>
      <c r="G921" s="34"/>
      <c r="H921" s="34"/>
      <c r="I921" s="34"/>
      <c r="L921" s="34"/>
      <c r="M921" s="34"/>
      <c r="N921" s="35"/>
      <c r="O921" s="35"/>
      <c r="P921" s="35"/>
      <c r="Q921" s="35"/>
      <c r="R921" s="35"/>
      <c r="S921" s="35"/>
      <c r="T921" s="35"/>
    </row>
    <row r="922">
      <c r="F922" s="34"/>
      <c r="G922" s="34"/>
      <c r="H922" s="34"/>
      <c r="I922" s="34"/>
      <c r="L922" s="34"/>
      <c r="M922" s="34"/>
      <c r="N922" s="35"/>
      <c r="O922" s="35"/>
      <c r="P922" s="35"/>
      <c r="Q922" s="35"/>
      <c r="R922" s="35"/>
      <c r="S922" s="35"/>
      <c r="T922" s="35"/>
    </row>
    <row r="923">
      <c r="F923" s="34"/>
      <c r="G923" s="34"/>
      <c r="H923" s="34"/>
      <c r="I923" s="34"/>
      <c r="L923" s="34"/>
      <c r="M923" s="34"/>
      <c r="N923" s="35"/>
      <c r="O923" s="35"/>
      <c r="P923" s="35"/>
      <c r="Q923" s="35"/>
      <c r="R923" s="35"/>
      <c r="S923" s="35"/>
      <c r="T923" s="35"/>
    </row>
    <row r="924">
      <c r="F924" s="34"/>
      <c r="G924" s="34"/>
      <c r="H924" s="34"/>
      <c r="I924" s="34"/>
      <c r="L924" s="34"/>
      <c r="M924" s="34"/>
      <c r="N924" s="35"/>
      <c r="O924" s="35"/>
      <c r="P924" s="35"/>
      <c r="Q924" s="35"/>
      <c r="R924" s="35"/>
      <c r="S924" s="35"/>
      <c r="T924" s="35"/>
    </row>
    <row r="925">
      <c r="F925" s="34"/>
      <c r="G925" s="34"/>
      <c r="H925" s="34"/>
      <c r="I925" s="34"/>
      <c r="L925" s="34"/>
      <c r="M925" s="34"/>
      <c r="N925" s="35"/>
      <c r="O925" s="35"/>
      <c r="P925" s="35"/>
      <c r="Q925" s="35"/>
      <c r="R925" s="35"/>
      <c r="S925" s="35"/>
      <c r="T925" s="35"/>
    </row>
    <row r="926">
      <c r="F926" s="34"/>
      <c r="G926" s="34"/>
      <c r="H926" s="34"/>
      <c r="I926" s="34"/>
      <c r="L926" s="34"/>
      <c r="M926" s="34"/>
      <c r="N926" s="35"/>
      <c r="O926" s="35"/>
      <c r="P926" s="35"/>
      <c r="Q926" s="35"/>
      <c r="R926" s="35"/>
      <c r="S926" s="35"/>
      <c r="T926" s="35"/>
    </row>
    <row r="927">
      <c r="F927" s="34"/>
      <c r="G927" s="34"/>
      <c r="H927" s="34"/>
      <c r="I927" s="34"/>
      <c r="L927" s="34"/>
      <c r="M927" s="34"/>
      <c r="N927" s="35"/>
      <c r="O927" s="35"/>
      <c r="P927" s="35"/>
      <c r="Q927" s="35"/>
      <c r="R927" s="35"/>
      <c r="S927" s="35"/>
      <c r="T927" s="35"/>
    </row>
    <row r="928">
      <c r="F928" s="34"/>
      <c r="G928" s="34"/>
      <c r="H928" s="34"/>
      <c r="I928" s="34"/>
      <c r="L928" s="34"/>
      <c r="M928" s="34"/>
      <c r="N928" s="35"/>
      <c r="O928" s="35"/>
      <c r="P928" s="35"/>
      <c r="Q928" s="35"/>
      <c r="R928" s="35"/>
      <c r="S928" s="35"/>
      <c r="T928" s="35"/>
    </row>
    <row r="929">
      <c r="F929" s="34"/>
      <c r="G929" s="34"/>
      <c r="H929" s="34"/>
      <c r="I929" s="34"/>
      <c r="L929" s="34"/>
      <c r="M929" s="34"/>
      <c r="N929" s="35"/>
      <c r="O929" s="35"/>
      <c r="P929" s="35"/>
      <c r="Q929" s="35"/>
      <c r="R929" s="35"/>
      <c r="S929" s="35"/>
      <c r="T929" s="35"/>
    </row>
    <row r="930">
      <c r="F930" s="34"/>
      <c r="G930" s="34"/>
      <c r="H930" s="34"/>
      <c r="I930" s="34"/>
      <c r="L930" s="34"/>
      <c r="M930" s="34"/>
      <c r="N930" s="35"/>
      <c r="O930" s="35"/>
      <c r="P930" s="35"/>
      <c r="Q930" s="35"/>
      <c r="R930" s="35"/>
      <c r="S930" s="35"/>
      <c r="T930" s="35"/>
    </row>
    <row r="931">
      <c r="F931" s="34"/>
      <c r="G931" s="34"/>
      <c r="H931" s="34"/>
      <c r="I931" s="34"/>
      <c r="L931" s="34"/>
      <c r="M931" s="34"/>
      <c r="N931" s="35"/>
      <c r="O931" s="35"/>
      <c r="P931" s="35"/>
      <c r="Q931" s="35"/>
      <c r="R931" s="35"/>
      <c r="S931" s="35"/>
      <c r="T931" s="35"/>
    </row>
    <row r="932">
      <c r="F932" s="34"/>
      <c r="G932" s="34"/>
      <c r="H932" s="34"/>
      <c r="I932" s="34"/>
      <c r="L932" s="34"/>
      <c r="M932" s="34"/>
      <c r="N932" s="35"/>
      <c r="O932" s="35"/>
      <c r="P932" s="35"/>
      <c r="Q932" s="35"/>
      <c r="R932" s="35"/>
      <c r="S932" s="35"/>
      <c r="T932" s="35"/>
    </row>
    <row r="933">
      <c r="F933" s="34"/>
      <c r="G933" s="34"/>
      <c r="H933" s="34"/>
      <c r="I933" s="34"/>
      <c r="L933" s="34"/>
      <c r="M933" s="34"/>
      <c r="N933" s="35"/>
      <c r="O933" s="35"/>
      <c r="P933" s="35"/>
      <c r="Q933" s="35"/>
      <c r="R933" s="35"/>
      <c r="S933" s="35"/>
      <c r="T933" s="35"/>
    </row>
    <row r="934">
      <c r="F934" s="34"/>
      <c r="G934" s="34"/>
      <c r="H934" s="34"/>
      <c r="I934" s="34"/>
      <c r="L934" s="34"/>
      <c r="M934" s="34"/>
      <c r="N934" s="35"/>
      <c r="O934" s="35"/>
      <c r="P934" s="35"/>
      <c r="Q934" s="35"/>
      <c r="R934" s="35"/>
      <c r="S934" s="35"/>
      <c r="T934" s="35"/>
    </row>
    <row r="935">
      <c r="F935" s="34"/>
      <c r="G935" s="34"/>
      <c r="H935" s="34"/>
      <c r="I935" s="34"/>
      <c r="L935" s="34"/>
      <c r="M935" s="34"/>
      <c r="N935" s="35"/>
      <c r="O935" s="35"/>
      <c r="P935" s="35"/>
      <c r="Q935" s="35"/>
      <c r="R935" s="35"/>
      <c r="S935" s="35"/>
      <c r="T935" s="35"/>
    </row>
    <row r="936">
      <c r="F936" s="34"/>
      <c r="G936" s="34"/>
      <c r="H936" s="34"/>
      <c r="I936" s="34"/>
      <c r="L936" s="34"/>
      <c r="M936" s="34"/>
      <c r="N936" s="35"/>
      <c r="O936" s="35"/>
      <c r="P936" s="35"/>
      <c r="Q936" s="35"/>
      <c r="R936" s="35"/>
      <c r="S936" s="35"/>
      <c r="T936" s="35"/>
    </row>
    <row r="937">
      <c r="F937" s="34"/>
      <c r="G937" s="34"/>
      <c r="H937" s="34"/>
      <c r="I937" s="34"/>
      <c r="L937" s="34"/>
      <c r="M937" s="34"/>
      <c r="N937" s="35"/>
      <c r="O937" s="35"/>
      <c r="P937" s="35"/>
      <c r="Q937" s="35"/>
      <c r="R937" s="35"/>
      <c r="S937" s="35"/>
      <c r="T937" s="35"/>
    </row>
    <row r="938">
      <c r="F938" s="34"/>
      <c r="G938" s="34"/>
      <c r="H938" s="34"/>
      <c r="I938" s="34"/>
      <c r="L938" s="34"/>
      <c r="M938" s="34"/>
      <c r="N938" s="35"/>
      <c r="O938" s="35"/>
      <c r="P938" s="35"/>
      <c r="Q938" s="35"/>
      <c r="R938" s="35"/>
      <c r="S938" s="35"/>
      <c r="T938" s="35"/>
    </row>
    <row r="939">
      <c r="F939" s="34"/>
      <c r="G939" s="34"/>
      <c r="H939" s="34"/>
      <c r="I939" s="34"/>
      <c r="L939" s="34"/>
      <c r="M939" s="34"/>
      <c r="N939" s="35"/>
      <c r="O939" s="35"/>
      <c r="P939" s="35"/>
      <c r="Q939" s="35"/>
      <c r="R939" s="35"/>
      <c r="S939" s="35"/>
      <c r="T939" s="35"/>
    </row>
    <row r="940">
      <c r="F940" s="34"/>
      <c r="G940" s="34"/>
      <c r="H940" s="34"/>
      <c r="I940" s="34"/>
      <c r="L940" s="34"/>
      <c r="M940" s="34"/>
      <c r="N940" s="35"/>
      <c r="O940" s="35"/>
      <c r="P940" s="35"/>
      <c r="Q940" s="35"/>
      <c r="R940" s="35"/>
      <c r="S940" s="35"/>
      <c r="T940" s="35"/>
    </row>
    <row r="941">
      <c r="F941" s="34"/>
      <c r="G941" s="34"/>
      <c r="H941" s="34"/>
      <c r="I941" s="34"/>
      <c r="L941" s="34"/>
      <c r="M941" s="34"/>
      <c r="N941" s="35"/>
      <c r="O941" s="35"/>
      <c r="P941" s="35"/>
      <c r="Q941" s="35"/>
      <c r="R941" s="35"/>
      <c r="S941" s="35"/>
      <c r="T941" s="35"/>
    </row>
    <row r="942">
      <c r="F942" s="34"/>
      <c r="G942" s="34"/>
      <c r="H942" s="34"/>
      <c r="I942" s="34"/>
      <c r="L942" s="34"/>
      <c r="M942" s="34"/>
      <c r="N942" s="35"/>
      <c r="O942" s="35"/>
      <c r="P942" s="35"/>
      <c r="Q942" s="35"/>
      <c r="R942" s="35"/>
      <c r="S942" s="35"/>
      <c r="T942" s="35"/>
    </row>
    <row r="943">
      <c r="F943" s="34"/>
      <c r="G943" s="34"/>
      <c r="H943" s="34"/>
      <c r="I943" s="34"/>
      <c r="L943" s="34"/>
      <c r="M943" s="34"/>
      <c r="N943" s="35"/>
      <c r="O943" s="35"/>
      <c r="P943" s="35"/>
      <c r="Q943" s="35"/>
      <c r="R943" s="35"/>
      <c r="S943" s="35"/>
      <c r="T943" s="35"/>
    </row>
    <row r="944">
      <c r="F944" s="34"/>
      <c r="G944" s="34"/>
      <c r="H944" s="34"/>
      <c r="I944" s="34"/>
      <c r="L944" s="34"/>
      <c r="M944" s="34"/>
      <c r="N944" s="35"/>
      <c r="O944" s="35"/>
      <c r="P944" s="35"/>
      <c r="Q944" s="35"/>
      <c r="R944" s="35"/>
      <c r="S944" s="35"/>
      <c r="T944" s="35"/>
    </row>
    <row r="945">
      <c r="F945" s="34"/>
      <c r="G945" s="34"/>
      <c r="H945" s="34"/>
      <c r="I945" s="34"/>
      <c r="L945" s="34"/>
      <c r="M945" s="34"/>
      <c r="N945" s="35"/>
      <c r="O945" s="35"/>
      <c r="P945" s="35"/>
      <c r="Q945" s="35"/>
      <c r="R945" s="35"/>
      <c r="S945" s="35"/>
      <c r="T945" s="35"/>
    </row>
    <row r="946">
      <c r="F946" s="34"/>
      <c r="G946" s="34"/>
      <c r="H946" s="34"/>
      <c r="I946" s="34"/>
      <c r="L946" s="34"/>
      <c r="M946" s="34"/>
      <c r="N946" s="35"/>
      <c r="O946" s="35"/>
      <c r="P946" s="35"/>
      <c r="Q946" s="35"/>
      <c r="R946" s="35"/>
      <c r="S946" s="35"/>
      <c r="T946" s="35"/>
    </row>
    <row r="947">
      <c r="F947" s="34"/>
      <c r="G947" s="34"/>
      <c r="H947" s="34"/>
      <c r="I947" s="34"/>
      <c r="L947" s="34"/>
      <c r="M947" s="34"/>
      <c r="N947" s="35"/>
      <c r="O947" s="35"/>
      <c r="P947" s="35"/>
      <c r="Q947" s="35"/>
      <c r="R947" s="35"/>
      <c r="S947" s="35"/>
      <c r="T947" s="35"/>
    </row>
    <row r="948">
      <c r="F948" s="34"/>
      <c r="G948" s="34"/>
      <c r="H948" s="34"/>
      <c r="I948" s="34"/>
      <c r="L948" s="34"/>
      <c r="M948" s="34"/>
      <c r="N948" s="35"/>
      <c r="O948" s="35"/>
      <c r="P948" s="35"/>
      <c r="Q948" s="35"/>
      <c r="R948" s="35"/>
      <c r="S948" s="35"/>
      <c r="T948" s="35"/>
    </row>
    <row r="949">
      <c r="F949" s="34"/>
      <c r="G949" s="34"/>
      <c r="H949" s="34"/>
      <c r="I949" s="34"/>
      <c r="L949" s="34"/>
      <c r="M949" s="34"/>
      <c r="N949" s="35"/>
      <c r="O949" s="35"/>
      <c r="P949" s="35"/>
      <c r="Q949" s="35"/>
      <c r="R949" s="35"/>
      <c r="S949" s="35"/>
      <c r="T949" s="35"/>
    </row>
    <row r="950">
      <c r="F950" s="34"/>
      <c r="G950" s="34"/>
      <c r="H950" s="34"/>
      <c r="I950" s="34"/>
      <c r="L950" s="34"/>
      <c r="M950" s="34"/>
      <c r="N950" s="35"/>
      <c r="O950" s="35"/>
      <c r="P950" s="35"/>
      <c r="Q950" s="35"/>
      <c r="R950" s="35"/>
      <c r="S950" s="35"/>
      <c r="T950" s="35"/>
    </row>
    <row r="951">
      <c r="F951" s="34"/>
      <c r="G951" s="34"/>
      <c r="H951" s="34"/>
      <c r="I951" s="34"/>
      <c r="L951" s="34"/>
      <c r="M951" s="34"/>
      <c r="N951" s="35"/>
      <c r="O951" s="35"/>
      <c r="P951" s="35"/>
      <c r="Q951" s="35"/>
      <c r="R951" s="35"/>
      <c r="S951" s="35"/>
      <c r="T951" s="35"/>
    </row>
    <row r="952">
      <c r="F952" s="34"/>
      <c r="G952" s="34"/>
      <c r="H952" s="34"/>
      <c r="I952" s="34"/>
      <c r="L952" s="34"/>
      <c r="M952" s="34"/>
      <c r="N952" s="35"/>
      <c r="O952" s="35"/>
      <c r="P952" s="35"/>
      <c r="Q952" s="35"/>
      <c r="R952" s="35"/>
      <c r="S952" s="35"/>
      <c r="T952" s="35"/>
    </row>
    <row r="953">
      <c r="F953" s="34"/>
      <c r="G953" s="34"/>
      <c r="H953" s="34"/>
      <c r="I953" s="34"/>
      <c r="L953" s="34"/>
      <c r="M953" s="34"/>
      <c r="N953" s="35"/>
      <c r="O953" s="35"/>
      <c r="P953" s="35"/>
      <c r="Q953" s="35"/>
      <c r="R953" s="35"/>
      <c r="S953" s="35"/>
      <c r="T953" s="35"/>
    </row>
    <row r="954">
      <c r="F954" s="34"/>
      <c r="G954" s="34"/>
      <c r="H954" s="34"/>
      <c r="I954" s="34"/>
      <c r="L954" s="34"/>
      <c r="M954" s="34"/>
      <c r="N954" s="35"/>
      <c r="O954" s="35"/>
      <c r="P954" s="35"/>
      <c r="Q954" s="35"/>
      <c r="R954" s="35"/>
      <c r="S954" s="35"/>
      <c r="T954" s="35"/>
    </row>
    <row r="955">
      <c r="F955" s="34"/>
      <c r="G955" s="34"/>
      <c r="H955" s="34"/>
      <c r="I955" s="34"/>
      <c r="L955" s="34"/>
      <c r="M955" s="34"/>
      <c r="N955" s="35"/>
      <c r="O955" s="35"/>
      <c r="P955" s="35"/>
      <c r="Q955" s="35"/>
      <c r="R955" s="35"/>
      <c r="S955" s="35"/>
      <c r="T955" s="35"/>
    </row>
    <row r="956">
      <c r="F956" s="34"/>
      <c r="G956" s="34"/>
      <c r="H956" s="34"/>
      <c r="I956" s="34"/>
      <c r="L956" s="34"/>
      <c r="M956" s="34"/>
      <c r="N956" s="35"/>
      <c r="O956" s="35"/>
      <c r="P956" s="35"/>
      <c r="Q956" s="35"/>
      <c r="R956" s="35"/>
      <c r="S956" s="35"/>
      <c r="T956" s="35"/>
    </row>
    <row r="957">
      <c r="F957" s="34"/>
      <c r="G957" s="34"/>
      <c r="H957" s="34"/>
      <c r="I957" s="34"/>
      <c r="L957" s="34"/>
      <c r="M957" s="34"/>
      <c r="N957" s="35"/>
      <c r="O957" s="35"/>
      <c r="P957" s="35"/>
      <c r="Q957" s="35"/>
      <c r="R957" s="35"/>
      <c r="S957" s="35"/>
      <c r="T957" s="35"/>
    </row>
    <row r="958">
      <c r="F958" s="34"/>
      <c r="G958" s="34"/>
      <c r="H958" s="34"/>
      <c r="I958" s="34"/>
      <c r="L958" s="34"/>
      <c r="M958" s="34"/>
      <c r="N958" s="35"/>
      <c r="O958" s="35"/>
      <c r="P958" s="35"/>
      <c r="Q958" s="35"/>
      <c r="R958" s="35"/>
      <c r="S958" s="35"/>
      <c r="T958" s="35"/>
    </row>
    <row r="959">
      <c r="F959" s="34"/>
      <c r="G959" s="34"/>
      <c r="H959" s="34"/>
      <c r="I959" s="34"/>
      <c r="L959" s="34"/>
      <c r="M959" s="34"/>
      <c r="N959" s="35"/>
      <c r="O959" s="35"/>
      <c r="P959" s="35"/>
      <c r="Q959" s="35"/>
      <c r="R959" s="35"/>
      <c r="S959" s="35"/>
      <c r="T959" s="35"/>
    </row>
    <row r="960">
      <c r="F960" s="34"/>
      <c r="G960" s="34"/>
      <c r="H960" s="34"/>
      <c r="I960" s="34"/>
      <c r="L960" s="34"/>
      <c r="M960" s="34"/>
      <c r="N960" s="35"/>
      <c r="O960" s="35"/>
      <c r="P960" s="35"/>
      <c r="Q960" s="35"/>
      <c r="R960" s="35"/>
      <c r="S960" s="35"/>
      <c r="T960" s="35"/>
    </row>
    <row r="961">
      <c r="F961" s="34"/>
      <c r="G961" s="34"/>
      <c r="H961" s="34"/>
      <c r="I961" s="34"/>
      <c r="L961" s="34"/>
      <c r="M961" s="34"/>
      <c r="N961" s="35"/>
      <c r="O961" s="35"/>
      <c r="P961" s="35"/>
      <c r="Q961" s="35"/>
      <c r="R961" s="35"/>
      <c r="S961" s="35"/>
      <c r="T961" s="35"/>
    </row>
    <row r="962">
      <c r="F962" s="34"/>
      <c r="G962" s="34"/>
      <c r="H962" s="34"/>
      <c r="I962" s="34"/>
      <c r="L962" s="34"/>
      <c r="M962" s="34"/>
      <c r="N962" s="35"/>
      <c r="O962" s="35"/>
      <c r="P962" s="35"/>
      <c r="Q962" s="35"/>
      <c r="R962" s="35"/>
      <c r="S962" s="35"/>
      <c r="T962" s="35"/>
    </row>
    <row r="963">
      <c r="F963" s="34"/>
      <c r="G963" s="34"/>
      <c r="H963" s="34"/>
      <c r="I963" s="34"/>
      <c r="L963" s="34"/>
      <c r="M963" s="34"/>
      <c r="N963" s="35"/>
      <c r="O963" s="35"/>
      <c r="P963" s="35"/>
      <c r="Q963" s="35"/>
      <c r="R963" s="35"/>
      <c r="S963" s="35"/>
      <c r="T963" s="35"/>
    </row>
    <row r="964">
      <c r="F964" s="34"/>
      <c r="G964" s="34"/>
      <c r="H964" s="34"/>
      <c r="I964" s="34"/>
      <c r="L964" s="34"/>
      <c r="M964" s="34"/>
      <c r="N964" s="35"/>
      <c r="O964" s="35"/>
      <c r="P964" s="35"/>
      <c r="Q964" s="35"/>
      <c r="R964" s="35"/>
      <c r="S964" s="35"/>
      <c r="T964" s="35"/>
    </row>
    <row r="965">
      <c r="F965" s="34"/>
      <c r="G965" s="34"/>
      <c r="H965" s="34"/>
      <c r="I965" s="34"/>
      <c r="L965" s="34"/>
      <c r="M965" s="34"/>
      <c r="N965" s="35"/>
      <c r="O965" s="35"/>
      <c r="P965" s="35"/>
      <c r="Q965" s="35"/>
      <c r="R965" s="35"/>
      <c r="S965" s="35"/>
      <c r="T965" s="35"/>
    </row>
    <row r="966">
      <c r="F966" s="34"/>
      <c r="G966" s="34"/>
      <c r="H966" s="34"/>
      <c r="I966" s="34"/>
      <c r="L966" s="34"/>
      <c r="M966" s="34"/>
      <c r="N966" s="35"/>
      <c r="O966" s="35"/>
      <c r="P966" s="35"/>
      <c r="Q966" s="35"/>
      <c r="R966" s="35"/>
      <c r="S966" s="35"/>
      <c r="T966" s="35"/>
    </row>
    <row r="967">
      <c r="F967" s="34"/>
      <c r="G967" s="34"/>
      <c r="H967" s="34"/>
      <c r="I967" s="34"/>
      <c r="L967" s="34"/>
      <c r="M967" s="34"/>
      <c r="N967" s="35"/>
      <c r="O967" s="35"/>
      <c r="P967" s="35"/>
      <c r="Q967" s="35"/>
      <c r="R967" s="35"/>
      <c r="S967" s="35"/>
      <c r="T967" s="35"/>
    </row>
    <row r="968">
      <c r="F968" s="34"/>
      <c r="G968" s="34"/>
      <c r="H968" s="34"/>
      <c r="I968" s="34"/>
      <c r="L968" s="34"/>
      <c r="M968" s="34"/>
      <c r="N968" s="35"/>
      <c r="O968" s="35"/>
      <c r="P968" s="35"/>
      <c r="Q968" s="35"/>
      <c r="R968" s="35"/>
      <c r="S968" s="35"/>
      <c r="T968" s="35"/>
    </row>
    <row r="969">
      <c r="F969" s="34"/>
      <c r="G969" s="34"/>
      <c r="H969" s="34"/>
      <c r="I969" s="34"/>
      <c r="L969" s="34"/>
      <c r="M969" s="34"/>
      <c r="N969" s="35"/>
      <c r="O969" s="35"/>
      <c r="P969" s="35"/>
      <c r="Q969" s="35"/>
      <c r="R969" s="35"/>
      <c r="S969" s="35"/>
      <c r="T969" s="35"/>
    </row>
    <row r="970">
      <c r="F970" s="34"/>
      <c r="G970" s="34"/>
      <c r="H970" s="34"/>
      <c r="I970" s="34"/>
      <c r="L970" s="34"/>
      <c r="M970" s="34"/>
      <c r="N970" s="35"/>
      <c r="O970" s="35"/>
      <c r="P970" s="35"/>
      <c r="Q970" s="35"/>
      <c r="R970" s="35"/>
      <c r="S970" s="35"/>
      <c r="T970" s="35"/>
    </row>
    <row r="971">
      <c r="F971" s="34"/>
      <c r="G971" s="34"/>
      <c r="H971" s="34"/>
      <c r="I971" s="34"/>
      <c r="L971" s="34"/>
      <c r="M971" s="34"/>
      <c r="N971" s="35"/>
      <c r="O971" s="35"/>
      <c r="P971" s="35"/>
      <c r="Q971" s="35"/>
      <c r="R971" s="35"/>
      <c r="S971" s="35"/>
      <c r="T971" s="35"/>
    </row>
    <row r="972">
      <c r="F972" s="34"/>
      <c r="G972" s="34"/>
      <c r="H972" s="34"/>
      <c r="I972" s="34"/>
      <c r="L972" s="34"/>
      <c r="M972" s="34"/>
      <c r="N972" s="35"/>
      <c r="O972" s="35"/>
      <c r="P972" s="35"/>
      <c r="Q972" s="35"/>
      <c r="R972" s="35"/>
      <c r="S972" s="35"/>
      <c r="T972" s="35"/>
    </row>
    <row r="973">
      <c r="F973" s="34"/>
      <c r="G973" s="34"/>
      <c r="H973" s="34"/>
      <c r="I973" s="34"/>
      <c r="L973" s="34"/>
      <c r="M973" s="34"/>
      <c r="N973" s="35"/>
      <c r="O973" s="35"/>
      <c r="P973" s="35"/>
      <c r="Q973" s="35"/>
      <c r="R973" s="35"/>
      <c r="S973" s="35"/>
      <c r="T973" s="35"/>
    </row>
    <row r="974">
      <c r="F974" s="34"/>
      <c r="G974" s="34"/>
      <c r="H974" s="34"/>
      <c r="I974" s="34"/>
      <c r="L974" s="34"/>
      <c r="M974" s="34"/>
      <c r="N974" s="35"/>
      <c r="O974" s="35"/>
      <c r="P974" s="35"/>
      <c r="Q974" s="35"/>
      <c r="R974" s="35"/>
      <c r="S974" s="35"/>
      <c r="T974" s="35"/>
    </row>
    <row r="975">
      <c r="F975" s="34"/>
      <c r="G975" s="34"/>
      <c r="H975" s="34"/>
      <c r="I975" s="34"/>
      <c r="L975" s="34"/>
      <c r="M975" s="34"/>
      <c r="N975" s="35"/>
      <c r="O975" s="35"/>
      <c r="P975" s="35"/>
      <c r="Q975" s="35"/>
      <c r="R975" s="35"/>
      <c r="S975" s="35"/>
      <c r="T975" s="35"/>
    </row>
    <row r="976">
      <c r="F976" s="34"/>
      <c r="G976" s="34"/>
      <c r="H976" s="34"/>
      <c r="I976" s="34"/>
      <c r="L976" s="34"/>
      <c r="M976" s="34"/>
      <c r="N976" s="35"/>
      <c r="O976" s="35"/>
      <c r="P976" s="35"/>
      <c r="Q976" s="35"/>
      <c r="R976" s="35"/>
      <c r="S976" s="35"/>
      <c r="T976" s="35"/>
    </row>
    <row r="977">
      <c r="F977" s="34"/>
      <c r="G977" s="34"/>
      <c r="H977" s="34"/>
      <c r="I977" s="34"/>
      <c r="L977" s="34"/>
      <c r="M977" s="34"/>
      <c r="N977" s="35"/>
      <c r="O977" s="35"/>
      <c r="P977" s="35"/>
      <c r="Q977" s="35"/>
      <c r="R977" s="35"/>
      <c r="S977" s="35"/>
      <c r="T977" s="35"/>
    </row>
    <row r="978">
      <c r="F978" s="34"/>
      <c r="G978" s="34"/>
      <c r="H978" s="34"/>
      <c r="I978" s="34"/>
      <c r="L978" s="34"/>
      <c r="M978" s="34"/>
      <c r="N978" s="35"/>
      <c r="O978" s="35"/>
      <c r="P978" s="35"/>
      <c r="Q978" s="35"/>
      <c r="R978" s="35"/>
      <c r="S978" s="35"/>
      <c r="T978" s="35"/>
    </row>
    <row r="979">
      <c r="F979" s="34"/>
      <c r="G979" s="34"/>
      <c r="H979" s="34"/>
      <c r="I979" s="34"/>
      <c r="L979" s="34"/>
      <c r="M979" s="34"/>
      <c r="N979" s="35"/>
      <c r="O979" s="35"/>
      <c r="P979" s="35"/>
      <c r="Q979" s="35"/>
      <c r="R979" s="35"/>
      <c r="S979" s="35"/>
      <c r="T979" s="35"/>
    </row>
    <row r="980">
      <c r="F980" s="34"/>
      <c r="G980" s="34"/>
      <c r="H980" s="34"/>
      <c r="I980" s="34"/>
      <c r="L980" s="34"/>
      <c r="M980" s="34"/>
      <c r="N980" s="35"/>
      <c r="O980" s="35"/>
      <c r="P980" s="35"/>
      <c r="Q980" s="35"/>
      <c r="R980" s="35"/>
      <c r="S980" s="35"/>
      <c r="T980" s="35"/>
    </row>
    <row r="981">
      <c r="F981" s="34"/>
      <c r="G981" s="34"/>
      <c r="H981" s="34"/>
      <c r="I981" s="34"/>
      <c r="L981" s="34"/>
      <c r="M981" s="34"/>
      <c r="N981" s="35"/>
      <c r="O981" s="35"/>
      <c r="P981" s="35"/>
      <c r="Q981" s="35"/>
      <c r="R981" s="35"/>
      <c r="S981" s="35"/>
      <c r="T981" s="35"/>
    </row>
    <row r="982">
      <c r="F982" s="34"/>
      <c r="G982" s="34"/>
      <c r="H982" s="34"/>
      <c r="I982" s="34"/>
      <c r="L982" s="34"/>
      <c r="M982" s="34"/>
      <c r="N982" s="35"/>
      <c r="O982" s="35"/>
      <c r="P982" s="35"/>
      <c r="Q982" s="35"/>
      <c r="R982" s="35"/>
      <c r="S982" s="35"/>
      <c r="T982" s="35"/>
    </row>
    <row r="983">
      <c r="F983" s="34"/>
      <c r="G983" s="34"/>
      <c r="H983" s="34"/>
      <c r="I983" s="34"/>
      <c r="L983" s="34"/>
      <c r="M983" s="34"/>
      <c r="N983" s="35"/>
      <c r="O983" s="35"/>
      <c r="P983" s="35"/>
      <c r="Q983" s="35"/>
      <c r="R983" s="35"/>
      <c r="S983" s="35"/>
      <c r="T983" s="35"/>
    </row>
    <row r="984">
      <c r="F984" s="34"/>
      <c r="G984" s="34"/>
      <c r="H984" s="34"/>
      <c r="I984" s="34"/>
      <c r="L984" s="34"/>
      <c r="M984" s="34"/>
      <c r="N984" s="35"/>
      <c r="O984" s="35"/>
      <c r="P984" s="35"/>
      <c r="Q984" s="35"/>
      <c r="R984" s="35"/>
      <c r="S984" s="35"/>
      <c r="T984" s="35"/>
    </row>
    <row r="985">
      <c r="F985" s="34"/>
      <c r="G985" s="34"/>
      <c r="H985" s="34"/>
      <c r="I985" s="34"/>
      <c r="L985" s="34"/>
      <c r="M985" s="34"/>
      <c r="N985" s="35"/>
      <c r="O985" s="35"/>
      <c r="P985" s="35"/>
      <c r="Q985" s="35"/>
      <c r="R985" s="35"/>
      <c r="S985" s="35"/>
      <c r="T985" s="35"/>
    </row>
    <row r="986">
      <c r="F986" s="34"/>
      <c r="G986" s="34"/>
      <c r="H986" s="34"/>
      <c r="I986" s="34"/>
      <c r="L986" s="34"/>
      <c r="M986" s="34"/>
      <c r="N986" s="35"/>
      <c r="O986" s="35"/>
      <c r="P986" s="35"/>
      <c r="Q986" s="35"/>
      <c r="R986" s="35"/>
      <c r="S986" s="35"/>
      <c r="T986" s="35"/>
    </row>
    <row r="987">
      <c r="F987" s="34"/>
      <c r="G987" s="34"/>
      <c r="H987" s="34"/>
      <c r="I987" s="34"/>
      <c r="L987" s="34"/>
      <c r="M987" s="34"/>
      <c r="N987" s="35"/>
      <c r="O987" s="35"/>
      <c r="P987" s="35"/>
      <c r="Q987" s="35"/>
      <c r="R987" s="35"/>
      <c r="S987" s="35"/>
      <c r="T987" s="35"/>
    </row>
    <row r="988">
      <c r="F988" s="34"/>
      <c r="G988" s="34"/>
      <c r="H988" s="34"/>
      <c r="I988" s="34"/>
      <c r="L988" s="34"/>
      <c r="M988" s="34"/>
      <c r="N988" s="35"/>
      <c r="O988" s="35"/>
      <c r="P988" s="35"/>
      <c r="Q988" s="35"/>
      <c r="R988" s="35"/>
      <c r="S988" s="35"/>
      <c r="T988" s="35"/>
    </row>
    <row r="989">
      <c r="F989" s="34"/>
      <c r="G989" s="34"/>
      <c r="H989" s="34"/>
      <c r="I989" s="34"/>
      <c r="L989" s="34"/>
      <c r="M989" s="34"/>
      <c r="N989" s="35"/>
      <c r="O989" s="35"/>
      <c r="P989" s="35"/>
      <c r="Q989" s="35"/>
      <c r="R989" s="35"/>
      <c r="S989" s="35"/>
      <c r="T989" s="35"/>
    </row>
    <row r="990">
      <c r="F990" s="34"/>
      <c r="G990" s="34"/>
      <c r="H990" s="34"/>
      <c r="I990" s="34"/>
      <c r="L990" s="34"/>
      <c r="M990" s="34"/>
      <c r="N990" s="35"/>
      <c r="O990" s="35"/>
      <c r="P990" s="35"/>
      <c r="Q990" s="35"/>
      <c r="R990" s="35"/>
      <c r="S990" s="35"/>
      <c r="T990" s="35"/>
    </row>
    <row r="991">
      <c r="F991" s="34"/>
      <c r="G991" s="34"/>
      <c r="H991" s="34"/>
      <c r="I991" s="34"/>
      <c r="L991" s="34"/>
      <c r="M991" s="34"/>
      <c r="N991" s="35"/>
      <c r="O991" s="35"/>
      <c r="P991" s="35"/>
      <c r="Q991" s="35"/>
      <c r="R991" s="35"/>
      <c r="S991" s="35"/>
      <c r="T991" s="35"/>
    </row>
    <row r="992">
      <c r="F992" s="34"/>
      <c r="G992" s="34"/>
      <c r="H992" s="34"/>
      <c r="I992" s="34"/>
      <c r="L992" s="34"/>
      <c r="M992" s="34"/>
      <c r="N992" s="35"/>
      <c r="O992" s="35"/>
      <c r="P992" s="35"/>
      <c r="Q992" s="35"/>
      <c r="R992" s="35"/>
      <c r="S992" s="35"/>
      <c r="T992" s="35"/>
    </row>
    <row r="993">
      <c r="F993" s="34"/>
      <c r="G993" s="34"/>
      <c r="H993" s="34"/>
      <c r="I993" s="34"/>
      <c r="L993" s="34"/>
      <c r="M993" s="34"/>
      <c r="N993" s="35"/>
      <c r="O993" s="35"/>
      <c r="P993" s="35"/>
      <c r="Q993" s="35"/>
      <c r="R993" s="35"/>
      <c r="S993" s="35"/>
      <c r="T993" s="35"/>
    </row>
    <row r="994">
      <c r="F994" s="34"/>
      <c r="G994" s="34"/>
      <c r="H994" s="34"/>
      <c r="I994" s="34"/>
      <c r="L994" s="34"/>
      <c r="M994" s="34"/>
      <c r="N994" s="35"/>
      <c r="O994" s="35"/>
      <c r="P994" s="35"/>
      <c r="Q994" s="35"/>
      <c r="R994" s="35"/>
      <c r="S994" s="35"/>
      <c r="T994" s="35"/>
    </row>
    <row r="995">
      <c r="F995" s="34"/>
      <c r="G995" s="34"/>
      <c r="H995" s="34"/>
      <c r="I995" s="34"/>
      <c r="L995" s="34"/>
      <c r="M995" s="34"/>
      <c r="N995" s="35"/>
      <c r="O995" s="35"/>
      <c r="P995" s="35"/>
      <c r="Q995" s="35"/>
      <c r="R995" s="35"/>
      <c r="S995" s="35"/>
      <c r="T995" s="35"/>
    </row>
    <row r="996">
      <c r="F996" s="34"/>
      <c r="G996" s="34"/>
      <c r="H996" s="34"/>
      <c r="I996" s="34"/>
      <c r="L996" s="34"/>
      <c r="M996" s="34"/>
      <c r="N996" s="35"/>
      <c r="O996" s="35"/>
      <c r="P996" s="35"/>
      <c r="Q996" s="35"/>
      <c r="R996" s="35"/>
      <c r="S996" s="35"/>
      <c r="T996" s="35"/>
    </row>
    <row r="997">
      <c r="F997" s="34"/>
      <c r="G997" s="34"/>
      <c r="H997" s="34"/>
      <c r="I997" s="34"/>
      <c r="L997" s="34"/>
      <c r="M997" s="34"/>
      <c r="N997" s="35"/>
      <c r="O997" s="35"/>
      <c r="P997" s="35"/>
      <c r="Q997" s="35"/>
      <c r="R997" s="35"/>
      <c r="S997" s="35"/>
      <c r="T997" s="35"/>
    </row>
    <row r="998">
      <c r="F998" s="34"/>
      <c r="G998" s="34"/>
      <c r="H998" s="34"/>
      <c r="I998" s="34"/>
      <c r="L998" s="34"/>
      <c r="M998" s="34"/>
      <c r="N998" s="35"/>
      <c r="O998" s="35"/>
      <c r="P998" s="35"/>
      <c r="Q998" s="35"/>
      <c r="R998" s="35"/>
      <c r="S998" s="35"/>
      <c r="T998" s="35"/>
    </row>
    <row r="999">
      <c r="F999" s="34"/>
      <c r="G999" s="34"/>
      <c r="H999" s="34"/>
      <c r="I999" s="34"/>
      <c r="L999" s="34"/>
      <c r="M999" s="34"/>
      <c r="N999" s="35"/>
      <c r="O999" s="35"/>
      <c r="P999" s="35"/>
      <c r="Q999" s="35"/>
      <c r="R999" s="35"/>
      <c r="S999" s="35"/>
      <c r="T999" s="35"/>
    </row>
    <row r="1000">
      <c r="F1000" s="34"/>
      <c r="G1000" s="34"/>
      <c r="H1000" s="34"/>
      <c r="I1000" s="34"/>
      <c r="L1000" s="34"/>
      <c r="M1000" s="34"/>
      <c r="N1000" s="35"/>
      <c r="O1000" s="35"/>
      <c r="P1000" s="35"/>
      <c r="Q1000" s="35"/>
      <c r="R1000" s="35"/>
      <c r="S1000" s="35"/>
      <c r="T100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3.88"/>
    <col customWidth="1" min="3" max="3" width="14.25"/>
    <col customWidth="1" min="4" max="4" width="14.63"/>
    <col customWidth="1" min="14" max="14" width="13.25"/>
    <col customWidth="1" min="15" max="15" width="11.38"/>
    <col customWidth="1" min="16" max="16" width="16.13"/>
    <col customWidth="1" min="17" max="17" width="12.0"/>
    <col customWidth="1" min="18" max="18" width="16.13"/>
    <col customWidth="1" min="19" max="19" width="12.5"/>
    <col customWidth="1" min="20" max="20" width="16.0"/>
  </cols>
  <sheetData>
    <row r="1">
      <c r="A1" s="2" t="s">
        <v>0</v>
      </c>
      <c r="B1" s="31" t="s">
        <v>19</v>
      </c>
      <c r="C1" s="31" t="s">
        <v>20</v>
      </c>
      <c r="D1" s="31" t="s">
        <v>246</v>
      </c>
      <c r="E1" s="31" t="s">
        <v>247</v>
      </c>
      <c r="F1" s="31" t="s">
        <v>248</v>
      </c>
      <c r="G1" s="31" t="s">
        <v>249</v>
      </c>
      <c r="H1" s="31" t="s">
        <v>250</v>
      </c>
      <c r="I1" s="31" t="s">
        <v>251</v>
      </c>
      <c r="J1" s="31" t="s">
        <v>252</v>
      </c>
      <c r="K1" s="31" t="s">
        <v>253</v>
      </c>
      <c r="L1" s="31" t="s">
        <v>254</v>
      </c>
      <c r="M1" s="31" t="s">
        <v>255</v>
      </c>
      <c r="N1" s="32" t="s">
        <v>256</v>
      </c>
      <c r="O1" s="32" t="s">
        <v>241</v>
      </c>
      <c r="P1" s="32" t="s">
        <v>257</v>
      </c>
      <c r="Q1" s="32" t="s">
        <v>243</v>
      </c>
      <c r="R1" s="32" t="s">
        <v>258</v>
      </c>
      <c r="S1" s="32" t="s">
        <v>245</v>
      </c>
      <c r="T1" s="32" t="s">
        <v>259</v>
      </c>
    </row>
    <row r="2">
      <c r="A2" s="7" t="s">
        <v>24</v>
      </c>
      <c r="B2" s="34">
        <v>1079.2782241835885</v>
      </c>
      <c r="C2" s="34">
        <v>207.09611719083102</v>
      </c>
      <c r="D2" s="34">
        <v>5410.893650132987</v>
      </c>
      <c r="E2" s="34">
        <f>(B2/100000)*'Birth Pop per Year'!C2</f>
        <v>16416.80393</v>
      </c>
      <c r="F2" s="34">
        <f>(C2/100000)*'Birth Pop per Year'!C2</f>
        <v>3150.1204</v>
      </c>
      <c r="G2" s="34">
        <f>(D2/100000)*'Birth Pop per Year'!C2</f>
        <v>82304.61633</v>
      </c>
      <c r="H2" s="34">
        <f>(B2/100000)*'Birth Pop per Year'!G2</f>
        <v>17847.58149</v>
      </c>
      <c r="I2" s="34">
        <f>(C2/100000)*'Birth Pop per Year'!G2</f>
        <v>3424.663581</v>
      </c>
      <c r="J2" s="34">
        <f>(D2/100000)*'Birth Pop per Year'!G2</f>
        <v>89477.72983</v>
      </c>
      <c r="K2" s="34">
        <f>(B2/100000)*'Birth Pop per Year'!K2</f>
        <v>19116.01402</v>
      </c>
      <c r="L2" s="34">
        <f>(C2/100000)*'Birth Pop per Year'!K2</f>
        <v>3668.055363</v>
      </c>
      <c r="M2" s="34">
        <f>(D2/100000)*'Birth Pop per Year'!K2</f>
        <v>95836.9367</v>
      </c>
      <c r="N2" s="39" t="str">
        <f t="shared" ref="N2:N200" si="1">TEXT(ROUND(B2,0),"#,##0") &amp; " (" &amp; TEXT(ROUND(C2,0),"#,##0") &amp; "-" &amp; TEXT(ROUND(D2,0),"#,##0") &amp; ")"</f>
        <v>1,079 (207-5,411)</v>
      </c>
      <c r="O2" s="36">
        <v>1521091.0</v>
      </c>
      <c r="P2" s="39" t="str">
        <f t="shared" ref="P2:P200" si="2">TEXT(ROUND(E2,0),"#,##0") &amp; " (" &amp; TEXT(ROUND(F2,0),"#,##0") &amp; "-" &amp; TEXT(ROUND(G2,0),"#,##0") &amp; ")"</f>
        <v>16,417 (3,150-82,305)</v>
      </c>
      <c r="Q2" s="36">
        <v>1653659.0</v>
      </c>
      <c r="R2" s="39" t="str">
        <f t="shared" ref="R2:R200" si="3">TEXT(ROUND(H2,0),"#,##0") &amp; " (" &amp; TEXT(ROUND(I2,0),"#,##0") &amp; "-" &amp; TEXT(ROUND(J2,0),"#,##0") &amp; ")"</f>
        <v>17,848 (3,425-89,478)</v>
      </c>
      <c r="S2" s="36">
        <v>1771185.0</v>
      </c>
      <c r="T2" s="39" t="str">
        <f t="shared" ref="T2:T200" si="4">TEXT(ROUND(K2,0),"#,##0") &amp; " (" &amp; TEXT(ROUND(L2,0),"#,##0") &amp; "-" &amp; TEXT(ROUND(M2,0),"#,##0") &amp; ")"</f>
        <v>19,116 (3,668-95,837)</v>
      </c>
    </row>
    <row r="3">
      <c r="A3" s="16" t="s">
        <v>30</v>
      </c>
      <c r="B3" s="34">
        <v>342.1946688398715</v>
      </c>
      <c r="C3" s="34">
        <v>235.9317552603218</v>
      </c>
      <c r="D3" s="34">
        <v>501.8230984902083</v>
      </c>
      <c r="E3" s="34">
        <f>(B3/100000)*'Birth Pop per Year'!C3</f>
        <v>2622.182996</v>
      </c>
      <c r="F3" s="34">
        <f>(C3/100000)*'Birth Pop per Year'!C3</f>
        <v>1807.907291</v>
      </c>
      <c r="G3" s="34">
        <f>(D3/100000)*'Birth Pop per Year'!C3</f>
        <v>3845.390112</v>
      </c>
      <c r="H3" s="34">
        <f>(B3/100000)*'Birth Pop per Year'!G3</f>
        <v>2808.076828</v>
      </c>
      <c r="I3" s="34">
        <f>(C3/100000)*'Birth Pop per Year'!G3</f>
        <v>1936.074858</v>
      </c>
      <c r="J3" s="34">
        <f>(D3/100000)*'Birth Pop per Year'!K3</f>
        <v>4303.208343</v>
      </c>
      <c r="K3" s="34">
        <f>(B3/100000)*'Birth Pop per Year'!K3</f>
        <v>2934.370615</v>
      </c>
      <c r="L3" s="34">
        <f>(C3/100000)*'Birth Pop per Year'!K3</f>
        <v>2023.150191</v>
      </c>
      <c r="M3" s="34">
        <f>(D3/100000)*'Birth Pop per Year'!K3</f>
        <v>4303.208343</v>
      </c>
      <c r="N3" s="39" t="str">
        <f t="shared" si="1"/>
        <v>342 (236-502)</v>
      </c>
      <c r="O3" s="40">
        <v>766284.0</v>
      </c>
      <c r="P3" s="39" t="str">
        <f t="shared" si="2"/>
        <v>2,622 (1,808-3,845)</v>
      </c>
      <c r="Q3" s="40">
        <v>820608.0</v>
      </c>
      <c r="R3" s="39" t="str">
        <f t="shared" si="3"/>
        <v>2,808 (1,936-4,303)</v>
      </c>
      <c r="S3" s="40">
        <v>857515.0</v>
      </c>
      <c r="T3" s="39" t="str">
        <f t="shared" si="4"/>
        <v>2,934 (2,023-4,303)</v>
      </c>
    </row>
    <row r="4">
      <c r="A4" s="16" t="s">
        <v>31</v>
      </c>
      <c r="B4" s="34">
        <v>440.9331917379067</v>
      </c>
      <c r="C4" s="34">
        <v>273.1868687941379</v>
      </c>
      <c r="D4" s="34">
        <v>656.6070355227527</v>
      </c>
      <c r="E4" s="34">
        <f>(B4/100000)*'Birth Pop per Year'!C4</f>
        <v>92.71061289</v>
      </c>
      <c r="F4" s="34">
        <f>(C4/100000)*'Birth Pop per Year'!C4</f>
        <v>57.44027103</v>
      </c>
      <c r="G4" s="34">
        <f>(D4/100000)*'Birth Pop per Year'!C4</f>
        <v>138.0581953</v>
      </c>
      <c r="H4" s="34">
        <f>(B4/100000)*'Birth Pop per Year'!G4</f>
        <v>102.9975843</v>
      </c>
      <c r="I4" s="34">
        <f>(C4/100000)*'Birth Pop per Year'!G4</f>
        <v>63.81372068</v>
      </c>
      <c r="J4" s="34">
        <f>(D4/100000)*'Birth Pop per Year'!K4</f>
        <v>159.7065293</v>
      </c>
      <c r="K4" s="34">
        <f>(B4/100000)*'Birth Pop per Year'!K4</f>
        <v>107.2481802</v>
      </c>
      <c r="L4" s="34">
        <f>(C4/100000)*'Birth Pop per Year'!K4</f>
        <v>66.4472421</v>
      </c>
      <c r="M4" s="34">
        <f>(D4/100000)*'Birth Pop per Year'!K4</f>
        <v>159.7065293</v>
      </c>
      <c r="N4" s="39" t="str">
        <f t="shared" si="1"/>
        <v>441 (273-657)</v>
      </c>
      <c r="O4" s="40">
        <v>21026.0</v>
      </c>
      <c r="P4" s="39" t="str">
        <f t="shared" si="2"/>
        <v>93 (57-138)</v>
      </c>
      <c r="Q4" s="40">
        <v>23359.0</v>
      </c>
      <c r="R4" s="39" t="str">
        <f t="shared" si="3"/>
        <v>103 (64-160)</v>
      </c>
      <c r="S4" s="40">
        <v>24323.0</v>
      </c>
      <c r="T4" s="39" t="str">
        <f t="shared" si="4"/>
        <v>107 (66-160)</v>
      </c>
    </row>
    <row r="5">
      <c r="A5" s="16" t="s">
        <v>32</v>
      </c>
      <c r="B5" s="34">
        <v>372.12733288616033</v>
      </c>
      <c r="C5" s="34">
        <v>249.97866636627566</v>
      </c>
      <c r="D5" s="34">
        <v>527.8905549212071</v>
      </c>
      <c r="E5" s="34">
        <f>(B5/100000)*'Birth Pop per Year'!C5</f>
        <v>9271.664137</v>
      </c>
      <c r="F5" s="34">
        <f>(C5/100000)*'Birth Pop per Year'!C5</f>
        <v>6228.293466</v>
      </c>
      <c r="G5" s="34">
        <f>(D5/100000)*'Birth Pop per Year'!C5</f>
        <v>13152.55154</v>
      </c>
      <c r="H5" s="34">
        <f>(B5/100000)*'Birth Pop per Year'!G5</f>
        <v>10148.06494</v>
      </c>
      <c r="I5" s="34">
        <f>(C5/100000)*'Birth Pop per Year'!G5</f>
        <v>6817.020723</v>
      </c>
      <c r="J5" s="34">
        <f>(D5/100000)*'Birth Pop per Year'!K5</f>
        <v>13570.97871</v>
      </c>
      <c r="K5" s="34">
        <f>(B5/100000)*'Birth Pop per Year'!K5</f>
        <v>9566.627146</v>
      </c>
      <c r="L5" s="34">
        <f>(C5/100000)*'Birth Pop per Year'!K5</f>
        <v>6426.436556</v>
      </c>
      <c r="M5" s="34">
        <f>(D5/100000)*'Birth Pop per Year'!K5</f>
        <v>13570.97871</v>
      </c>
      <c r="N5" s="39" t="str">
        <f t="shared" si="1"/>
        <v>372 (250-528)</v>
      </c>
      <c r="O5" s="40">
        <v>2491530.0</v>
      </c>
      <c r="P5" s="39" t="str">
        <f t="shared" si="2"/>
        <v>9,272 (6,228-13,153)</v>
      </c>
      <c r="Q5" s="40">
        <v>2727041.0</v>
      </c>
      <c r="R5" s="39" t="str">
        <f t="shared" si="3"/>
        <v>10,148 (6,817-13,571)</v>
      </c>
      <c r="S5" s="40">
        <v>2570794.0</v>
      </c>
      <c r="T5" s="39" t="str">
        <f t="shared" si="4"/>
        <v>9,567 (6,426-13,571)</v>
      </c>
    </row>
    <row r="6">
      <c r="A6" s="16" t="s">
        <v>33</v>
      </c>
      <c r="B6" s="34">
        <v>384.6672962761481</v>
      </c>
      <c r="C6" s="34">
        <v>255.95732641949016</v>
      </c>
      <c r="D6" s="34">
        <v>552.1365184191858</v>
      </c>
      <c r="E6" s="34">
        <f>(B6/100000)*'Birth Pop per Year'!C6</f>
        <v>3987.234239</v>
      </c>
      <c r="F6" s="34">
        <f>(C6/100000)*'Birth Pop per Year'!C6</f>
        <v>2653.102631</v>
      </c>
      <c r="G6" s="34">
        <f>(D6/100000)*'Birth Pop per Year'!C6</f>
        <v>5723.121389</v>
      </c>
      <c r="H6" s="34">
        <f>(B6/100000)*'Birth Pop per Year'!G6</f>
        <v>4006.917665</v>
      </c>
      <c r="I6" s="34">
        <f>(C6/100000)*'Birth Pop per Year'!G6</f>
        <v>2666.199967</v>
      </c>
      <c r="J6" s="34">
        <f>(D6/100000)*'Birth Pop per Year'!K6</f>
        <v>5458.289108</v>
      </c>
      <c r="K6" s="34">
        <f>(B6/100000)*'Birth Pop per Year'!K6</f>
        <v>3802.728571</v>
      </c>
      <c r="L6" s="34">
        <f>(C6/100000)*'Birth Pop per Year'!K6</f>
        <v>2530.332699</v>
      </c>
      <c r="M6" s="34">
        <f>(D6/100000)*'Birth Pop per Year'!K6</f>
        <v>5458.289108</v>
      </c>
      <c r="N6" s="39" t="str">
        <f t="shared" si="1"/>
        <v>385 (256-552)</v>
      </c>
      <c r="O6" s="40">
        <v>1036541.0</v>
      </c>
      <c r="P6" s="39" t="str">
        <f t="shared" si="2"/>
        <v>3,987 (2,653-5,723)</v>
      </c>
      <c r="Q6" s="40">
        <v>1041658.0</v>
      </c>
      <c r="R6" s="39" t="str">
        <f t="shared" si="3"/>
        <v>4,007 (2,666-5,458)</v>
      </c>
      <c r="S6" s="40">
        <v>988576.0</v>
      </c>
      <c r="T6" s="39" t="str">
        <f t="shared" si="4"/>
        <v>3,803 (2,530-5,458)</v>
      </c>
    </row>
    <row r="7">
      <c r="A7" s="16" t="s">
        <v>34</v>
      </c>
      <c r="B7" s="34">
        <v>254.30524085361066</v>
      </c>
      <c r="C7" s="34">
        <v>168.11972609623197</v>
      </c>
      <c r="D7" s="34">
        <v>371.02284379858094</v>
      </c>
      <c r="E7" s="34">
        <f>(B7/100000)*'Birth Pop per Year'!C7</f>
        <v>3114.857743</v>
      </c>
      <c r="F7" s="34">
        <f>(C7/100000)*'Birth Pop per Year'!C7</f>
        <v>2059.214465</v>
      </c>
      <c r="G7" s="34">
        <f>(D7/100000)*'Birth Pop per Year'!C7</f>
        <v>4544.473302</v>
      </c>
      <c r="H7" s="34">
        <f>(B7/100000)*'Birth Pop per Year'!G7</f>
        <v>3363.687792</v>
      </c>
      <c r="I7" s="34">
        <f>(C7/100000)*'Birth Pop per Year'!G7</f>
        <v>2223.714573</v>
      </c>
      <c r="J7" s="34">
        <f>(D7/100000)*'Birth Pop per Year'!K7</f>
        <v>4904.877472</v>
      </c>
      <c r="K7" s="34">
        <f>(B7/100000)*'Birth Pop per Year'!K7</f>
        <v>3361.884767</v>
      </c>
      <c r="L7" s="34">
        <f>(C7/100000)*'Birth Pop per Year'!K7</f>
        <v>2222.522605</v>
      </c>
      <c r="M7" s="34">
        <f>(D7/100000)*'Birth Pop per Year'!K7</f>
        <v>4904.877472</v>
      </c>
      <c r="N7" s="39" t="str">
        <f t="shared" si="1"/>
        <v>254 (168-371)</v>
      </c>
      <c r="O7" s="40">
        <v>1224850.0</v>
      </c>
      <c r="P7" s="39" t="str">
        <f t="shared" si="2"/>
        <v>3,115 (2,059-4,544)</v>
      </c>
      <c r="Q7" s="40">
        <v>1322697.0</v>
      </c>
      <c r="R7" s="39" t="str">
        <f t="shared" si="3"/>
        <v>3,364 (2,224-4,905)</v>
      </c>
      <c r="S7" s="40">
        <v>1321988.0</v>
      </c>
      <c r="T7" s="39" t="str">
        <f t="shared" si="4"/>
        <v>3,362 (2,223-4,905)</v>
      </c>
    </row>
    <row r="8">
      <c r="A8" s="16" t="s">
        <v>35</v>
      </c>
      <c r="B8" s="34">
        <v>331.02345601926754</v>
      </c>
      <c r="C8" s="34">
        <v>212.93629190924224</v>
      </c>
      <c r="D8" s="34">
        <v>494.16395583392085</v>
      </c>
      <c r="E8" s="34">
        <f>(B8/100000)*'Birth Pop per Year'!C8</f>
        <v>763.5651855</v>
      </c>
      <c r="F8" s="34">
        <f>(C8/100000)*'Birth Pop per Year'!C8</f>
        <v>491.1758858</v>
      </c>
      <c r="G8" s="34">
        <f>(D8/100000)*'Birth Pop per Year'!C8</f>
        <v>1139.878114</v>
      </c>
      <c r="H8" s="34">
        <f>(B8/100000)*'Birth Pop per Year'!G8</f>
        <v>832.7888107</v>
      </c>
      <c r="I8" s="34">
        <f>(C8/100000)*'Birth Pop per Year'!G8</f>
        <v>535.7051232</v>
      </c>
      <c r="J8" s="34">
        <f>(D8/100000)*'Birth Pop per Year'!K8</f>
        <v>1182.81602</v>
      </c>
      <c r="K8" s="34">
        <f>(B8/100000)*'Birth Pop per Year'!K8</f>
        <v>792.3278136</v>
      </c>
      <c r="L8" s="34">
        <f>(C8/100000)*'Birth Pop per Year'!K8</f>
        <v>509.6779202</v>
      </c>
      <c r="M8" s="34">
        <f>(D8/100000)*'Birth Pop per Year'!K8</f>
        <v>1182.81602</v>
      </c>
      <c r="N8" s="39" t="str">
        <f t="shared" si="1"/>
        <v>331 (213-494)</v>
      </c>
      <c r="O8" s="40">
        <v>230668.0</v>
      </c>
      <c r="P8" s="39" t="str">
        <f t="shared" si="2"/>
        <v>764 (491-1,140)</v>
      </c>
      <c r="Q8" s="40">
        <v>251580.0</v>
      </c>
      <c r="R8" s="39" t="str">
        <f t="shared" si="3"/>
        <v>833 (536-1,183)</v>
      </c>
      <c r="S8" s="40">
        <v>239357.0</v>
      </c>
      <c r="T8" s="39" t="str">
        <f t="shared" si="4"/>
        <v>792 (510-1,183)</v>
      </c>
    </row>
    <row r="9">
      <c r="A9" s="16" t="s">
        <v>36</v>
      </c>
      <c r="B9" s="34">
        <v>443.1532110258225</v>
      </c>
      <c r="C9" s="34">
        <v>271.4313417533163</v>
      </c>
      <c r="D9" s="34">
        <v>680.556716932513</v>
      </c>
      <c r="E9" s="34">
        <f>(B9/100000)*'Birth Pop per Year'!C9</f>
        <v>237.0781048</v>
      </c>
      <c r="F9" s="34">
        <f>(C9/100000)*'Birth Pop per Year'!C9</f>
        <v>145.2103392</v>
      </c>
      <c r="G9" s="34">
        <f>(D9/100000)*'Birth Pop per Year'!C9</f>
        <v>364.0842324</v>
      </c>
      <c r="H9" s="34">
        <f>(B9/100000)*'Birth Pop per Year'!G9</f>
        <v>272.3796896</v>
      </c>
      <c r="I9" s="34">
        <f>(C9/100000)*'Birth Pop per Year'!G9</f>
        <v>166.8325599</v>
      </c>
      <c r="J9" s="34">
        <f>(D9/100000)*'Birth Pop per Year'!K9</f>
        <v>441.749365</v>
      </c>
      <c r="K9" s="34">
        <f>(B9/100000)*'Birth Pop per Year'!K9</f>
        <v>287.6507493</v>
      </c>
      <c r="L9" s="34">
        <f>(C9/100000)*'Birth Pop per Year'!K9</f>
        <v>176.1860839</v>
      </c>
      <c r="M9" s="34">
        <f>(D9/100000)*'Birth Pop per Year'!K9</f>
        <v>441.749365</v>
      </c>
      <c r="N9" s="39" t="str">
        <f t="shared" si="1"/>
        <v>443 (271-681)</v>
      </c>
      <c r="O9" s="40">
        <v>53498.0</v>
      </c>
      <c r="P9" s="39" t="str">
        <f t="shared" si="2"/>
        <v>237 (145-364)</v>
      </c>
      <c r="Q9" s="41">
        <v>61464.0</v>
      </c>
      <c r="R9" s="39" t="str">
        <f t="shared" si="3"/>
        <v>272 (167-442)</v>
      </c>
      <c r="S9" s="40">
        <v>64910.0</v>
      </c>
      <c r="T9" s="39" t="str">
        <f t="shared" si="4"/>
        <v>288 (176-442)</v>
      </c>
    </row>
    <row r="10">
      <c r="A10" s="16" t="s">
        <v>37</v>
      </c>
      <c r="B10" s="34">
        <v>380.8541342982484</v>
      </c>
      <c r="C10" s="34">
        <v>247.79932455943725</v>
      </c>
      <c r="D10" s="34">
        <v>552.3605633652481</v>
      </c>
      <c r="E10" s="34">
        <f>(B10/100000)*'Birth Pop per Year'!C10</f>
        <v>355.1959913</v>
      </c>
      <c r="F10" s="34">
        <f>(C10/100000)*'Birth Pop per Year'!C10</f>
        <v>231.1050841</v>
      </c>
      <c r="G10" s="34">
        <f>(D10/100000)*'Birth Pop per Year'!C10</f>
        <v>515.1480322</v>
      </c>
      <c r="H10" s="34">
        <f>(B10/100000)*'Birth Pop per Year'!G10</f>
        <v>371.9040621</v>
      </c>
      <c r="I10" s="34">
        <f>(C10/100000)*'Birth Pop per Year'!G10</f>
        <v>241.9760404</v>
      </c>
      <c r="J10" s="34">
        <f>(D10/100000)*'Birth Pop per Year'!K10</f>
        <v>477.1566727</v>
      </c>
      <c r="K10" s="34">
        <f>(B10/100000)*'Birth Pop per Year'!K10</f>
        <v>329.0008439</v>
      </c>
      <c r="L10" s="34">
        <f>(C10/100000)*'Birth Pop per Year'!K10</f>
        <v>214.0614465</v>
      </c>
      <c r="M10" s="34">
        <f>(D10/100000)*'Birth Pop per Year'!K10</f>
        <v>477.1566727</v>
      </c>
      <c r="N10" s="39" t="str">
        <f t="shared" si="1"/>
        <v>381 (248-552)</v>
      </c>
      <c r="O10" s="40">
        <v>93263.0</v>
      </c>
      <c r="P10" s="39" t="str">
        <f t="shared" si="2"/>
        <v>355 (231-515)</v>
      </c>
      <c r="Q10" s="40">
        <v>97650.0</v>
      </c>
      <c r="R10" s="39" t="str">
        <f t="shared" si="3"/>
        <v>372 (242-477)</v>
      </c>
      <c r="S10" s="40">
        <v>86385.0</v>
      </c>
      <c r="T10" s="39" t="str">
        <f t="shared" si="4"/>
        <v>329 (214-477)</v>
      </c>
    </row>
    <row r="11">
      <c r="A11" s="16" t="s">
        <v>38</v>
      </c>
      <c r="B11" s="34">
        <v>350.2122008914984</v>
      </c>
      <c r="C11" s="34">
        <v>230.3593597700751</v>
      </c>
      <c r="D11" s="34">
        <v>501.9524951553188</v>
      </c>
      <c r="E11" s="34">
        <f>(B11/100000)*'Birth Pop per Year'!C11</f>
        <v>411.4362979</v>
      </c>
      <c r="F11" s="34">
        <f>(C11/100000)*'Birth Pop per Year'!C11</f>
        <v>270.630783</v>
      </c>
      <c r="G11" s="34">
        <f>(D11/100000)*'Birth Pop per Year'!C11</f>
        <v>589.7038304</v>
      </c>
      <c r="H11" s="34">
        <f>(B11/100000)*'Birth Pop per Year'!G11</f>
        <v>429.3846731</v>
      </c>
      <c r="I11" s="34">
        <f>(C11/100000)*'Birth Pop per Year'!G11</f>
        <v>282.4367002</v>
      </c>
      <c r="J11" s="34">
        <f>(D11/100000)*'Birth Pop per Year'!K11</f>
        <v>586.506393</v>
      </c>
      <c r="K11" s="34">
        <f>(B11/100000)*'Birth Pop per Year'!K11</f>
        <v>409.2054461</v>
      </c>
      <c r="L11" s="34">
        <f>(C11/100000)*'Birth Pop per Year'!K11</f>
        <v>269.1633939</v>
      </c>
      <c r="M11" s="34">
        <f>(D11/100000)*'Birth Pop per Year'!K11</f>
        <v>586.506393</v>
      </c>
      <c r="N11" s="39" t="str">
        <f t="shared" si="1"/>
        <v>350 (230-502)</v>
      </c>
      <c r="O11" s="40">
        <v>117482.0</v>
      </c>
      <c r="P11" s="39" t="str">
        <f t="shared" si="2"/>
        <v>411 (271-590)</v>
      </c>
      <c r="Q11" s="40">
        <v>122607.0</v>
      </c>
      <c r="R11" s="39" t="str">
        <f t="shared" si="3"/>
        <v>429 (282-587)</v>
      </c>
      <c r="S11" s="40">
        <v>116845.0</v>
      </c>
      <c r="T11" s="39" t="str">
        <f t="shared" si="4"/>
        <v>409 (269-587)</v>
      </c>
    </row>
    <row r="12">
      <c r="A12" s="16" t="s">
        <v>39</v>
      </c>
      <c r="B12" s="34">
        <v>337.05318657697126</v>
      </c>
      <c r="C12" s="34">
        <v>211.5977123279099</v>
      </c>
      <c r="D12" s="34">
        <v>518.0097001251564</v>
      </c>
      <c r="E12" s="34">
        <f>(B12/100000)*'Birth Pop per Year'!C12</f>
        <v>1994.431339</v>
      </c>
      <c r="F12" s="34">
        <f>(C12/100000)*'Birth Pop per Year'!C12</f>
        <v>1252.078679</v>
      </c>
      <c r="G12" s="34">
        <f>(D12/100000)*'Birth Pop per Year'!C12</f>
        <v>3065.198078</v>
      </c>
      <c r="H12" s="34">
        <f>(B12/100000)*'Birth Pop per Year'!G12</f>
        <v>1912.921767</v>
      </c>
      <c r="I12" s="34">
        <f>(C12/100000)*'Birth Pop per Year'!G12</f>
        <v>1200.908004</v>
      </c>
      <c r="J12" s="34">
        <f>(D12/100000)*'Birth Pop per Year'!K12</f>
        <v>2734.314202</v>
      </c>
      <c r="K12" s="34">
        <f>(B12/100000)*'Birth Pop per Year'!K12</f>
        <v>1779.135245</v>
      </c>
      <c r="L12" s="34">
        <f>(C12/100000)*'Birth Pop per Year'!K12</f>
        <v>1116.918525</v>
      </c>
      <c r="M12" s="34">
        <f>(D12/100000)*'Birth Pop per Year'!K12</f>
        <v>2734.314202</v>
      </c>
      <c r="N12" s="39" t="str">
        <f t="shared" si="1"/>
        <v>337 (212-518)</v>
      </c>
      <c r="O12" s="40">
        <v>591726.0</v>
      </c>
      <c r="P12" s="39" t="str">
        <f t="shared" si="2"/>
        <v>1,994 (1,252-3,065)</v>
      </c>
      <c r="Q12" s="40">
        <v>567543.0</v>
      </c>
      <c r="R12" s="39" t="str">
        <f t="shared" si="3"/>
        <v>1,913 (1,201-2,734)</v>
      </c>
      <c r="S12" s="40">
        <v>527850.0</v>
      </c>
      <c r="T12" s="39" t="str">
        <f t="shared" si="4"/>
        <v>1,779 (1,117-2,734)</v>
      </c>
    </row>
    <row r="13">
      <c r="A13" s="16" t="s">
        <v>40</v>
      </c>
      <c r="B13" s="34">
        <v>360.5466454243372</v>
      </c>
      <c r="C13" s="34">
        <v>228.2681683693044</v>
      </c>
      <c r="D13" s="34">
        <v>547.2583010905118</v>
      </c>
      <c r="E13" s="34">
        <f>(B13/100000)*'Birth Pop per Year'!C13</f>
        <v>322.7000641</v>
      </c>
      <c r="F13" s="34">
        <f>(C13/100000)*'Birth Pop per Year'!C13</f>
        <v>204.3068587</v>
      </c>
      <c r="G13" s="34">
        <f>(D13/100000)*'Birth Pop per Year'!C13</f>
        <v>489.8125972</v>
      </c>
      <c r="H13" s="34">
        <f>(B13/100000)*'Birth Pop per Year'!G13</f>
        <v>335.6689269</v>
      </c>
      <c r="I13" s="34">
        <f>(C13/100000)*'Birth Pop per Year'!G13</f>
        <v>212.5176648</v>
      </c>
      <c r="J13" s="34">
        <f>(D13/100000)*'Birth Pop per Year'!K13</f>
        <v>571.4088099</v>
      </c>
      <c r="K13" s="34">
        <f>(B13/100000)*'Birth Pop per Year'!K13</f>
        <v>376.4575689</v>
      </c>
      <c r="L13" s="34">
        <f>(C13/100000)*'Birth Pop per Year'!K13</f>
        <v>238.3416426</v>
      </c>
      <c r="M13" s="34">
        <f>(D13/100000)*'Birth Pop per Year'!K13</f>
        <v>571.4088099</v>
      </c>
      <c r="N13" s="39" t="str">
        <f t="shared" si="1"/>
        <v>361 (228-547)</v>
      </c>
      <c r="O13" s="40">
        <v>89503.0</v>
      </c>
      <c r="P13" s="39" t="str">
        <f t="shared" si="2"/>
        <v>323 (204-490)</v>
      </c>
      <c r="Q13" s="40">
        <v>93100.0</v>
      </c>
      <c r="R13" s="39" t="str">
        <f t="shared" si="3"/>
        <v>336 (213-571)</v>
      </c>
      <c r="S13" s="40">
        <v>104413.0</v>
      </c>
      <c r="T13" s="39" t="str">
        <f t="shared" si="4"/>
        <v>376 (238-571)</v>
      </c>
    </row>
    <row r="14">
      <c r="A14" s="16" t="s">
        <v>41</v>
      </c>
      <c r="B14" s="34">
        <v>740.2176359465659</v>
      </c>
      <c r="C14" s="34">
        <v>441.93358858453655</v>
      </c>
      <c r="D14" s="34">
        <v>1143.2813486708947</v>
      </c>
      <c r="E14" s="34">
        <f>(B14/100000)*'Birth Pop per Year'!C14</f>
        <v>255.4565083</v>
      </c>
      <c r="F14" s="34">
        <f>(C14/100000)*'Birth Pop per Year'!C14</f>
        <v>152.5157008</v>
      </c>
      <c r="G14" s="34">
        <f>(D14/100000)*'Birth Pop per Year'!C14</f>
        <v>394.5578262</v>
      </c>
      <c r="H14" s="34">
        <f>(B14/100000)*'Birth Pop per Year'!G14</f>
        <v>321.1804322</v>
      </c>
      <c r="I14" s="34">
        <f>(C14/100000)*'Birth Pop per Year'!G14</f>
        <v>191.7549841</v>
      </c>
      <c r="J14" s="34">
        <f>(D14/100000)*'Birth Pop per Year'!K14</f>
        <v>568.473785</v>
      </c>
      <c r="K14" s="34">
        <f>(B14/100000)*'Birth Pop per Year'!K14</f>
        <v>368.0584151</v>
      </c>
      <c r="L14" s="34">
        <f>(C14/100000)*'Birth Pop per Year'!K14</f>
        <v>219.7426383</v>
      </c>
      <c r="M14" s="34">
        <f>(D14/100000)*'Birth Pop per Year'!K14</f>
        <v>568.473785</v>
      </c>
      <c r="N14" s="39" t="str">
        <f t="shared" si="1"/>
        <v>740 (442-1,143)</v>
      </c>
      <c r="O14" s="40">
        <v>34511.0</v>
      </c>
      <c r="P14" s="39" t="str">
        <f t="shared" si="2"/>
        <v>255 (153-395)</v>
      </c>
      <c r="Q14" s="40">
        <v>43390.0</v>
      </c>
      <c r="R14" s="39" t="str">
        <f t="shared" si="3"/>
        <v>321 (192-568)</v>
      </c>
      <c r="S14" s="40">
        <v>49723.0</v>
      </c>
      <c r="T14" s="39" t="str">
        <f t="shared" si="4"/>
        <v>368 (220-568)</v>
      </c>
    </row>
    <row r="15">
      <c r="A15" s="16" t="s">
        <v>42</v>
      </c>
      <c r="B15" s="34">
        <v>374.6955028335508</v>
      </c>
      <c r="C15" s="34">
        <v>230.21291694093358</v>
      </c>
      <c r="D15" s="34">
        <v>580.3283947886034</v>
      </c>
      <c r="E15" s="34">
        <f>(B15/100000)*'Birth Pop per Year'!C15</f>
        <v>2163.701663</v>
      </c>
      <c r="F15" s="34">
        <f>(C15/100000)*'Birth Pop per Year'!C15</f>
        <v>1329.378302</v>
      </c>
      <c r="G15" s="34">
        <f>(D15/100000)*'Birth Pop per Year'!C15</f>
        <v>3351.141135</v>
      </c>
      <c r="H15" s="34">
        <f>(B15/100000)*'Birth Pop per Year'!G15</f>
        <v>2238.142418</v>
      </c>
      <c r="I15" s="34">
        <f>(C15/100000)*'Birth Pop per Year'!G15</f>
        <v>1375.114702</v>
      </c>
      <c r="J15" s="34">
        <f>(D15/100000)*'Birth Pop per Year'!K15</f>
        <v>3591.385484</v>
      </c>
      <c r="K15" s="34">
        <f>(B15/100000)*'Birth Pop per Year'!K15</f>
        <v>2318.818107</v>
      </c>
      <c r="L15" s="34">
        <f>(C15/100000)*'Birth Pop per Year'!K15</f>
        <v>1424.681845</v>
      </c>
      <c r="M15" s="34">
        <f>(D15/100000)*'Birth Pop per Year'!K15</f>
        <v>3591.385484</v>
      </c>
      <c r="N15" s="39" t="str">
        <f t="shared" si="1"/>
        <v>375 (230-580)</v>
      </c>
      <c r="O15" s="40">
        <v>577456.0</v>
      </c>
      <c r="P15" s="39" t="str">
        <f t="shared" si="2"/>
        <v>2,164 (1,329-3,351)</v>
      </c>
      <c r="Q15" s="40">
        <v>597323.0</v>
      </c>
      <c r="R15" s="39" t="str">
        <f t="shared" si="3"/>
        <v>2,238 (1,375-3,591)</v>
      </c>
      <c r="S15" s="40">
        <v>618854.0</v>
      </c>
      <c r="T15" s="39" t="str">
        <f t="shared" si="4"/>
        <v>2,319 (1,425-3,591)</v>
      </c>
    </row>
    <row r="16">
      <c r="A16" s="16" t="s">
        <v>43</v>
      </c>
      <c r="B16" s="34">
        <v>385.4376469943314</v>
      </c>
      <c r="C16" s="34">
        <v>237.45165057281943</v>
      </c>
      <c r="D16" s="34">
        <v>613.0848423176925</v>
      </c>
      <c r="E16" s="34">
        <f>(B16/100000)*'Birth Pop per Year'!C16</f>
        <v>6552.517086</v>
      </c>
      <c r="F16" s="34">
        <f>(C16/100000)*'Birth Pop per Year'!C16</f>
        <v>4036.72555</v>
      </c>
      <c r="G16" s="34">
        <f>(D16/100000)*'Birth Pop per Year'!C16</f>
        <v>10422.56494</v>
      </c>
      <c r="H16" s="34">
        <f>(B16/100000)*'Birth Pop per Year'!G16</f>
        <v>6901.561711</v>
      </c>
      <c r="I16" s="34">
        <f>(C16/100000)*'Birth Pop per Year'!G16</f>
        <v>4251.757016</v>
      </c>
      <c r="J16" s="34">
        <f>(D16/100000)*'Birth Pop per Year'!K16</f>
        <v>11812.34244</v>
      </c>
      <c r="K16" s="34">
        <f>(B16/100000)*'Birth Pop per Year'!K16</f>
        <v>7426.250271</v>
      </c>
      <c r="L16" s="34">
        <f>(C16/100000)*'Birth Pop per Year'!K16</f>
        <v>4574.995199</v>
      </c>
      <c r="M16" s="34">
        <f>(D16/100000)*'Birth Pop per Year'!K16</f>
        <v>11812.34244</v>
      </c>
      <c r="N16" s="39" t="str">
        <f t="shared" si="1"/>
        <v>385 (237-613)</v>
      </c>
      <c r="O16" s="40">
        <v>1700020.0</v>
      </c>
      <c r="P16" s="39" t="str">
        <f t="shared" si="2"/>
        <v>6,553 (4,037-10,423)</v>
      </c>
      <c r="Q16" s="40">
        <v>1790578.0</v>
      </c>
      <c r="R16" s="39" t="str">
        <f t="shared" si="3"/>
        <v>6,902 (4,252-11,812)</v>
      </c>
      <c r="S16" s="40">
        <v>1926706.0</v>
      </c>
      <c r="T16" s="39" t="str">
        <f t="shared" si="4"/>
        <v>7,426 (4,575-11,812)</v>
      </c>
    </row>
    <row r="17">
      <c r="A17" s="16" t="s">
        <v>44</v>
      </c>
      <c r="B17" s="34">
        <v>690.4999151607818</v>
      </c>
      <c r="C17" s="34">
        <v>447.6867581811663</v>
      </c>
      <c r="D17" s="34">
        <v>1030.8719298554215</v>
      </c>
      <c r="E17" s="34">
        <f>(B17/100000)*'Birth Pop per Year'!C17</f>
        <v>4629.208101</v>
      </c>
      <c r="F17" s="34">
        <f>(C17/100000)*'Birth Pop per Year'!C17</f>
        <v>3001.354703</v>
      </c>
      <c r="G17" s="34">
        <f>(D17/100000)*'Birth Pop per Year'!C17</f>
        <v>6911.10974</v>
      </c>
      <c r="H17" s="34">
        <f>(B17/100000)*'Birth Pop per Year'!G17</f>
        <v>4046.143068</v>
      </c>
      <c r="I17" s="34">
        <f>(C17/100000)*'Birth Pop per Year'!G17</f>
        <v>2623.323528</v>
      </c>
      <c r="J17" s="34">
        <f>(D17/100000)*'Birth Pop per Year'!K17</f>
        <v>5499.980081</v>
      </c>
      <c r="K17" s="34">
        <f>(B17/100000)*'Birth Pop per Year'!K17</f>
        <v>3684.003482</v>
      </c>
      <c r="L17" s="34">
        <f>(C17/100000)*'Birth Pop per Year'!K17</f>
        <v>2388.52973</v>
      </c>
      <c r="M17" s="34">
        <f>(D17/100000)*'Birth Pop per Year'!K17</f>
        <v>5499.980081</v>
      </c>
      <c r="N17" s="39" t="str">
        <f t="shared" si="1"/>
        <v>690 (448-1,031)</v>
      </c>
      <c r="O17" s="40">
        <v>670414.0</v>
      </c>
      <c r="P17" s="39" t="str">
        <f t="shared" si="2"/>
        <v>4,629 (3,001-6,911)</v>
      </c>
      <c r="Q17" s="40">
        <v>585973.0</v>
      </c>
      <c r="R17" s="39" t="str">
        <f t="shared" si="3"/>
        <v>4,046 (2,623-5,500)</v>
      </c>
      <c r="S17" s="40">
        <v>533527.0</v>
      </c>
      <c r="T17" s="39" t="str">
        <f t="shared" si="4"/>
        <v>3,684 (2,389-5,500)</v>
      </c>
    </row>
    <row r="18">
      <c r="A18" s="16" t="s">
        <v>45</v>
      </c>
      <c r="B18" s="34">
        <v>413.85018789898874</v>
      </c>
      <c r="C18" s="34">
        <v>269.5471618552624</v>
      </c>
      <c r="D18" s="34">
        <v>606.4811141743404</v>
      </c>
      <c r="E18" s="34">
        <f>(B18/100000)*'Birth Pop per Year'!C18</f>
        <v>603.6956846</v>
      </c>
      <c r="F18" s="34">
        <f>(C18/100000)*'Birth Pop per Year'!C18</f>
        <v>393.1965314</v>
      </c>
      <c r="G18" s="34">
        <f>(D18/100000)*'Birth Pop per Year'!C18</f>
        <v>884.6921957</v>
      </c>
      <c r="H18" s="34">
        <f>(B18/100000)*'Birth Pop per Year'!G18</f>
        <v>614.6875456</v>
      </c>
      <c r="I18" s="34">
        <f>(C18/100000)*'Birth Pop per Year'!G18</f>
        <v>400.355704</v>
      </c>
      <c r="J18" s="34">
        <f>(D18/100000)*'Birth Pop per Year'!K18</f>
        <v>888.8283969</v>
      </c>
      <c r="K18" s="34">
        <f>(B18/100000)*'Birth Pop per Year'!K18</f>
        <v>606.5181429</v>
      </c>
      <c r="L18" s="34">
        <f>(C18/100000)*'Birth Pop per Year'!K18</f>
        <v>395.0348431</v>
      </c>
      <c r="M18" s="34">
        <f>(D18/100000)*'Birth Pop per Year'!K18</f>
        <v>888.8283969</v>
      </c>
      <c r="N18" s="39" t="str">
        <f t="shared" si="1"/>
        <v>414 (270-606)</v>
      </c>
      <c r="O18" s="40">
        <v>145873.0</v>
      </c>
      <c r="P18" s="39" t="str">
        <f t="shared" si="2"/>
        <v>604 (393-885)</v>
      </c>
      <c r="Q18" s="40">
        <v>148529.0</v>
      </c>
      <c r="R18" s="39" t="str">
        <f t="shared" si="3"/>
        <v>615 (400-889)</v>
      </c>
      <c r="S18" s="40">
        <v>146555.0</v>
      </c>
      <c r="T18" s="39" t="str">
        <f t="shared" si="4"/>
        <v>607 (395-889)</v>
      </c>
    </row>
    <row r="19">
      <c r="A19" s="16" t="s">
        <v>46</v>
      </c>
      <c r="B19" s="34">
        <v>390.66633535333</v>
      </c>
      <c r="C19" s="34">
        <v>273.97379362441325</v>
      </c>
      <c r="D19" s="34">
        <v>553.7459744154806</v>
      </c>
      <c r="E19" s="34">
        <f>(B19/100000)*'Birth Pop per Year'!C19</f>
        <v>3921.489141</v>
      </c>
      <c r="F19" s="34">
        <f>(C19/100000)*'Birth Pop per Year'!C19</f>
        <v>2750.135242</v>
      </c>
      <c r="G19" s="34">
        <f>(D19/100000)*'Birth Pop per Year'!C19</f>
        <v>5558.474404</v>
      </c>
      <c r="H19" s="34">
        <f>(B19/100000)*'Birth Pop per Year'!G19</f>
        <v>3662.344534</v>
      </c>
      <c r="I19" s="34">
        <f>(C19/100000)*'Birth Pop per Year'!G19</f>
        <v>2568.397465</v>
      </c>
      <c r="J19" s="34">
        <f>(D19/100000)*'Birth Pop per Year'!K19</f>
        <v>4713.40821</v>
      </c>
      <c r="K19" s="34">
        <f>(B19/100000)*'Birth Pop per Year'!K19</f>
        <v>3325.297153</v>
      </c>
      <c r="L19" s="34">
        <f>(C19/100000)*'Birth Pop per Year'!K19</f>
        <v>2332.026575</v>
      </c>
      <c r="M19" s="34">
        <f>(D19/100000)*'Birth Pop per Year'!K19</f>
        <v>4713.40821</v>
      </c>
      <c r="N19" s="39" t="str">
        <f t="shared" si="1"/>
        <v>391 (274-554)</v>
      </c>
      <c r="O19" s="40">
        <v>1003795.0</v>
      </c>
      <c r="P19" s="39" t="str">
        <f t="shared" si="2"/>
        <v>3,921 (2,750-5,558)</v>
      </c>
      <c r="Q19" s="40">
        <v>937461.0</v>
      </c>
      <c r="R19" s="39" t="str">
        <f t="shared" si="3"/>
        <v>3,662 (2,568-4,713)</v>
      </c>
      <c r="S19" s="40">
        <v>851186.0</v>
      </c>
      <c r="T19" s="39" t="str">
        <f t="shared" si="4"/>
        <v>3,325 (2,332-4,713)</v>
      </c>
    </row>
    <row r="20">
      <c r="A20" s="16" t="s">
        <v>47</v>
      </c>
      <c r="B20" s="34">
        <v>367.47559621646764</v>
      </c>
      <c r="C20" s="34">
        <v>223.64045123274929</v>
      </c>
      <c r="D20" s="34">
        <v>573.484642580245</v>
      </c>
      <c r="E20" s="34">
        <f>(B20/100000)*'Birth Pop per Year'!C20</f>
        <v>509.266055</v>
      </c>
      <c r="F20" s="34">
        <f>(C20/100000)*'Birth Pop per Year'!C20</f>
        <v>309.9321193</v>
      </c>
      <c r="G20" s="34">
        <f>(D20/100000)*'Birth Pop per Year'!C20</f>
        <v>794.7636919</v>
      </c>
      <c r="H20" s="34">
        <f>(B20/100000)*'Birth Pop per Year'!G20</f>
        <v>612.324586</v>
      </c>
      <c r="I20" s="34">
        <f>(C20/100000)*'Birth Pop per Year'!G20</f>
        <v>372.6520839</v>
      </c>
      <c r="J20" s="34">
        <f>(D20/100000)*'Birth Pop per Year'!K20</f>
        <v>1029.588449</v>
      </c>
      <c r="K20" s="34">
        <f>(B20/100000)*'Birth Pop per Year'!K20</f>
        <v>659.7362874</v>
      </c>
      <c r="L20" s="34">
        <f>(C20/100000)*'Birth Pop per Year'!K20</f>
        <v>401.5061749</v>
      </c>
      <c r="M20" s="34">
        <f>(D20/100000)*'Birth Pop per Year'!K20</f>
        <v>1029.588449</v>
      </c>
      <c r="N20" s="39" t="str">
        <f t="shared" si="1"/>
        <v>367 (224-573)</v>
      </c>
      <c r="O20" s="40">
        <v>138585.0</v>
      </c>
      <c r="P20" s="39" t="str">
        <f t="shared" si="2"/>
        <v>509 (310-795)</v>
      </c>
      <c r="Q20" s="40">
        <v>166630.0</v>
      </c>
      <c r="R20" s="39" t="str">
        <f t="shared" si="3"/>
        <v>612 (373-1,030)</v>
      </c>
      <c r="S20" s="40">
        <v>179532.0</v>
      </c>
      <c r="T20" s="39" t="str">
        <f t="shared" si="4"/>
        <v>660 (402-1,030)</v>
      </c>
    </row>
    <row r="21">
      <c r="A21" s="16" t="s">
        <v>48</v>
      </c>
      <c r="B21" s="34">
        <v>741.2764660160567</v>
      </c>
      <c r="C21" s="34">
        <v>259.16918618693035</v>
      </c>
      <c r="D21" s="34">
        <v>2603.3793110772826</v>
      </c>
      <c r="E21" s="34">
        <f>(B21/100000)*'Birth Pop per Year'!C21</f>
        <v>10203.93</v>
      </c>
      <c r="F21" s="34">
        <f>(C21/100000)*'Birth Pop per Year'!C21</f>
        <v>3567.554557</v>
      </c>
      <c r="G21" s="34">
        <f>(D21/100000)*'Birth Pop per Year'!C21</f>
        <v>35836.4274</v>
      </c>
      <c r="H21" s="34">
        <f>(B21/100000)*'Birth Pop per Year'!G21</f>
        <v>10709.76224</v>
      </c>
      <c r="I21" s="34">
        <f>(C21/100000)*'Birth Pop per Year'!G21</f>
        <v>3744.406426</v>
      </c>
      <c r="J21" s="34">
        <f>(D21/100000)*'Birth Pop per Year'!K21</f>
        <v>40731.92599</v>
      </c>
      <c r="K21" s="34">
        <f>(B21/100000)*'Birth Pop per Year'!K21</f>
        <v>11597.85592</v>
      </c>
      <c r="L21" s="34">
        <f>(C21/100000)*'Birth Pop per Year'!K21</f>
        <v>4054.906662</v>
      </c>
      <c r="M21" s="34">
        <f>(D21/100000)*'Birth Pop per Year'!K21</f>
        <v>40731.92599</v>
      </c>
      <c r="N21" s="39" t="str">
        <f t="shared" si="1"/>
        <v>741 (259-2,603)</v>
      </c>
      <c r="O21" s="40">
        <v>1376535.0</v>
      </c>
      <c r="P21" s="39" t="str">
        <f t="shared" si="2"/>
        <v>10,204 (3,568-35,836)</v>
      </c>
      <c r="Q21" s="40">
        <v>1444773.0</v>
      </c>
      <c r="R21" s="39" t="str">
        <f t="shared" si="3"/>
        <v>10,710 (3,744-40,732)</v>
      </c>
      <c r="S21" s="40">
        <v>1564579.0</v>
      </c>
      <c r="T21" s="39" t="str">
        <f t="shared" si="4"/>
        <v>11,598 (4,055-40,732)</v>
      </c>
    </row>
    <row r="22">
      <c r="A22" s="16" t="s">
        <v>49</v>
      </c>
      <c r="B22" s="34">
        <v>399.5877053793611</v>
      </c>
      <c r="C22" s="34">
        <v>249.6796452684089</v>
      </c>
      <c r="D22" s="34">
        <v>621.6922894233475</v>
      </c>
      <c r="E22" s="34">
        <f>(B22/100000)*'Birth Pop per Year'!C22</f>
        <v>12922.79026</v>
      </c>
      <c r="F22" s="34">
        <f>(C22/100000)*'Birth Pop per Year'!C22</f>
        <v>8074.717129</v>
      </c>
      <c r="G22" s="34">
        <f>(D22/100000)*'Birth Pop per Year'!C22</f>
        <v>20105.72136</v>
      </c>
      <c r="H22" s="34">
        <f>(B22/100000)*'Birth Pop per Year'!G22</f>
        <v>11313.64258</v>
      </c>
      <c r="I22" s="34">
        <f>(C22/100000)*'Birth Pop per Year'!G22</f>
        <v>7069.252204</v>
      </c>
      <c r="J22" s="34">
        <f>(D22/100000)*'Birth Pop per Year'!K22</f>
        <v>16894.25794</v>
      </c>
      <c r="K22" s="34">
        <f>(B22/100000)*'Birth Pop per Year'!K22</f>
        <v>10858.64805</v>
      </c>
      <c r="L22" s="34">
        <f>(C22/100000)*'Birth Pop per Year'!K22</f>
        <v>6784.951979</v>
      </c>
      <c r="M22" s="34">
        <f>(D22/100000)*'Birth Pop per Year'!K22</f>
        <v>16894.25794</v>
      </c>
      <c r="N22" s="39" t="str">
        <f t="shared" si="1"/>
        <v>400 (250-622)</v>
      </c>
      <c r="O22" s="40">
        <v>3234031.0</v>
      </c>
      <c r="P22" s="39" t="str">
        <f t="shared" si="2"/>
        <v>12,923 (8,075-20,106)</v>
      </c>
      <c r="Q22" s="40">
        <v>2831329.0</v>
      </c>
      <c r="R22" s="39" t="str">
        <f t="shared" si="3"/>
        <v>11,314 (7,069-16,894)</v>
      </c>
      <c r="S22" s="40">
        <v>2717463.0</v>
      </c>
      <c r="T22" s="39" t="str">
        <f t="shared" si="4"/>
        <v>10,859 (6,785-16,894)</v>
      </c>
    </row>
    <row r="23">
      <c r="A23" s="16" t="s">
        <v>50</v>
      </c>
      <c r="B23" s="34">
        <v>619.4359171597633</v>
      </c>
      <c r="C23" s="34">
        <v>369.44645378494187</v>
      </c>
      <c r="D23" s="34">
        <v>1017.3621832279125</v>
      </c>
      <c r="E23" s="34">
        <f>(B23/100000)*'Birth Pop per Year'!C23</f>
        <v>58.95171624</v>
      </c>
      <c r="F23" s="34">
        <f>(C23/100000)*'Birth Pop per Year'!C23</f>
        <v>35.16021901</v>
      </c>
      <c r="G23" s="34">
        <f>(D23/100000)*'Birth Pop per Year'!C23</f>
        <v>96.82235898</v>
      </c>
      <c r="H23" s="34">
        <f>(B23/100000)*'Birth Pop per Year'!G23</f>
        <v>55.86073101</v>
      </c>
      <c r="I23" s="34">
        <f>(C23/100000)*'Birth Pop per Year'!G23</f>
        <v>33.3166812</v>
      </c>
      <c r="J23" s="34">
        <f>(D23/100000)*'Birth Pop per Year'!K23</f>
        <v>78.69296487</v>
      </c>
      <c r="K23" s="34">
        <f>(B23/100000)*'Birth Pop per Year'!K23</f>
        <v>47.91336819</v>
      </c>
      <c r="L23" s="34">
        <f>(C23/100000)*'Birth Pop per Year'!K23</f>
        <v>28.5766832</v>
      </c>
      <c r="M23" s="34">
        <f>(D23/100000)*'Birth Pop per Year'!K23</f>
        <v>78.69296487</v>
      </c>
      <c r="N23" s="39" t="str">
        <f t="shared" si="1"/>
        <v>619 (369-1,017)</v>
      </c>
      <c r="O23" s="41">
        <v>9517.0</v>
      </c>
      <c r="P23" s="39" t="str">
        <f t="shared" si="2"/>
        <v>59 (35-97)</v>
      </c>
      <c r="Q23" s="40">
        <v>9018.0</v>
      </c>
      <c r="R23" s="39" t="str">
        <f t="shared" si="3"/>
        <v>56 (33-79)</v>
      </c>
      <c r="S23" s="40">
        <v>7735.0</v>
      </c>
      <c r="T23" s="39" t="str">
        <f t="shared" si="4"/>
        <v>48 (29-79)</v>
      </c>
    </row>
    <row r="24">
      <c r="A24" s="16" t="s">
        <v>51</v>
      </c>
      <c r="B24" s="34">
        <v>353.63726582058894</v>
      </c>
      <c r="C24" s="34">
        <v>219.47767371732354</v>
      </c>
      <c r="D24" s="34">
        <v>558.8952592689028</v>
      </c>
      <c r="E24" s="34">
        <f>(B24/100000)*'Birth Pop per Year'!C24</f>
        <v>78595.70197</v>
      </c>
      <c r="F24" s="34">
        <f>(C24/100000)*'Birth Pop per Year'!C24</f>
        <v>48778.80105</v>
      </c>
      <c r="G24" s="34">
        <f>(D24/100000)*'Birth Pop per Year'!C24</f>
        <v>124214.1863</v>
      </c>
      <c r="H24" s="34">
        <f>(B24/100000)*'Birth Pop per Year'!G24</f>
        <v>72869.14056</v>
      </c>
      <c r="I24" s="34">
        <f>(C24/100000)*'Birth Pop per Year'!G24</f>
        <v>45224.72885</v>
      </c>
      <c r="J24" s="34">
        <f>(D24/100000)*'Birth Pop per Year'!K24</f>
        <v>105447.2548</v>
      </c>
      <c r="K24" s="34">
        <f>(B24/100000)*'Birth Pop per Year'!K24</f>
        <v>66721.05061</v>
      </c>
      <c r="L24" s="34">
        <f>(C24/100000)*'Birth Pop per Year'!K24</f>
        <v>41409.04365</v>
      </c>
      <c r="M24" s="34">
        <f>(D24/100000)*'Birth Pop per Year'!K24</f>
        <v>105447.2548</v>
      </c>
      <c r="N24" s="39" t="str">
        <f t="shared" si="1"/>
        <v>354 (219-559)</v>
      </c>
      <c r="O24" s="40">
        <v>2.2224949E7</v>
      </c>
      <c r="P24" s="39" t="str">
        <f t="shared" si="2"/>
        <v>78,596 (48,779-124,214)</v>
      </c>
      <c r="Q24" s="40">
        <v>2.0605617E7</v>
      </c>
      <c r="R24" s="39" t="str">
        <f t="shared" si="3"/>
        <v>72,869 (45,225-105,447)</v>
      </c>
      <c r="S24" s="40">
        <v>1.8867087E7</v>
      </c>
      <c r="T24" s="39" t="str">
        <f t="shared" si="4"/>
        <v>66,721 (41,409-105,447)</v>
      </c>
    </row>
    <row r="25">
      <c r="A25" s="16" t="s">
        <v>52</v>
      </c>
      <c r="B25" s="34">
        <v>405.8051948625032</v>
      </c>
      <c r="C25" s="34">
        <v>241.92232770649233</v>
      </c>
      <c r="D25" s="34">
        <v>643.0451549359666</v>
      </c>
      <c r="E25" s="34">
        <f>(B25/100000)*'Birth Pop per Year'!C25</f>
        <v>2079.090161</v>
      </c>
      <c r="F25" s="34">
        <f>(C25/100000)*'Birth Pop per Year'!C25</f>
        <v>1239.457596</v>
      </c>
      <c r="G25" s="34">
        <f>(D25/100000)*'Birth Pop per Year'!C25</f>
        <v>3294.558255</v>
      </c>
      <c r="H25" s="34">
        <f>(B25/100000)*'Birth Pop per Year'!G25</f>
        <v>1886.981982</v>
      </c>
      <c r="I25" s="34">
        <f>(C25/100000)*'Birth Pop per Year'!G25</f>
        <v>1124.931566</v>
      </c>
      <c r="J25" s="34">
        <f>(D25/100000)*'Birth Pop per Year'!K25</f>
        <v>2767.184063</v>
      </c>
      <c r="K25" s="34">
        <f>(B25/100000)*'Birth Pop per Year'!K25</f>
        <v>1746.281205</v>
      </c>
      <c r="L25" s="34">
        <f>(C25/100000)*'Birth Pop per Year'!K25</f>
        <v>1041.052257</v>
      </c>
      <c r="M25" s="34">
        <f>(D25/100000)*'Birth Pop per Year'!K25</f>
        <v>2767.184063</v>
      </c>
      <c r="N25" s="39" t="str">
        <f t="shared" si="1"/>
        <v>406 (242-643)</v>
      </c>
      <c r="O25" s="40">
        <v>512337.0</v>
      </c>
      <c r="P25" s="39" t="str">
        <f t="shared" si="2"/>
        <v>2,079 (1,239-3,295)</v>
      </c>
      <c r="Q25" s="40">
        <v>464997.0</v>
      </c>
      <c r="R25" s="39" t="str">
        <f t="shared" si="3"/>
        <v>1,887 (1,125-2,767)</v>
      </c>
      <c r="S25" s="40">
        <v>430325.0</v>
      </c>
      <c r="T25" s="39" t="str">
        <f t="shared" si="4"/>
        <v>1,746 (1,041-2,767)</v>
      </c>
    </row>
    <row r="26">
      <c r="A26" s="16" t="s">
        <v>53</v>
      </c>
      <c r="B26" s="34">
        <v>410.264669884724</v>
      </c>
      <c r="C26" s="34">
        <v>241.04900730591638</v>
      </c>
      <c r="D26" s="34">
        <v>711.2982227875044</v>
      </c>
      <c r="E26" s="34">
        <f>(B26/100000)*'Birth Pop per Year'!C26</f>
        <v>28060.0644</v>
      </c>
      <c r="F26" s="34">
        <f>(C26/100000)*'Birth Pop per Year'!C26</f>
        <v>16486.55409</v>
      </c>
      <c r="G26" s="34">
        <f>(D26/100000)*'Birth Pop per Year'!C26</f>
        <v>48649.26329</v>
      </c>
      <c r="H26" s="34">
        <f>(B26/100000)*'Birth Pop per Year'!G26</f>
        <v>30009.05544</v>
      </c>
      <c r="I26" s="34">
        <f>(C26/100000)*'Birth Pop per Year'!G26</f>
        <v>17631.67427</v>
      </c>
      <c r="J26" s="34">
        <f>(D26/100000)*'Birth Pop per Year'!K26</f>
        <v>51990.22393</v>
      </c>
      <c r="K26" s="34">
        <f>(B26/100000)*'Birth Pop per Year'!K26</f>
        <v>29987.07346</v>
      </c>
      <c r="L26" s="34">
        <f>(C26/100000)*'Birth Pop per Year'!K26</f>
        <v>17618.75886</v>
      </c>
      <c r="M26" s="34">
        <f>(D26/100000)*'Birth Pop per Year'!K26</f>
        <v>51990.22393</v>
      </c>
      <c r="N26" s="39" t="str">
        <f t="shared" si="1"/>
        <v>410 (241-711)</v>
      </c>
      <c r="O26" s="40">
        <v>6839503.0</v>
      </c>
      <c r="P26" s="39" t="str">
        <f t="shared" si="2"/>
        <v>28,060 (16,487-48,649)</v>
      </c>
      <c r="Q26" s="40">
        <v>7314560.0</v>
      </c>
      <c r="R26" s="39" t="str">
        <f t="shared" si="3"/>
        <v>30,009 (17,632-51,990)</v>
      </c>
      <c r="S26" s="40">
        <v>7309202.0</v>
      </c>
      <c r="T26" s="39" t="str">
        <f t="shared" si="4"/>
        <v>29,987 (17,619-51,990)</v>
      </c>
    </row>
    <row r="27">
      <c r="A27" s="16" t="s">
        <v>54</v>
      </c>
      <c r="B27" s="34">
        <v>309.41221606003506</v>
      </c>
      <c r="C27" s="34">
        <v>211.36801590932438</v>
      </c>
      <c r="D27" s="34">
        <v>450.74866043313756</v>
      </c>
      <c r="E27" s="34">
        <f>(B27/100000)*'Birth Pop per Year'!C27</f>
        <v>25784.45241</v>
      </c>
      <c r="F27" s="34">
        <f>(C27/100000)*'Birth Pop per Year'!C27</f>
        <v>17614.07037</v>
      </c>
      <c r="G27" s="34">
        <f>(D27/100000)*'Birth Pop per Year'!C27</f>
        <v>37562.53561</v>
      </c>
      <c r="H27" s="34">
        <f>(B27/100000)*'Birth Pop per Year'!G27</f>
        <v>26699.669</v>
      </c>
      <c r="I27" s="34">
        <f>(C27/100000)*'Birth Pop per Year'!G27</f>
        <v>18239.28005</v>
      </c>
      <c r="J27" s="34">
        <f>(D27/100000)*'Birth Pop per Year'!K27</f>
        <v>33794.98449</v>
      </c>
      <c r="K27" s="34">
        <f>(B27/100000)*'Birth Pop per Year'!K27</f>
        <v>23198.25206</v>
      </c>
      <c r="L27" s="34">
        <f>(C27/100000)*'Birth Pop per Year'!K27</f>
        <v>15847.36561</v>
      </c>
      <c r="M27" s="34">
        <f>(D27/100000)*'Birth Pop per Year'!K27</f>
        <v>33794.98449</v>
      </c>
      <c r="N27" s="39" t="str">
        <f t="shared" si="1"/>
        <v>309 (211-451)</v>
      </c>
      <c r="O27" s="40">
        <v>8333366.0</v>
      </c>
      <c r="P27" s="39" t="str">
        <f t="shared" si="2"/>
        <v>25,784 (17,614-37,563)</v>
      </c>
      <c r="Q27" s="40">
        <v>8629158.0</v>
      </c>
      <c r="R27" s="39" t="str">
        <f t="shared" si="3"/>
        <v>26,700 (18,239-33,795)</v>
      </c>
      <c r="S27" s="40">
        <v>7497523.0</v>
      </c>
      <c r="T27" s="39" t="str">
        <f t="shared" si="4"/>
        <v>23,198 (15,847-33,795)</v>
      </c>
    </row>
    <row r="28">
      <c r="A28" s="16" t="s">
        <v>55</v>
      </c>
      <c r="B28" s="34">
        <v>317.3944122280929</v>
      </c>
      <c r="C28" s="34">
        <v>184.95645604658654</v>
      </c>
      <c r="D28" s="34">
        <v>546.496853668515</v>
      </c>
      <c r="E28" s="34">
        <f>(B28/100000)*'Birth Pop per Year'!C28</f>
        <v>954.7033483</v>
      </c>
      <c r="F28" s="34">
        <f>(C28/100000)*'Birth Pop per Year'!C28</f>
        <v>556.3379224</v>
      </c>
      <c r="G28" s="34">
        <f>(D28/100000)*'Birth Pop per Year'!C28</f>
        <v>1643.829746</v>
      </c>
      <c r="H28" s="34">
        <f>(B28/100000)*'Birth Pop per Year'!G28</f>
        <v>826.234786</v>
      </c>
      <c r="I28" s="34">
        <f>(C28/100000)*'Birth Pop per Year'!G28</f>
        <v>481.4749473</v>
      </c>
      <c r="J28" s="34">
        <f>(D28/100000)*'Birth Pop per Year'!K28</f>
        <v>1438.631107</v>
      </c>
      <c r="K28" s="34">
        <f>(B28/100000)*'Birth Pop per Year'!K28</f>
        <v>835.5280944</v>
      </c>
      <c r="L28" s="34">
        <f>(C28/100000)*'Birth Pop per Year'!K28</f>
        <v>486.8904723</v>
      </c>
      <c r="M28" s="34">
        <f>(D28/100000)*'Birth Pop per Year'!K28</f>
        <v>1438.631107</v>
      </c>
      <c r="N28" s="39" t="str">
        <f t="shared" si="1"/>
        <v>317 (185-546)</v>
      </c>
      <c r="O28" s="40">
        <v>300794.0</v>
      </c>
      <c r="P28" s="39" t="str">
        <f t="shared" si="2"/>
        <v>955 (556-1,644)</v>
      </c>
      <c r="Q28" s="40">
        <v>260318.0</v>
      </c>
      <c r="R28" s="39" t="str">
        <f t="shared" si="3"/>
        <v>826 (481-1,439)</v>
      </c>
      <c r="S28" s="40">
        <v>263246.0</v>
      </c>
      <c r="T28" s="39" t="str">
        <f t="shared" si="4"/>
        <v>836 (487-1,439)</v>
      </c>
    </row>
    <row r="29">
      <c r="A29" s="16" t="s">
        <v>56</v>
      </c>
      <c r="B29" s="34">
        <v>179.1764126149803</v>
      </c>
      <c r="C29" s="34">
        <v>95.73324572930355</v>
      </c>
      <c r="D29" s="34">
        <v>315.01412614980285</v>
      </c>
      <c r="E29" s="34">
        <f>(B29/100000)*'Birth Pop per Year'!C29</f>
        <v>1.04639025</v>
      </c>
      <c r="F29" s="34">
        <f>(C29/100000)*'Birth Pop per Year'!C29</f>
        <v>0.5590821551</v>
      </c>
      <c r="G29" s="34">
        <f>(D29/100000)*'Birth Pop per Year'!C29</f>
        <v>1.839682497</v>
      </c>
      <c r="H29" s="34">
        <f>(B29/100000)*'Birth Pop per Year'!G29</f>
        <v>1.048182014</v>
      </c>
      <c r="I29" s="34">
        <f>(C29/100000)*'Birth Pop per Year'!G29</f>
        <v>0.5600394875</v>
      </c>
      <c r="J29" s="34">
        <f>(D29/100000)*'Birth Pop per Year'!K29</f>
        <v>1.609722185</v>
      </c>
      <c r="K29" s="34">
        <f>(B29/100000)*'Birth Pop per Year'!K29</f>
        <v>0.9155914685</v>
      </c>
      <c r="L29" s="34">
        <f>(C29/100000)*'Birth Pop per Year'!K29</f>
        <v>0.4891968857</v>
      </c>
      <c r="M29" s="34">
        <f>(D29/100000)*'Birth Pop per Year'!K29</f>
        <v>1.609722185</v>
      </c>
      <c r="N29" s="39" t="str">
        <f t="shared" si="1"/>
        <v>179 (96-315)</v>
      </c>
      <c r="O29" s="40">
        <v>584.0</v>
      </c>
      <c r="P29" s="39" t="str">
        <f t="shared" si="2"/>
        <v>1 (1-2)</v>
      </c>
      <c r="Q29" s="40">
        <v>585.0</v>
      </c>
      <c r="R29" s="39" t="str">
        <f t="shared" si="3"/>
        <v>1 (1-2)</v>
      </c>
      <c r="S29" s="40">
        <v>511.0</v>
      </c>
      <c r="T29" s="39" t="str">
        <f t="shared" si="4"/>
        <v>1 (0-2)</v>
      </c>
    </row>
    <row r="30">
      <c r="A30" s="16" t="s">
        <v>57</v>
      </c>
      <c r="B30" s="34">
        <v>207.94542741165233</v>
      </c>
      <c r="C30" s="34">
        <v>112.72831064947471</v>
      </c>
      <c r="D30" s="34">
        <v>432.3075990926457</v>
      </c>
      <c r="E30" s="34">
        <f>(B30/100000)*'Birth Pop per Year'!C30</f>
        <v>32.82418572</v>
      </c>
      <c r="F30" s="34">
        <f>(C30/100000)*'Birth Pop per Year'!C30</f>
        <v>17.79416384</v>
      </c>
      <c r="G30" s="34">
        <f>(D30/100000)*'Birth Pop per Year'!C30</f>
        <v>68.23975452</v>
      </c>
      <c r="H30" s="34">
        <f>(B30/100000)*'Birth Pop per Year'!G30</f>
        <v>31.56195697</v>
      </c>
      <c r="I30" s="34">
        <f>(C30/100000)*'Birth Pop per Year'!G30</f>
        <v>17.10990299</v>
      </c>
      <c r="J30" s="34">
        <f>(D30/100000)*'Birth Pop per Year'!K30</f>
        <v>59.88324863</v>
      </c>
      <c r="K30" s="34">
        <f>(B30/100000)*'Birth Pop per Year'!K30</f>
        <v>28.80460061</v>
      </c>
      <c r="L30" s="34">
        <f>(C30/100000)*'Birth Pop per Year'!K30</f>
        <v>15.61512559</v>
      </c>
      <c r="M30" s="34">
        <f>(D30/100000)*'Birth Pop per Year'!K30</f>
        <v>59.88324863</v>
      </c>
      <c r="N30" s="39" t="str">
        <f t="shared" si="1"/>
        <v>208 (113-432)</v>
      </c>
      <c r="O30" s="40">
        <v>15785.0</v>
      </c>
      <c r="P30" s="39" t="str">
        <f t="shared" si="2"/>
        <v>33 (18-68)</v>
      </c>
      <c r="Q30" s="40">
        <v>15178.0</v>
      </c>
      <c r="R30" s="39" t="str">
        <f t="shared" si="3"/>
        <v>32 (17-60)</v>
      </c>
      <c r="S30" s="41">
        <v>13852.0</v>
      </c>
      <c r="T30" s="39" t="str">
        <f t="shared" si="4"/>
        <v>29 (16-60)</v>
      </c>
    </row>
    <row r="31">
      <c r="A31" s="16" t="s">
        <v>58</v>
      </c>
      <c r="B31" s="34">
        <v>149.7967036663303</v>
      </c>
      <c r="C31" s="34">
        <v>86.46353851328627</v>
      </c>
      <c r="D31" s="34">
        <v>277.01375714766226</v>
      </c>
      <c r="E31" s="34">
        <f>(B31/100000)*'Birth Pop per Year'!C31</f>
        <v>4.10442968</v>
      </c>
      <c r="F31" s="34">
        <f>(C31/100000)*'Birth Pop per Year'!C31</f>
        <v>2.369100955</v>
      </c>
      <c r="G31" s="34">
        <f>(D31/100000)*'Birth Pop per Year'!C31</f>
        <v>7.590176946</v>
      </c>
      <c r="H31" s="34">
        <f>(B31/100000)*'Birth Pop per Year'!G31</f>
        <v>4.086454076</v>
      </c>
      <c r="I31" s="34">
        <f>(C31/100000)*'Birth Pop per Year'!G31</f>
        <v>2.358725331</v>
      </c>
      <c r="J31" s="34">
        <f>(D31/100000)*'Birth Pop per Year'!K31</f>
        <v>7.66497066</v>
      </c>
      <c r="K31" s="34">
        <f>(B31/100000)*'Birth Pop per Year'!K31</f>
        <v>4.14487479</v>
      </c>
      <c r="L31" s="34">
        <f>(C31/100000)*'Birth Pop per Year'!K31</f>
        <v>2.392446111</v>
      </c>
      <c r="M31" s="34">
        <f>(D31/100000)*'Birth Pop per Year'!K31</f>
        <v>7.66497066</v>
      </c>
      <c r="N31" s="39" t="str">
        <f t="shared" si="1"/>
        <v>150 (86-277)</v>
      </c>
      <c r="O31" s="40">
        <v>2740.0</v>
      </c>
      <c r="P31" s="39" t="str">
        <f t="shared" si="2"/>
        <v>4 (2-8)</v>
      </c>
      <c r="Q31" s="40">
        <v>2728.0</v>
      </c>
      <c r="R31" s="39" t="str">
        <f t="shared" si="3"/>
        <v>4 (2-8)</v>
      </c>
      <c r="S31" s="40">
        <v>2767.0</v>
      </c>
      <c r="T31" s="39" t="str">
        <f t="shared" si="4"/>
        <v>4 (2-8)</v>
      </c>
    </row>
    <row r="32">
      <c r="A32" s="16" t="s">
        <v>59</v>
      </c>
      <c r="B32" s="34">
        <v>516.9076918447187</v>
      </c>
      <c r="C32" s="34">
        <v>135.9876737887451</v>
      </c>
      <c r="D32" s="34">
        <v>1532.1793018356905</v>
      </c>
      <c r="E32" s="34">
        <f>(B32/100000)*'Birth Pop per Year'!C32</f>
        <v>16.80466906</v>
      </c>
      <c r="F32" s="34">
        <f>(C32/100000)*'Birth Pop per Year'!C32</f>
        <v>4.420959275</v>
      </c>
      <c r="G32" s="34">
        <f>(D32/100000)*'Birth Pop per Year'!C32</f>
        <v>49.8111491</v>
      </c>
      <c r="H32" s="34">
        <f>(B32/100000)*'Birth Pop per Year'!G32</f>
        <v>17.5800306</v>
      </c>
      <c r="I32" s="34">
        <f>(C32/100000)*'Birth Pop per Year'!G32</f>
        <v>4.624940786</v>
      </c>
      <c r="J32" s="34">
        <f>(D32/100000)*'Birth Pop per Year'!K32</f>
        <v>52.69164619</v>
      </c>
      <c r="K32" s="34">
        <f>(B32/100000)*'Birth Pop per Year'!K32</f>
        <v>17.77645552</v>
      </c>
      <c r="L32" s="34">
        <f>(C32/100000)*'Birth Pop per Year'!K32</f>
        <v>4.676616102</v>
      </c>
      <c r="M32" s="34">
        <f>(D32/100000)*'Birth Pop per Year'!K32</f>
        <v>52.69164619</v>
      </c>
      <c r="N32" s="39" t="str">
        <f t="shared" si="1"/>
        <v>517 (136-1,532)</v>
      </c>
      <c r="O32" s="40">
        <v>3251.0</v>
      </c>
      <c r="P32" s="39" t="str">
        <f t="shared" si="2"/>
        <v>17 (4-50)</v>
      </c>
      <c r="Q32" s="40">
        <v>3401.0</v>
      </c>
      <c r="R32" s="39" t="str">
        <f t="shared" si="3"/>
        <v>18 (5-53)</v>
      </c>
      <c r="S32" s="40">
        <v>3439.0</v>
      </c>
      <c r="T32" s="39" t="str">
        <f t="shared" si="4"/>
        <v>18 (5-53)</v>
      </c>
    </row>
    <row r="33">
      <c r="A33" s="16" t="s">
        <v>60</v>
      </c>
      <c r="B33" s="34">
        <v>254.77100858369096</v>
      </c>
      <c r="C33" s="34">
        <v>105.63675965665234</v>
      </c>
      <c r="D33" s="34">
        <v>581.002178111588</v>
      </c>
      <c r="E33" s="34">
        <f>(B33/100000)*'Birth Pop per Year'!C33</f>
        <v>1.48786269</v>
      </c>
      <c r="F33" s="34">
        <f>(C33/100000)*'Birth Pop per Year'!C33</f>
        <v>0.6169186764</v>
      </c>
      <c r="G33" s="34">
        <f>(D33/100000)*'Birth Pop per Year'!C33</f>
        <v>3.39305272</v>
      </c>
      <c r="H33" s="34">
        <f>(B33/100000)*'Birth Pop per Year'!G33</f>
        <v>1.467481009</v>
      </c>
      <c r="I33" s="34">
        <f>(C33/100000)*'Birth Pop per Year'!G33</f>
        <v>0.6084677356</v>
      </c>
      <c r="J33" s="34">
        <f>(D33/100000)*'Birth Pop per Year'!K33</f>
        <v>2.515739431</v>
      </c>
      <c r="K33" s="34">
        <f>(B33/100000)*'Birth Pop per Year'!K33</f>
        <v>1.103158467</v>
      </c>
      <c r="L33" s="34">
        <f>(C33/100000)*'Birth Pop per Year'!K33</f>
        <v>0.4574071693</v>
      </c>
      <c r="M33" s="34">
        <f>(D33/100000)*'Birth Pop per Year'!K33</f>
        <v>2.515739431</v>
      </c>
      <c r="N33" s="39" t="str">
        <f t="shared" si="1"/>
        <v>255 (106-581)</v>
      </c>
      <c r="O33" s="40">
        <v>584.0</v>
      </c>
      <c r="P33" s="39" t="str">
        <f t="shared" si="2"/>
        <v>1 (1-3)</v>
      </c>
      <c r="Q33" s="40">
        <v>576.0</v>
      </c>
      <c r="R33" s="39" t="str">
        <f t="shared" si="3"/>
        <v>1 (1-3)</v>
      </c>
      <c r="S33" s="40">
        <v>433.0</v>
      </c>
      <c r="T33" s="39" t="str">
        <f t="shared" si="4"/>
        <v>1 (0-3)</v>
      </c>
    </row>
    <row r="34">
      <c r="A34" s="16" t="s">
        <v>61</v>
      </c>
      <c r="B34" s="34">
        <v>246.9958587088916</v>
      </c>
      <c r="C34" s="34">
        <v>108.76881851400731</v>
      </c>
      <c r="D34" s="34">
        <v>474.05076735688186</v>
      </c>
      <c r="E34" s="34">
        <f>(B34/100000)*'Birth Pop per Year'!C34</f>
        <v>5.982239698</v>
      </c>
      <c r="F34" s="34">
        <f>(C34/100000)*'Birth Pop per Year'!C34</f>
        <v>2.634380784</v>
      </c>
      <c r="G34" s="34">
        <f>(D34/100000)*'Birth Pop per Year'!C34</f>
        <v>11.48150959</v>
      </c>
      <c r="H34" s="34">
        <f>(B34/100000)*'Birth Pop per Year'!G34</f>
        <v>5.503067732</v>
      </c>
      <c r="I34" s="34">
        <f>(C34/100000)*'Birth Pop per Year'!G34</f>
        <v>2.423369276</v>
      </c>
      <c r="J34" s="34">
        <f>(D34/100000)*'Birth Pop per Year'!K34</f>
        <v>9.680116669</v>
      </c>
      <c r="K34" s="34">
        <f>(B34/100000)*'Birth Pop per Year'!K34</f>
        <v>5.043655435</v>
      </c>
      <c r="L34" s="34">
        <f>(C34/100000)*'Birth Pop per Year'!K34</f>
        <v>2.221059274</v>
      </c>
      <c r="M34" s="34">
        <f>(D34/100000)*'Birth Pop per Year'!K34</f>
        <v>9.680116669</v>
      </c>
      <c r="N34" s="39" t="str">
        <f t="shared" si="1"/>
        <v>247 (109-474)</v>
      </c>
      <c r="O34" s="40">
        <v>2422.0</v>
      </c>
      <c r="P34" s="39" t="str">
        <f t="shared" si="2"/>
        <v>6 (3-11)</v>
      </c>
      <c r="Q34" s="40">
        <v>2228.0</v>
      </c>
      <c r="R34" s="39" t="str">
        <f t="shared" si="3"/>
        <v>6 (2-10)</v>
      </c>
      <c r="S34" s="40">
        <v>2042.0</v>
      </c>
      <c r="T34" s="39" t="str">
        <f t="shared" si="4"/>
        <v>5 (2-10)</v>
      </c>
    </row>
    <row r="35">
      <c r="A35" s="16" t="s">
        <v>62</v>
      </c>
      <c r="B35" s="34">
        <v>334.6520065252855</v>
      </c>
      <c r="C35" s="34">
        <v>147.07879282218596</v>
      </c>
      <c r="D35" s="34">
        <v>710.5624796084829</v>
      </c>
      <c r="E35" s="34">
        <f>(B35/100000)*'Birth Pop per Year'!C35</f>
        <v>0.9537582186</v>
      </c>
      <c r="F35" s="34">
        <f>(C35/100000)*'Birth Pop per Year'!C35</f>
        <v>0.4191745595</v>
      </c>
      <c r="G35" s="34">
        <f>(D35/100000)*'Birth Pop per Year'!C35</f>
        <v>2.025103067</v>
      </c>
      <c r="H35" s="34">
        <f>(B35/100000)*'Birth Pop per Year'!G35</f>
        <v>1.074232941</v>
      </c>
      <c r="I35" s="34">
        <f>(C35/100000)*'Birth Pop per Year'!G35</f>
        <v>0.472122925</v>
      </c>
      <c r="J35" s="34">
        <f>(D35/100000)*'Birth Pop per Year'!K35</f>
        <v>2.245377436</v>
      </c>
      <c r="K35" s="34">
        <f>(B35/100000)*'Birth Pop per Year'!K35</f>
        <v>1.057500341</v>
      </c>
      <c r="L35" s="34">
        <f>(C35/100000)*'Birth Pop per Year'!K35</f>
        <v>0.4647689853</v>
      </c>
      <c r="M35" s="34">
        <f>(D35/100000)*'Birth Pop per Year'!K35</f>
        <v>2.245377436</v>
      </c>
      <c r="N35" s="39" t="str">
        <f t="shared" si="1"/>
        <v>335 (147-711)</v>
      </c>
      <c r="O35" s="40">
        <v>285.0</v>
      </c>
      <c r="P35" s="39" t="str">
        <f t="shared" si="2"/>
        <v>1 (0-2)</v>
      </c>
      <c r="Q35" s="40">
        <v>321.0</v>
      </c>
      <c r="R35" s="39" t="str">
        <f t="shared" si="3"/>
        <v>1 (0-2)</v>
      </c>
      <c r="S35" s="40">
        <v>316.0</v>
      </c>
      <c r="T35" s="39" t="str">
        <f t="shared" si="4"/>
        <v>1 (0-2)</v>
      </c>
    </row>
    <row r="36">
      <c r="A36" s="16" t="s">
        <v>63</v>
      </c>
      <c r="B36" s="34">
        <v>152.54675287356318</v>
      </c>
      <c r="C36" s="34">
        <v>90.44807471264369</v>
      </c>
      <c r="D36" s="34">
        <v>240.29488505747125</v>
      </c>
      <c r="E36" s="34">
        <f>(B36/100000)*'Birth Pop per Year'!C36</f>
        <v>0.6513746348</v>
      </c>
      <c r="F36" s="34">
        <f>(C36/100000)*'Birth Pop per Year'!C36</f>
        <v>0.386213279</v>
      </c>
      <c r="G36" s="34">
        <f>(D36/100000)*'Birth Pop per Year'!C36</f>
        <v>1.026059159</v>
      </c>
      <c r="H36" s="34">
        <f>(B36/100000)*'Birth Pop per Year'!G36</f>
        <v>0.8542618161</v>
      </c>
      <c r="I36" s="34">
        <f>(C36/100000)*'Birth Pop per Year'!G36</f>
        <v>0.5065092184</v>
      </c>
      <c r="J36" s="34">
        <f>(D36/100000)*'Birth Pop per Year'!K36</f>
        <v>1.148609551</v>
      </c>
      <c r="K36" s="34">
        <f>(B36/100000)*'Birth Pop per Year'!K36</f>
        <v>0.7291734787</v>
      </c>
      <c r="L36" s="34">
        <f>(C36/100000)*'Birth Pop per Year'!K36</f>
        <v>0.4323417971</v>
      </c>
      <c r="M36" s="34">
        <f>(D36/100000)*'Birth Pop per Year'!K36</f>
        <v>1.148609551</v>
      </c>
      <c r="N36" s="39" t="str">
        <f t="shared" si="1"/>
        <v>153 (90-240)</v>
      </c>
      <c r="O36" s="40">
        <v>427.0</v>
      </c>
      <c r="P36" s="39" t="str">
        <f t="shared" si="2"/>
        <v>1 (0-1)</v>
      </c>
      <c r="Q36" s="40">
        <v>560.0</v>
      </c>
      <c r="R36" s="39" t="str">
        <f t="shared" si="3"/>
        <v>1 (1-1)</v>
      </c>
      <c r="S36" s="40">
        <v>478.0</v>
      </c>
      <c r="T36" s="39" t="str">
        <f t="shared" si="4"/>
        <v>1 (0-1)</v>
      </c>
    </row>
    <row r="37">
      <c r="A37" s="16" t="s">
        <v>64</v>
      </c>
      <c r="B37" s="34">
        <v>226.48995024875623</v>
      </c>
      <c r="C37" s="34">
        <v>135.3631343283582</v>
      </c>
      <c r="D37" s="34">
        <v>341.5043781094527</v>
      </c>
      <c r="E37" s="34">
        <f>(B37/100000)*'Birth Pop per Year'!C37</f>
        <v>0.4031521114</v>
      </c>
      <c r="F37" s="34">
        <f>(C37/100000)*'Birth Pop per Year'!C37</f>
        <v>0.2409463791</v>
      </c>
      <c r="G37" s="34">
        <f>(D37/100000)*'Birth Pop per Year'!C37</f>
        <v>0.607877793</v>
      </c>
      <c r="H37" s="34">
        <f>(B37/100000)*'Birth Pop per Year'!G37</f>
        <v>0.3986223124</v>
      </c>
      <c r="I37" s="34">
        <f>(C37/100000)*'Birth Pop per Year'!G37</f>
        <v>0.2382391164</v>
      </c>
      <c r="J37" s="34">
        <f>(D37/100000)*'Birth Pop per Year'!K37</f>
        <v>0.5327468299</v>
      </c>
      <c r="K37" s="34">
        <f>(B37/100000)*'Birth Pop per Year'!K37</f>
        <v>0.3533243224</v>
      </c>
      <c r="L37" s="34">
        <f>(C37/100000)*'Birth Pop per Year'!K37</f>
        <v>0.2111664896</v>
      </c>
      <c r="M37" s="34">
        <f>(D37/100000)*'Birth Pop per Year'!K37</f>
        <v>0.5327468299</v>
      </c>
      <c r="N37" s="39" t="str">
        <f t="shared" si="1"/>
        <v>226 (135-342)</v>
      </c>
      <c r="O37" s="40">
        <v>178.0</v>
      </c>
      <c r="P37" s="39" t="str">
        <f t="shared" si="2"/>
        <v>0 (0-1)</v>
      </c>
      <c r="Q37" s="40">
        <v>176.0</v>
      </c>
      <c r="R37" s="39" t="str">
        <f t="shared" si="3"/>
        <v>0 (0-1)</v>
      </c>
      <c r="S37" s="40">
        <v>156.0</v>
      </c>
      <c r="T37" s="39" t="str">
        <f t="shared" si="4"/>
        <v>0 (0-1)</v>
      </c>
    </row>
    <row r="38">
      <c r="A38" s="16" t="s">
        <v>65</v>
      </c>
      <c r="B38" s="34">
        <v>1190.6581684104347</v>
      </c>
      <c r="C38" s="34">
        <v>287.3031200557792</v>
      </c>
      <c r="D38" s="34">
        <v>2966.786980632017</v>
      </c>
      <c r="E38" s="34">
        <f>(B38/100000)*'Birth Pop per Year'!C38</f>
        <v>3007.19771</v>
      </c>
      <c r="F38" s="34">
        <f>(C38/100000)*'Birth Pop per Year'!C38</f>
        <v>725.6299982</v>
      </c>
      <c r="G38" s="34">
        <f>(D38/100000)*'Birth Pop per Year'!C38</f>
        <v>7493.095206</v>
      </c>
      <c r="H38" s="34">
        <f>(B38/100000)*'Birth Pop per Year'!G38</f>
        <v>3100.414338</v>
      </c>
      <c r="I38" s="34">
        <f>(C38/100000)*'Birth Pop per Year'!G38</f>
        <v>748.1229595</v>
      </c>
      <c r="J38" s="34">
        <f>(D38/100000)*'Birth Pop per Year'!K38</f>
        <v>7832.347297</v>
      </c>
      <c r="K38" s="34">
        <f>(B38/100000)*'Birth Pop per Year'!K38</f>
        <v>3143.349471</v>
      </c>
      <c r="L38" s="34">
        <f>(C38/100000)*'Birth Pop per Year'!K38</f>
        <v>758.48311</v>
      </c>
      <c r="M38" s="34">
        <f>(D38/100000)*'Birth Pop per Year'!K38</f>
        <v>7832.347297</v>
      </c>
      <c r="N38" s="39" t="str">
        <f t="shared" si="1"/>
        <v>1,191 (287-2,967)</v>
      </c>
      <c r="O38" s="40">
        <v>252566.0</v>
      </c>
      <c r="P38" s="39" t="str">
        <f t="shared" si="2"/>
        <v>3,007 (726-7,493)</v>
      </c>
      <c r="Q38" s="40">
        <v>260395.0</v>
      </c>
      <c r="R38" s="39" t="str">
        <f t="shared" si="3"/>
        <v>3,100 (748-7,832)</v>
      </c>
      <c r="S38" s="40">
        <v>264001.0</v>
      </c>
      <c r="T38" s="39" t="str">
        <f t="shared" si="4"/>
        <v>3,143 (758-7,832)</v>
      </c>
    </row>
    <row r="39">
      <c r="A39" s="16" t="s">
        <v>66</v>
      </c>
      <c r="B39" s="34">
        <v>217.88295986038395</v>
      </c>
      <c r="C39" s="34">
        <v>97.00268760907505</v>
      </c>
      <c r="D39" s="34">
        <v>404.4265898778359</v>
      </c>
      <c r="E39" s="34">
        <f>(B39/100000)*'Birth Pop per Year'!C39</f>
        <v>11.7046726</v>
      </c>
      <c r="F39" s="34">
        <f>(C39/100000)*'Birth Pop per Year'!C39</f>
        <v>5.210984378</v>
      </c>
      <c r="G39" s="34">
        <f>(D39/100000)*'Birth Pop per Year'!C39</f>
        <v>21.72579641</v>
      </c>
      <c r="H39" s="34">
        <f>(B39/100000)*'Birth Pop per Year'!G39</f>
        <v>13.63511563</v>
      </c>
      <c r="I39" s="34">
        <f>(C39/100000)*'Birth Pop per Year'!G39</f>
        <v>6.070428191</v>
      </c>
      <c r="J39" s="34">
        <f>(D39/100000)*'Birth Pop per Year'!K39</f>
        <v>24.09573622</v>
      </c>
      <c r="K39" s="34">
        <f>(B39/100000)*'Birth Pop per Year'!K39</f>
        <v>12.98146675</v>
      </c>
      <c r="L39" s="34">
        <f>(C39/100000)*'Birth Pop per Year'!K39</f>
        <v>5.779420128</v>
      </c>
      <c r="M39" s="34">
        <f>(D39/100000)*'Birth Pop per Year'!K39</f>
        <v>24.09573622</v>
      </c>
      <c r="N39" s="39" t="str">
        <f t="shared" si="1"/>
        <v>218 (97-404)</v>
      </c>
      <c r="O39" s="40">
        <v>5372.0</v>
      </c>
      <c r="P39" s="39" t="str">
        <f t="shared" si="2"/>
        <v>12 (5-22)</v>
      </c>
      <c r="Q39" s="40">
        <v>6258.0</v>
      </c>
      <c r="R39" s="39" t="str">
        <f t="shared" si="3"/>
        <v>14 (6-24)</v>
      </c>
      <c r="S39" s="40">
        <v>5958.0</v>
      </c>
      <c r="T39" s="39" t="str">
        <f t="shared" si="4"/>
        <v>13 (6-24)</v>
      </c>
    </row>
    <row r="40">
      <c r="A40" s="16" t="s">
        <v>67</v>
      </c>
      <c r="B40" s="34">
        <v>464.2867579908676</v>
      </c>
      <c r="C40" s="34">
        <v>128.96854388635208</v>
      </c>
      <c r="D40" s="34">
        <v>1106.9185880988618</v>
      </c>
      <c r="E40" s="34">
        <f>(B40/100000)*'Birth Pop per Year'!C40</f>
        <v>107.5984562</v>
      </c>
      <c r="F40" s="34">
        <f>(C40/100000)*'Birth Pop per Year'!C40</f>
        <v>29.88846005</v>
      </c>
      <c r="G40" s="34">
        <f>(D40/100000)*'Birth Pop per Year'!C40</f>
        <v>256.5283828</v>
      </c>
      <c r="H40" s="34">
        <f>(B40/100000)*'Birth Pop per Year'!G40</f>
        <v>117.3531209</v>
      </c>
      <c r="I40" s="34">
        <f>(C40/100000)*'Birth Pop per Year'!G40</f>
        <v>32.59808915</v>
      </c>
      <c r="J40" s="34">
        <f>(D40/100000)*'Birth Pop per Year'!K40</f>
        <v>283.0722905</v>
      </c>
      <c r="K40" s="34">
        <f>(B40/100000)*'Birth Pop per Year'!K40</f>
        <v>118.7320526</v>
      </c>
      <c r="L40" s="34">
        <f>(C40/100000)*'Birth Pop per Year'!K40</f>
        <v>32.98112573</v>
      </c>
      <c r="M40" s="34">
        <f>(D40/100000)*'Birth Pop per Year'!K40</f>
        <v>283.0722905</v>
      </c>
      <c r="N40" s="39" t="str">
        <f t="shared" si="1"/>
        <v>464 (129-1,107)</v>
      </c>
      <c r="O40" s="40">
        <v>23175.0</v>
      </c>
      <c r="P40" s="39" t="str">
        <f t="shared" si="2"/>
        <v>108 (30-257)</v>
      </c>
      <c r="Q40" s="40">
        <v>25276.0</v>
      </c>
      <c r="R40" s="39" t="str">
        <f t="shared" si="3"/>
        <v>117 (33-283)</v>
      </c>
      <c r="S40" s="40">
        <v>25573.0</v>
      </c>
      <c r="T40" s="39" t="str">
        <f t="shared" si="4"/>
        <v>119 (33-283)</v>
      </c>
    </row>
    <row r="41">
      <c r="A41" s="16" t="s">
        <v>68</v>
      </c>
      <c r="B41" s="34">
        <v>170.48446198587453</v>
      </c>
      <c r="C41" s="34">
        <v>90.72052347320316</v>
      </c>
      <c r="D41" s="34">
        <v>310.2904860822601</v>
      </c>
      <c r="E41" s="34">
        <f>(B41/100000)*'Birth Pop per Year'!C41</f>
        <v>3.784755056</v>
      </c>
      <c r="F41" s="34">
        <f>(C41/100000)*'Birth Pop per Year'!C41</f>
        <v>2.013995621</v>
      </c>
      <c r="G41" s="34">
        <f>(D41/100000)*'Birth Pop per Year'!C41</f>
        <v>6.888448791</v>
      </c>
      <c r="H41" s="34">
        <f>(B41/100000)*'Birth Pop per Year'!G41</f>
        <v>3.806918036</v>
      </c>
      <c r="I41" s="34">
        <f>(C41/100000)*'Birth Pop per Year'!G41</f>
        <v>2.025789289</v>
      </c>
      <c r="J41" s="34">
        <f>(D41/100000)*'Birth Pop per Year'!K41</f>
        <v>6.038252859</v>
      </c>
      <c r="K41" s="34">
        <f>(B41/100000)*'Birth Pop per Year'!K41</f>
        <v>3.31762763</v>
      </c>
      <c r="L41" s="34">
        <f>(C41/100000)*'Birth Pop per Year'!K41</f>
        <v>1.765421387</v>
      </c>
      <c r="M41" s="34">
        <f>(D41/100000)*'Birth Pop per Year'!K41</f>
        <v>6.038252859</v>
      </c>
      <c r="N41" s="39" t="str">
        <f t="shared" si="1"/>
        <v>170 (91-310)</v>
      </c>
      <c r="O41" s="40">
        <v>2220.0</v>
      </c>
      <c r="P41" s="39" t="str">
        <f t="shared" si="2"/>
        <v>4 (2-7)</v>
      </c>
      <c r="Q41" s="40">
        <v>2233.0</v>
      </c>
      <c r="R41" s="39" t="str">
        <f t="shared" si="3"/>
        <v>4 (2-6)</v>
      </c>
      <c r="S41" s="40">
        <v>1946.0</v>
      </c>
      <c r="T41" s="39" t="str">
        <f t="shared" si="4"/>
        <v>3 (2-6)</v>
      </c>
    </row>
    <row r="42">
      <c r="A42" s="16" t="s">
        <v>69</v>
      </c>
      <c r="B42" s="34">
        <v>276.4631292517007</v>
      </c>
      <c r="C42" s="34">
        <v>123.89986394557825</v>
      </c>
      <c r="D42" s="34">
        <v>534.8960544217687</v>
      </c>
      <c r="E42" s="34">
        <f>(B42/100000)*'Birth Pop per Year'!C42</f>
        <v>0.4616934259</v>
      </c>
      <c r="F42" s="34">
        <f>(C42/100000)*'Birth Pop per Year'!C42</f>
        <v>0.2069127728</v>
      </c>
      <c r="G42" s="34">
        <f>(D42/100000)*'Birth Pop per Year'!C42</f>
        <v>0.8932764109</v>
      </c>
      <c r="H42" s="34">
        <f>(B42/100000)*'Birth Pop per Year'!G42</f>
        <v>0.5086921578</v>
      </c>
      <c r="I42" s="34">
        <f>(C42/100000)*'Birth Pop per Year'!G42</f>
        <v>0.2279757497</v>
      </c>
      <c r="J42" s="34">
        <f>(D42/100000)*'Birth Pop per Year'!K42</f>
        <v>0.9949066612</v>
      </c>
      <c r="K42" s="34">
        <f>(B42/100000)*'Birth Pop per Year'!K42</f>
        <v>0.5142214204</v>
      </c>
      <c r="L42" s="34">
        <f>(C42/100000)*'Birth Pop per Year'!K42</f>
        <v>0.2304537469</v>
      </c>
      <c r="M42" s="34">
        <f>(D42/100000)*'Birth Pop per Year'!K42</f>
        <v>0.9949066612</v>
      </c>
      <c r="N42" s="39" t="str">
        <f t="shared" si="1"/>
        <v>276 (124-535)</v>
      </c>
      <c r="O42" s="40">
        <v>167.0</v>
      </c>
      <c r="P42" s="39" t="str">
        <f t="shared" si="2"/>
        <v>0 (0-1)</v>
      </c>
      <c r="Q42" s="40">
        <v>184.0</v>
      </c>
      <c r="R42" s="39" t="str">
        <f t="shared" si="3"/>
        <v>1 (0-1)</v>
      </c>
      <c r="S42" s="40">
        <v>186.0</v>
      </c>
      <c r="T42" s="39" t="str">
        <f t="shared" si="4"/>
        <v>1 (0-1)</v>
      </c>
    </row>
    <row r="43">
      <c r="A43" s="16" t="s">
        <v>70</v>
      </c>
      <c r="B43" s="34">
        <v>263.84945491594493</v>
      </c>
      <c r="C43" s="34">
        <v>85.52600441501103</v>
      </c>
      <c r="D43" s="34">
        <v>683.861776192902</v>
      </c>
      <c r="E43" s="34">
        <f>(B43/100000)*'Birth Pop per Year'!C43</f>
        <v>24.85461865</v>
      </c>
      <c r="F43" s="34">
        <f>(C43/100000)*'Birth Pop per Year'!C43</f>
        <v>8.056549616</v>
      </c>
      <c r="G43" s="34">
        <f>(D43/100000)*'Birth Pop per Year'!C43</f>
        <v>64.41977932</v>
      </c>
      <c r="H43" s="34">
        <f>(B43/100000)*'Birth Pop per Year'!G43</f>
        <v>28.54059554</v>
      </c>
      <c r="I43" s="34">
        <f>(C43/100000)*'Birth Pop per Year'!G43</f>
        <v>9.251347898</v>
      </c>
      <c r="J43" s="34">
        <f>(D43/100000)*'Birth Pop per Year'!K43</f>
        <v>78.30901199</v>
      </c>
      <c r="K43" s="34">
        <f>(B43/100000)*'Birth Pop per Year'!K43</f>
        <v>30.21340108</v>
      </c>
      <c r="L43" s="34">
        <f>(C43/100000)*'Birth Pop per Year'!K43</f>
        <v>9.793582766</v>
      </c>
      <c r="M43" s="34">
        <f>(D43/100000)*'Birth Pop per Year'!K43</f>
        <v>78.30901199</v>
      </c>
      <c r="N43" s="39" t="str">
        <f t="shared" si="1"/>
        <v>264 (86-684)</v>
      </c>
      <c r="O43" s="40">
        <v>9420.0</v>
      </c>
      <c r="P43" s="39" t="str">
        <f t="shared" si="2"/>
        <v>25 (8-64)</v>
      </c>
      <c r="Q43" s="40">
        <v>10817.0</v>
      </c>
      <c r="R43" s="39" t="str">
        <f t="shared" si="3"/>
        <v>29 (9-78)</v>
      </c>
      <c r="S43" s="40">
        <v>11451.0</v>
      </c>
      <c r="T43" s="39" t="str">
        <f t="shared" si="4"/>
        <v>30 (10-78)</v>
      </c>
    </row>
    <row r="44">
      <c r="A44" s="16" t="s">
        <v>71</v>
      </c>
      <c r="B44" s="34">
        <v>880.6792724353373</v>
      </c>
      <c r="C44" s="34">
        <v>226.1955183939182</v>
      </c>
      <c r="D44" s="34">
        <v>3588.0727620641815</v>
      </c>
      <c r="E44" s="34">
        <f>(B44/100000)*'Birth Pop per Year'!C44</f>
        <v>3000.720871</v>
      </c>
      <c r="F44" s="34">
        <f>(C44/100000)*'Birth Pop per Year'!C44</f>
        <v>770.7114659</v>
      </c>
      <c r="G44" s="34">
        <f>(D44/100000)*'Birth Pop per Year'!C44</f>
        <v>12225.56856</v>
      </c>
      <c r="H44" s="34">
        <f>(B44/100000)*'Birth Pop per Year'!G44</f>
        <v>2976.114693</v>
      </c>
      <c r="I44" s="34">
        <f>(C44/100000)*'Birth Pop per Year'!G44</f>
        <v>764.3915631</v>
      </c>
      <c r="J44" s="34">
        <f>(D44/100000)*'Birth Pop per Year'!K44</f>
        <v>11692.63211</v>
      </c>
      <c r="K44" s="34">
        <f>(B44/100000)*'Birth Pop per Year'!K44</f>
        <v>2869.913579</v>
      </c>
      <c r="L44" s="34">
        <f>(C44/100000)*'Birth Pop per Year'!K44</f>
        <v>737.1146456</v>
      </c>
      <c r="M44" s="34">
        <f>(D44/100000)*'Birth Pop per Year'!K44</f>
        <v>11692.63211</v>
      </c>
      <c r="N44" s="39" t="str">
        <f t="shared" si="1"/>
        <v>881 (226-3,588)</v>
      </c>
      <c r="O44" s="40">
        <v>340728.0</v>
      </c>
      <c r="P44" s="39" t="str">
        <f t="shared" si="2"/>
        <v>3,001 (771-12,226)</v>
      </c>
      <c r="Q44" s="40">
        <v>337934.0</v>
      </c>
      <c r="R44" s="39" t="str">
        <f t="shared" si="3"/>
        <v>2,976 (764-11,693)</v>
      </c>
      <c r="S44" s="40">
        <v>325875.0</v>
      </c>
      <c r="T44" s="39" t="str">
        <f t="shared" si="4"/>
        <v>2,870 (737-11,693)</v>
      </c>
    </row>
    <row r="45">
      <c r="A45" s="16" t="s">
        <v>72</v>
      </c>
      <c r="B45" s="34">
        <v>236.23720437625155</v>
      </c>
      <c r="C45" s="34">
        <v>140.01526212378354</v>
      </c>
      <c r="D45" s="34">
        <v>367.6171639901982</v>
      </c>
      <c r="E45" s="34">
        <f>(B45/100000)*'Birth Pop per Year'!C45</f>
        <v>10147.68723</v>
      </c>
      <c r="F45" s="34">
        <f>(C45/100000)*'Birth Pop per Year'!C45</f>
        <v>6014.425592</v>
      </c>
      <c r="G45" s="34">
        <f>(D45/100000)*'Birth Pop per Year'!C45</f>
        <v>15791.17909</v>
      </c>
      <c r="H45" s="34">
        <f>(B45/100000)*'Birth Pop per Year'!G45</f>
        <v>9970.100639</v>
      </c>
      <c r="I45" s="34">
        <f>(C45/100000)*'Birth Pop per Year'!G45</f>
        <v>5909.171919</v>
      </c>
      <c r="J45" s="34">
        <f>(D45/100000)*'Birth Pop per Year'!K45</f>
        <v>14401.91339</v>
      </c>
      <c r="K45" s="34">
        <f>(B45/100000)*'Birth Pop per Year'!K45</f>
        <v>9254.920851</v>
      </c>
      <c r="L45" s="34">
        <f>(C45/100000)*'Birth Pop per Year'!K45</f>
        <v>5485.292515</v>
      </c>
      <c r="M45" s="34">
        <f>(D45/100000)*'Birth Pop per Year'!K45</f>
        <v>14401.91339</v>
      </c>
      <c r="N45" s="39" t="str">
        <f t="shared" si="1"/>
        <v>236 (140-368)</v>
      </c>
      <c r="O45" s="40">
        <v>4295550.0</v>
      </c>
      <c r="P45" s="39" t="str">
        <f t="shared" si="2"/>
        <v>10,148 (6,014-15,791)</v>
      </c>
      <c r="Q45" s="40">
        <v>4220377.0</v>
      </c>
      <c r="R45" s="39" t="str">
        <f t="shared" si="3"/>
        <v>9,970 (5,909-14,402)</v>
      </c>
      <c r="S45" s="40">
        <v>3917639.0</v>
      </c>
      <c r="T45" s="39" t="str">
        <f t="shared" si="4"/>
        <v>9,255 (5,485-14,402)</v>
      </c>
    </row>
    <row r="46">
      <c r="A46" s="16" t="s">
        <v>73</v>
      </c>
      <c r="B46" s="34">
        <v>1049.833881504591</v>
      </c>
      <c r="C46" s="34">
        <v>440.91166553022174</v>
      </c>
      <c r="D46" s="34">
        <v>2199.453034681811</v>
      </c>
      <c r="E46" s="34">
        <f>(B46/100000)*'Birth Pop per Year'!C46</f>
        <v>1595.548031</v>
      </c>
      <c r="F46" s="34">
        <f>(C46/100000)*'Birth Pop per Year'!C46</f>
        <v>670.1019584</v>
      </c>
      <c r="G46" s="34">
        <f>(D46/100000)*'Birth Pop per Year'!C46</f>
        <v>3342.750717</v>
      </c>
      <c r="H46" s="34">
        <f>(B46/100000)*'Birth Pop per Year'!G46</f>
        <v>1517.986304</v>
      </c>
      <c r="I46" s="34">
        <f>(C46/100000)*'Birth Pop per Year'!G46</f>
        <v>637.5274045</v>
      </c>
      <c r="J46" s="34">
        <f>(D46/100000)*'Birth Pop per Year'!K46</f>
        <v>2953.88742</v>
      </c>
      <c r="K46" s="34">
        <f>(B46/100000)*'Birth Pop per Year'!K46</f>
        <v>1409.937401</v>
      </c>
      <c r="L46" s="34">
        <f>(C46/100000)*'Birth Pop per Year'!K46</f>
        <v>592.1487759</v>
      </c>
      <c r="M46" s="34">
        <f>(D46/100000)*'Birth Pop per Year'!K46</f>
        <v>2953.88742</v>
      </c>
      <c r="N46" s="39" t="str">
        <f t="shared" si="1"/>
        <v>1,050 (441-2,199)</v>
      </c>
      <c r="O46" s="40">
        <v>151981.0</v>
      </c>
      <c r="P46" s="39" t="str">
        <f t="shared" si="2"/>
        <v>1,596 (670-3,343)</v>
      </c>
      <c r="Q46" s="40">
        <v>144593.0</v>
      </c>
      <c r="R46" s="39" t="str">
        <f t="shared" si="3"/>
        <v>1,518 (638-2,954)</v>
      </c>
      <c r="S46" s="40">
        <v>134301.0</v>
      </c>
      <c r="T46" s="39" t="str">
        <f t="shared" si="4"/>
        <v>1,410 (592-2,954)</v>
      </c>
    </row>
    <row r="47">
      <c r="A47" s="16" t="s">
        <v>74</v>
      </c>
      <c r="B47" s="34">
        <v>240.47956306324153</v>
      </c>
      <c r="C47" s="34">
        <v>146.2051828590472</v>
      </c>
      <c r="D47" s="34">
        <v>371.5049728385625</v>
      </c>
      <c r="E47" s="34">
        <f>(B47/100000)*'Birth Pop per Year'!C47</f>
        <v>1081.653027</v>
      </c>
      <c r="F47" s="34">
        <f>(C47/100000)*'Birth Pop per Year'!C47</f>
        <v>657.616292</v>
      </c>
      <c r="G47" s="34">
        <f>(D47/100000)*'Birth Pop per Year'!C47</f>
        <v>1670.992217</v>
      </c>
      <c r="H47" s="34">
        <f>(B47/100000)*'Birth Pop per Year'!G47</f>
        <v>1125.33133</v>
      </c>
      <c r="I47" s="34">
        <f>(C47/100000)*'Birth Pop per Year'!G47</f>
        <v>684.1715393</v>
      </c>
      <c r="J47" s="34">
        <f>(D47/100000)*'Birth Pop per Year'!K47</f>
        <v>1660.359745</v>
      </c>
      <c r="K47" s="34">
        <f>(B47/100000)*'Birth Pop per Year'!K47</f>
        <v>1074.770502</v>
      </c>
      <c r="L47" s="34">
        <f>(C47/100000)*'Birth Pop per Year'!K47</f>
        <v>653.4318996</v>
      </c>
      <c r="M47" s="34">
        <f>(D47/100000)*'Birth Pop per Year'!K47</f>
        <v>1660.359745</v>
      </c>
      <c r="N47" s="39" t="str">
        <f t="shared" si="1"/>
        <v>240 (146-372)</v>
      </c>
      <c r="O47" s="40">
        <v>449790.0</v>
      </c>
      <c r="P47" s="39" t="str">
        <f t="shared" si="2"/>
        <v>1,082 (658-1,671)</v>
      </c>
      <c r="Q47" s="40">
        <v>467953.0</v>
      </c>
      <c r="R47" s="39" t="str">
        <f t="shared" si="3"/>
        <v>1,125 (684-1,660)</v>
      </c>
      <c r="S47" s="40">
        <v>446928.0</v>
      </c>
      <c r="T47" s="39" t="str">
        <f t="shared" si="4"/>
        <v>1,075 (653-1,660)</v>
      </c>
    </row>
    <row r="48">
      <c r="A48" s="16" t="s">
        <v>75</v>
      </c>
      <c r="B48" s="34">
        <v>413.9707995744334</v>
      </c>
      <c r="C48" s="34">
        <v>267.8137621736639</v>
      </c>
      <c r="D48" s="34">
        <v>618.4216842622146</v>
      </c>
      <c r="E48" s="34">
        <f>(B48/100000)*'Birth Pop per Year'!C48</f>
        <v>19.83748072</v>
      </c>
      <c r="F48" s="34">
        <f>(C48/100000)*'Birth Pop per Year'!C48</f>
        <v>12.83363548</v>
      </c>
      <c r="G48" s="34">
        <f>(D48/100000)*'Birth Pop per Year'!C48</f>
        <v>29.63476711</v>
      </c>
      <c r="H48" s="34">
        <f>(B48/100000)*'Birth Pop per Year'!G48</f>
        <v>20.94692246</v>
      </c>
      <c r="I48" s="34">
        <f>(C48/100000)*'Birth Pop per Year'!G48</f>
        <v>13.55137637</v>
      </c>
      <c r="J48" s="34">
        <f>(D48/100000)*'Birth Pop per Year'!K48</f>
        <v>32.77016505</v>
      </c>
      <c r="K48" s="34">
        <f>(B48/100000)*'Birth Pop per Year'!K48</f>
        <v>21.93631267</v>
      </c>
      <c r="L48" s="34">
        <f>(C48/100000)*'Birth Pop per Year'!K48</f>
        <v>14.19145126</v>
      </c>
      <c r="M48" s="34">
        <f>(D48/100000)*'Birth Pop per Year'!K48</f>
        <v>32.77016505</v>
      </c>
      <c r="N48" s="39" t="str">
        <f t="shared" si="1"/>
        <v>414 (268-618)</v>
      </c>
      <c r="O48" s="40">
        <v>4792.0</v>
      </c>
      <c r="P48" s="39" t="str">
        <f t="shared" si="2"/>
        <v>20 (13-30)</v>
      </c>
      <c r="Q48" s="40">
        <v>5060.0</v>
      </c>
      <c r="R48" s="39" t="str">
        <f t="shared" si="3"/>
        <v>21 (14-33)</v>
      </c>
      <c r="S48" s="40">
        <v>5299.0</v>
      </c>
      <c r="T48" s="39" t="str">
        <f t="shared" si="4"/>
        <v>22 (14-33)</v>
      </c>
    </row>
    <row r="49">
      <c r="A49" s="16" t="s">
        <v>76</v>
      </c>
      <c r="B49" s="34">
        <v>269.36788409054424</v>
      </c>
      <c r="C49" s="34">
        <v>173.81852143201155</v>
      </c>
      <c r="D49" s="34">
        <v>401.51061968213196</v>
      </c>
      <c r="E49" s="34">
        <f>(B49/100000)*'Birth Pop per Year'!C49</f>
        <v>28.67690494</v>
      </c>
      <c r="F49" s="34">
        <f>(C49/100000)*'Birth Pop per Year'!C49</f>
        <v>18.50471979</v>
      </c>
      <c r="G49" s="34">
        <f>(D49/100000)*'Birth Pop per Year'!C49</f>
        <v>42.74482057</v>
      </c>
      <c r="H49" s="34">
        <f>(B49/100000)*'Birth Pop per Year'!G49</f>
        <v>24.95693446</v>
      </c>
      <c r="I49" s="34">
        <f>(C49/100000)*'Birth Pop per Year'!G49</f>
        <v>16.10428601</v>
      </c>
      <c r="J49" s="34">
        <f>(D49/100000)*'Birth Pop per Year'!K49</f>
        <v>29.48693991</v>
      </c>
      <c r="K49" s="34">
        <f>(B49/100000)*'Birth Pop per Year'!K49</f>
        <v>19.78237741</v>
      </c>
      <c r="L49" s="34">
        <f>(C49/100000)*'Birth Pop per Year'!K49</f>
        <v>12.76523221</v>
      </c>
      <c r="M49" s="34">
        <f>(D49/100000)*'Birth Pop per Year'!K49</f>
        <v>29.48693991</v>
      </c>
      <c r="N49" s="39" t="str">
        <f t="shared" si="1"/>
        <v>269 (174-402)</v>
      </c>
      <c r="O49" s="40">
        <v>10646.0</v>
      </c>
      <c r="P49" s="39" t="str">
        <f t="shared" si="2"/>
        <v>29 (19-43)</v>
      </c>
      <c r="Q49" s="40">
        <v>9265.0</v>
      </c>
      <c r="R49" s="39" t="str">
        <f t="shared" si="3"/>
        <v>25 (16-29)</v>
      </c>
      <c r="S49" s="40">
        <v>7344.0</v>
      </c>
      <c r="T49" s="39" t="str">
        <f t="shared" si="4"/>
        <v>20 (13-29)</v>
      </c>
    </row>
    <row r="50">
      <c r="A50" s="16" t="s">
        <v>77</v>
      </c>
      <c r="B50" s="34">
        <v>649.6858897824507</v>
      </c>
      <c r="C50" s="34">
        <v>333.8000113863878</v>
      </c>
      <c r="D50" s="34">
        <v>1319.0773258542588</v>
      </c>
      <c r="E50" s="34">
        <f>(B50/100000)*'Birth Pop per Year'!C50</f>
        <v>5393.971622</v>
      </c>
      <c r="F50" s="34">
        <f>(C50/100000)*'Birth Pop per Year'!C50</f>
        <v>2771.351229</v>
      </c>
      <c r="G50" s="34">
        <f>(D50/100000)*'Birth Pop per Year'!C50</f>
        <v>10951.54716</v>
      </c>
      <c r="H50" s="34">
        <f>(B50/100000)*'Birth Pop per Year'!G50</f>
        <v>5028.360887</v>
      </c>
      <c r="I50" s="34">
        <f>(C50/100000)*'Birth Pop per Year'!G50</f>
        <v>2583.505272</v>
      </c>
      <c r="J50" s="34">
        <f>(D50/100000)*'Birth Pop per Year'!K50</f>
        <v>9540.173996</v>
      </c>
      <c r="K50" s="34">
        <f>(B50/100000)*'Birth Pop per Year'!K50</f>
        <v>4698.82721</v>
      </c>
      <c r="L50" s="34">
        <f>(C50/100000)*'Birth Pop per Year'!K50</f>
        <v>2414.19523</v>
      </c>
      <c r="M50" s="34">
        <f>(D50/100000)*'Birth Pop per Year'!K50</f>
        <v>9540.173996</v>
      </c>
      <c r="N50" s="39" t="str">
        <f t="shared" si="1"/>
        <v>650 (334-1,319)</v>
      </c>
      <c r="O50" s="40">
        <v>830243.0</v>
      </c>
      <c r="P50" s="39" t="str">
        <f t="shared" si="2"/>
        <v>5,394 (2,771-10,952)</v>
      </c>
      <c r="Q50" s="40">
        <v>773968.0</v>
      </c>
      <c r="R50" s="39" t="str">
        <f t="shared" si="3"/>
        <v>5,028 (2,584-9,540)</v>
      </c>
      <c r="S50" s="40">
        <v>723246.0</v>
      </c>
      <c r="T50" s="39" t="str">
        <f t="shared" si="4"/>
        <v>4,699 (2,414-9,540)</v>
      </c>
    </row>
    <row r="51">
      <c r="A51" s="16" t="s">
        <v>78</v>
      </c>
      <c r="B51" s="34">
        <v>383.4759730712683</v>
      </c>
      <c r="C51" s="34">
        <v>272.76274858778925</v>
      </c>
      <c r="D51" s="34">
        <v>527.5887177899868</v>
      </c>
      <c r="E51" s="34">
        <f>(B51/100000)*'Birth Pop per Year'!C51</f>
        <v>7080.492697</v>
      </c>
      <c r="F51" s="34">
        <f>(C51/100000)*'Birth Pop per Year'!C51</f>
        <v>5036.285935</v>
      </c>
      <c r="G51" s="34">
        <f>(D51/100000)*'Birth Pop per Year'!C51</f>
        <v>9741.387533</v>
      </c>
      <c r="H51" s="34">
        <f>(B51/100000)*'Birth Pop per Year'!G51</f>
        <v>7082.682345</v>
      </c>
      <c r="I51" s="34">
        <f>(C51/100000)*'Birth Pop per Year'!G51</f>
        <v>5037.84341</v>
      </c>
      <c r="J51" s="34">
        <f>(D51/100000)*'Birth Pop per Year'!K51</f>
        <v>8564.337104</v>
      </c>
      <c r="K51" s="34">
        <f>(B51/100000)*'Birth Pop per Year'!K51</f>
        <v>6224.957801</v>
      </c>
      <c r="L51" s="34">
        <f>(C51/100000)*'Birth Pop per Year'!K51</f>
        <v>4427.752243</v>
      </c>
      <c r="M51" s="34">
        <f>(D51/100000)*'Birth Pop per Year'!K51</f>
        <v>8564.337104</v>
      </c>
      <c r="N51" s="39" t="str">
        <f t="shared" si="1"/>
        <v>383 (273-528)</v>
      </c>
      <c r="O51" s="40">
        <v>1846398.0</v>
      </c>
      <c r="P51" s="39" t="str">
        <f t="shared" si="2"/>
        <v>7,080 (5,036-9,741)</v>
      </c>
      <c r="Q51" s="40">
        <v>1846969.0</v>
      </c>
      <c r="R51" s="39" t="str">
        <f t="shared" si="3"/>
        <v>7,083 (5,038-8,564)</v>
      </c>
      <c r="S51" s="40">
        <v>1623298.0</v>
      </c>
      <c r="T51" s="39" t="str">
        <f t="shared" si="4"/>
        <v>6,225 (4,428-8,564)</v>
      </c>
    </row>
    <row r="52">
      <c r="A52" s="16" t="s">
        <v>79</v>
      </c>
      <c r="B52" s="34">
        <v>207.27242881072027</v>
      </c>
      <c r="C52" s="34">
        <v>135.78006700167506</v>
      </c>
      <c r="D52" s="34">
        <v>320.3301172529313</v>
      </c>
      <c r="E52" s="34">
        <f>(B52/100000)*'Birth Pop per Year'!C52</f>
        <v>3.664576541</v>
      </c>
      <c r="F52" s="34">
        <f>(C52/100000)*'Birth Pop per Year'!C52</f>
        <v>2.400591585</v>
      </c>
      <c r="G52" s="34">
        <f>(D52/100000)*'Birth Pop per Year'!C52</f>
        <v>5.663436473</v>
      </c>
      <c r="H52" s="34">
        <f>(B52/100000)*'Birth Pop per Year'!G52</f>
        <v>3.237595338</v>
      </c>
      <c r="I52" s="34">
        <f>(C52/100000)*'Birth Pop per Year'!G52</f>
        <v>2.120884647</v>
      </c>
      <c r="J52" s="34">
        <f>(D52/100000)*'Birth Pop per Year'!K52</f>
        <v>4.875424385</v>
      </c>
      <c r="K52" s="34">
        <f>(B52/100000)*'Birth Pop per Year'!K52</f>
        <v>3.154686366</v>
      </c>
      <c r="L52" s="34">
        <f>(C52/100000)*'Birth Pop per Year'!K52</f>
        <v>2.06657262</v>
      </c>
      <c r="M52" s="34">
        <f>(D52/100000)*'Birth Pop per Year'!K52</f>
        <v>4.875424385</v>
      </c>
      <c r="N52" s="39" t="str">
        <f t="shared" si="1"/>
        <v>207 (136-320)</v>
      </c>
      <c r="O52" s="40">
        <v>1768.0</v>
      </c>
      <c r="P52" s="39" t="str">
        <f t="shared" si="2"/>
        <v>4 (2-6)</v>
      </c>
      <c r="Q52" s="40">
        <v>1562.0</v>
      </c>
      <c r="R52" s="39" t="str">
        <f t="shared" si="3"/>
        <v>3 (2-5)</v>
      </c>
      <c r="S52" s="40">
        <v>1522.0</v>
      </c>
      <c r="T52" s="39" t="str">
        <f t="shared" si="4"/>
        <v>3 (2-5)</v>
      </c>
    </row>
    <row r="53">
      <c r="A53" s="16" t="s">
        <v>80</v>
      </c>
      <c r="B53" s="34">
        <v>221.71547121457115</v>
      </c>
      <c r="C53" s="34">
        <v>137.89620770662356</v>
      </c>
      <c r="D53" s="34">
        <v>335.27705403179056</v>
      </c>
      <c r="E53" s="34">
        <f>(B53/100000)*'Birth Pop per Year'!C53</f>
        <v>686.5020478</v>
      </c>
      <c r="F53" s="34">
        <f>(C53/100000)*'Birth Pop per Year'!C53</f>
        <v>426.9707858</v>
      </c>
      <c r="G53" s="34">
        <f>(D53/100000)*'Birth Pop per Year'!C53</f>
        <v>1038.125048</v>
      </c>
      <c r="H53" s="34">
        <f>(B53/100000)*'Birth Pop per Year'!G53</f>
        <v>662.3616673</v>
      </c>
      <c r="I53" s="34">
        <f>(C53/100000)*'Birth Pop per Year'!G53</f>
        <v>411.9566468</v>
      </c>
      <c r="J53" s="34">
        <f>(D53/100000)*'Birth Pop per Year'!K53</f>
        <v>904.8423607</v>
      </c>
      <c r="K53" s="34">
        <f>(B53/100000)*'Birth Pop per Year'!K53</f>
        <v>598.3634966</v>
      </c>
      <c r="L53" s="34">
        <f>(C53/100000)*'Birth Pop per Year'!K53</f>
        <v>372.1529064</v>
      </c>
      <c r="M53" s="34">
        <f>(D53/100000)*'Birth Pop per Year'!K53</f>
        <v>904.8423607</v>
      </c>
      <c r="N53" s="39" t="str">
        <f t="shared" si="1"/>
        <v>222 (138-335)</v>
      </c>
      <c r="O53" s="40">
        <v>309632.0</v>
      </c>
      <c r="P53" s="39" t="str">
        <f t="shared" si="2"/>
        <v>687 (427-1,038)</v>
      </c>
      <c r="Q53" s="40">
        <v>298744.0</v>
      </c>
      <c r="R53" s="39" t="str">
        <f t="shared" si="3"/>
        <v>662 (412-905)</v>
      </c>
      <c r="S53" s="40">
        <v>269879.0</v>
      </c>
      <c r="T53" s="39" t="str">
        <f t="shared" si="4"/>
        <v>598 (372-905)</v>
      </c>
    </row>
    <row r="54">
      <c r="A54" s="16" t="s">
        <v>81</v>
      </c>
      <c r="B54" s="34">
        <v>448.0216148794941</v>
      </c>
      <c r="C54" s="34">
        <v>270.4379177899537</v>
      </c>
      <c r="D54" s="34">
        <v>678.996488871772</v>
      </c>
      <c r="E54" s="34">
        <f>(B54/100000)*'Birth Pop per Year'!C54</f>
        <v>2469.67883</v>
      </c>
      <c r="F54" s="34">
        <f>(C54/100000)*'Birth Pop per Year'!C54</f>
        <v>1490.764682</v>
      </c>
      <c r="G54" s="34">
        <f>(D54/100000)*'Birth Pop per Year'!C54</f>
        <v>3742.907035</v>
      </c>
      <c r="H54" s="34">
        <f>(B54/100000)*'Birth Pop per Year'!G54</f>
        <v>2330.899655</v>
      </c>
      <c r="I54" s="34">
        <f>(C54/100000)*'Birth Pop per Year'!G54</f>
        <v>1406.993833</v>
      </c>
      <c r="J54" s="34">
        <f>(D54/100000)*'Birth Pop per Year'!K54</f>
        <v>3152.886246</v>
      </c>
      <c r="K54" s="34">
        <f>(B54/100000)*'Birth Pop per Year'!K54</f>
        <v>2080.365968</v>
      </c>
      <c r="L54" s="34">
        <f>(C54/100000)*'Birth Pop per Year'!K54</f>
        <v>1255.764949</v>
      </c>
      <c r="M54" s="34">
        <f>(D54/100000)*'Birth Pop per Year'!K54</f>
        <v>3152.886246</v>
      </c>
      <c r="N54" s="39" t="str">
        <f t="shared" si="1"/>
        <v>448 (270-679)</v>
      </c>
      <c r="O54" s="40">
        <v>551241.0</v>
      </c>
      <c r="P54" s="39" t="str">
        <f t="shared" si="2"/>
        <v>2,470 (1,491-3,743)</v>
      </c>
      <c r="Q54" s="40">
        <v>520265.0</v>
      </c>
      <c r="R54" s="39" t="str">
        <f t="shared" si="3"/>
        <v>2,331 (1,407-3,153)</v>
      </c>
      <c r="S54" s="40">
        <v>464345.0</v>
      </c>
      <c r="T54" s="39" t="str">
        <f t="shared" si="4"/>
        <v>2,080 (1,256-3,153)</v>
      </c>
    </row>
    <row r="55">
      <c r="A55" s="16" t="s">
        <v>82</v>
      </c>
      <c r="B55" s="34">
        <v>753.2744823339964</v>
      </c>
      <c r="C55" s="34">
        <v>329.9572435350952</v>
      </c>
      <c r="D55" s="34">
        <v>1973.3489409870228</v>
      </c>
      <c r="E55" s="34">
        <f>(B55/100000)*'Birth Pop per Year'!C55</f>
        <v>230.2082145</v>
      </c>
      <c r="F55" s="34">
        <f>(C55/100000)*'Birth Pop per Year'!C55</f>
        <v>100.8382332</v>
      </c>
      <c r="G55" s="34">
        <f>(D55/100000)*'Birth Pop per Year'!C55</f>
        <v>603.0751699</v>
      </c>
      <c r="H55" s="34">
        <f>(B55/100000)*'Birth Pop per Year'!G55</f>
        <v>227.4888937</v>
      </c>
      <c r="I55" s="34">
        <f>(C55/100000)*'Birth Pop per Year'!G55</f>
        <v>99.64708755</v>
      </c>
      <c r="J55" s="34">
        <f>(D55/100000)*'Birth Pop per Year'!K55</f>
        <v>542.6906923</v>
      </c>
      <c r="K55" s="34">
        <f>(B55/100000)*'Birth Pop per Year'!K55</f>
        <v>207.1580154</v>
      </c>
      <c r="L55" s="34">
        <f>(C55/100000)*'Birth Pop per Year'!K55</f>
        <v>90.74154154</v>
      </c>
      <c r="M55" s="34">
        <f>(D55/100000)*'Birth Pop per Year'!K55</f>
        <v>542.6906923</v>
      </c>
      <c r="N55" s="39" t="str">
        <f t="shared" si="1"/>
        <v>753 (330-1,973)</v>
      </c>
      <c r="O55" s="40">
        <v>30561.0</v>
      </c>
      <c r="P55" s="39" t="str">
        <f t="shared" si="2"/>
        <v>230 (101-603)</v>
      </c>
      <c r="Q55" s="40">
        <v>30200.0</v>
      </c>
      <c r="R55" s="39" t="str">
        <f t="shared" si="3"/>
        <v>227 (100-543)</v>
      </c>
      <c r="S55" s="40">
        <v>27501.0</v>
      </c>
      <c r="T55" s="39" t="str">
        <f t="shared" si="4"/>
        <v>207 (91-543)</v>
      </c>
    </row>
    <row r="56">
      <c r="A56" s="16" t="s">
        <v>83</v>
      </c>
      <c r="B56" s="34">
        <v>130.54554612123383</v>
      </c>
      <c r="C56" s="34">
        <v>83.6307404839154</v>
      </c>
      <c r="D56" s="34">
        <v>200.5777922175207</v>
      </c>
      <c r="E56" s="34">
        <f>(B56/100000)*'Birth Pop per Year'!C56</f>
        <v>1644.487466</v>
      </c>
      <c r="F56" s="34">
        <f>(C56/100000)*'Birth Pop per Year'!C56</f>
        <v>1053.499783</v>
      </c>
      <c r="G56" s="34">
        <f>(D56/100000)*'Birth Pop per Year'!C56</f>
        <v>2526.686472</v>
      </c>
      <c r="H56" s="34">
        <f>(B56/100000)*'Birth Pop per Year'!G56</f>
        <v>1699.098585</v>
      </c>
      <c r="I56" s="34">
        <f>(C56/100000)*'Birth Pop per Year'!G56</f>
        <v>1088.485031</v>
      </c>
      <c r="J56" s="34">
        <f>(D56/100000)*'Birth Pop per Year'!K56</f>
        <v>2300.440739</v>
      </c>
      <c r="K56" s="34">
        <f>(B56/100000)*'Birth Pop per Year'!K56</f>
        <v>1497.236007</v>
      </c>
      <c r="L56" s="34">
        <f>(C56/100000)*'Birth Pop per Year'!K56</f>
        <v>959.1668168</v>
      </c>
      <c r="M56" s="34">
        <f>(D56/100000)*'Birth Pop per Year'!K56</f>
        <v>2300.440739</v>
      </c>
      <c r="N56" s="39" t="str">
        <f t="shared" si="1"/>
        <v>131 (84-201)</v>
      </c>
      <c r="O56" s="40">
        <v>1259704.0</v>
      </c>
      <c r="P56" s="39" t="str">
        <f t="shared" si="2"/>
        <v>1,644 (1,053-2,527)</v>
      </c>
      <c r="Q56" s="40">
        <v>1301537.0</v>
      </c>
      <c r="R56" s="39" t="str">
        <f t="shared" si="3"/>
        <v>1,699 (1,088-2,300)</v>
      </c>
      <c r="S56" s="40">
        <v>1146907.0</v>
      </c>
      <c r="T56" s="39" t="str">
        <f t="shared" si="4"/>
        <v>1,497 (959-2,300)</v>
      </c>
    </row>
    <row r="57">
      <c r="A57" s="16" t="s">
        <v>84</v>
      </c>
      <c r="B57" s="34">
        <v>195.95847816098114</v>
      </c>
      <c r="C57" s="34">
        <v>85.73183419542926</v>
      </c>
      <c r="D57" s="34">
        <v>458.05294270129326</v>
      </c>
      <c r="E57" s="34">
        <f>(B57/100000)*'Birth Pop per Year'!C57</f>
        <v>2950.409635</v>
      </c>
      <c r="F57" s="34">
        <f>(C57/100000)*'Birth Pop per Year'!C57</f>
        <v>1290.804215</v>
      </c>
      <c r="G57" s="34">
        <f>(D57/100000)*'Birth Pop per Year'!C57</f>
        <v>6896.582521</v>
      </c>
      <c r="H57" s="34">
        <f>(B57/100000)*'Birth Pop per Year'!G57</f>
        <v>3435.771351</v>
      </c>
      <c r="I57" s="34">
        <f>(C57/100000)*'Birth Pop per Year'!G57</f>
        <v>1503.149966</v>
      </c>
      <c r="J57" s="34">
        <f>(D57/100000)*'Birth Pop per Year'!K57</f>
        <v>8925.43642</v>
      </c>
      <c r="K57" s="34">
        <f>(B57/100000)*'Birth Pop per Year'!K57</f>
        <v>3818.368522</v>
      </c>
      <c r="L57" s="34">
        <f>(C57/100000)*'Birth Pop per Year'!K57</f>
        <v>1670.536228</v>
      </c>
      <c r="M57" s="34">
        <f>(D57/100000)*'Birth Pop per Year'!K57</f>
        <v>8925.43642</v>
      </c>
      <c r="N57" s="39" t="str">
        <f t="shared" si="1"/>
        <v>196 (86-458)</v>
      </c>
      <c r="O57" s="40">
        <v>1505630.0</v>
      </c>
      <c r="P57" s="39" t="str">
        <f t="shared" si="2"/>
        <v>2,950 (1,291-6,897)</v>
      </c>
      <c r="Q57" s="40">
        <v>1753316.0</v>
      </c>
      <c r="R57" s="39" t="str">
        <f t="shared" si="3"/>
        <v>3,436 (1,503-8,925)</v>
      </c>
      <c r="S57" s="40">
        <v>1948560.0</v>
      </c>
      <c r="T57" s="39" t="str">
        <f t="shared" si="4"/>
        <v>3,818 (1,671-8,925)</v>
      </c>
    </row>
    <row r="58">
      <c r="A58" s="16" t="s">
        <v>85</v>
      </c>
      <c r="B58" s="34">
        <v>322.5823677747927</v>
      </c>
      <c r="C58" s="34">
        <v>80.88632505397787</v>
      </c>
      <c r="D58" s="34">
        <v>1105.9279086249237</v>
      </c>
      <c r="E58" s="34">
        <f>(B58/100000)*'Birth Pop per Year'!C58</f>
        <v>835.1592985</v>
      </c>
      <c r="F58" s="34">
        <f>(C58/100000)*'Birth Pop per Year'!C58</f>
        <v>209.4130778</v>
      </c>
      <c r="G58" s="34">
        <f>(D58/100000)*'Birth Pop per Year'!C58</f>
        <v>2863.225237</v>
      </c>
      <c r="H58" s="34">
        <f>(B58/100000)*'Birth Pop per Year'!G58</f>
        <v>882.5563258</v>
      </c>
      <c r="I58" s="34">
        <f>(C58/100000)*'Birth Pop per Year'!G58</f>
        <v>221.2977056</v>
      </c>
      <c r="J58" s="34">
        <f>(D58/100000)*'Birth Pop per Year'!K58</f>
        <v>3231.255926</v>
      </c>
      <c r="K58" s="34">
        <f>(B58/100000)*'Birth Pop per Year'!K58</f>
        <v>942.5082589</v>
      </c>
      <c r="L58" s="34">
        <f>(C58/100000)*'Birth Pop per Year'!K58</f>
        <v>236.3304291</v>
      </c>
      <c r="M58" s="34">
        <f>(D58/100000)*'Birth Pop per Year'!K58</f>
        <v>3231.255926</v>
      </c>
      <c r="N58" s="39" t="str">
        <f t="shared" si="1"/>
        <v>323 (81-1,106)</v>
      </c>
      <c r="O58" s="40">
        <v>258898.0</v>
      </c>
      <c r="P58" s="39" t="str">
        <f t="shared" si="2"/>
        <v>835 (209-2,863)</v>
      </c>
      <c r="Q58" s="40">
        <v>273591.0</v>
      </c>
      <c r="R58" s="39" t="str">
        <f t="shared" si="3"/>
        <v>883 (221-3,231)</v>
      </c>
      <c r="S58" s="40">
        <v>292176.0</v>
      </c>
      <c r="T58" s="39" t="str">
        <f t="shared" si="4"/>
        <v>943 (236-3,231)</v>
      </c>
    </row>
    <row r="59">
      <c r="A59" s="16" t="s">
        <v>86</v>
      </c>
      <c r="B59" s="34">
        <v>126.2189285374707</v>
      </c>
      <c r="C59" s="34">
        <v>69.20620102576723</v>
      </c>
      <c r="D59" s="34">
        <v>242.8808102666212</v>
      </c>
      <c r="E59" s="34">
        <f>(B59/100000)*'Birth Pop per Year'!C59</f>
        <v>261.7199971</v>
      </c>
      <c r="F59" s="34">
        <f>(C59/100000)*'Birth Pop per Year'!C59</f>
        <v>143.5018261</v>
      </c>
      <c r="G59" s="34">
        <f>(D59/100000)*'Birth Pop per Year'!C59</f>
        <v>503.6230753</v>
      </c>
      <c r="H59" s="34">
        <f>(B59/100000)*'Birth Pop per Year'!G59</f>
        <v>302.5379364</v>
      </c>
      <c r="I59" s="34">
        <f>(C59/100000)*'Birth Pop per Year'!G59</f>
        <v>165.8824194</v>
      </c>
      <c r="J59" s="34">
        <f>(D59/100000)*'Birth Pop per Year'!K59</f>
        <v>626.7952206</v>
      </c>
      <c r="K59" s="34">
        <f>(B59/100000)*'Birth Pop per Year'!K59</f>
        <v>325.7294023</v>
      </c>
      <c r="L59" s="34">
        <f>(C59/100000)*'Birth Pop per Year'!K59</f>
        <v>178.5983668</v>
      </c>
      <c r="M59" s="34">
        <f>(D59/100000)*'Birth Pop per Year'!K59</f>
        <v>626.7952206</v>
      </c>
      <c r="N59" s="39" t="str">
        <f t="shared" si="1"/>
        <v>126 (69-243)</v>
      </c>
      <c r="O59" s="40">
        <v>207354.0</v>
      </c>
      <c r="P59" s="39" t="str">
        <f t="shared" si="2"/>
        <v>262 (144-504)</v>
      </c>
      <c r="Q59" s="40">
        <v>239693.0</v>
      </c>
      <c r="R59" s="39" t="str">
        <f t="shared" si="3"/>
        <v>303 (166-627)</v>
      </c>
      <c r="S59" s="40">
        <v>258067.0</v>
      </c>
      <c r="T59" s="39" t="str">
        <f t="shared" si="4"/>
        <v>326 (179-627)</v>
      </c>
    </row>
    <row r="60">
      <c r="A60" s="16" t="s">
        <v>87</v>
      </c>
      <c r="B60" s="34">
        <v>146.81562730478032</v>
      </c>
      <c r="C60" s="34">
        <v>58.27218197148496</v>
      </c>
      <c r="D60" s="34">
        <v>470.7181452761513</v>
      </c>
      <c r="E60" s="34">
        <f>(B60/100000)*'Birth Pop per Year'!C60</f>
        <v>6947.040939</v>
      </c>
      <c r="F60" s="34">
        <f>(C60/100000)*'Birth Pop per Year'!C60</f>
        <v>2757.330682</v>
      </c>
      <c r="G60" s="34">
        <f>(D60/100000)*'Birth Pop per Year'!C60</f>
        <v>22273.50239</v>
      </c>
      <c r="H60" s="34">
        <f>(B60/100000)*'Birth Pop per Year'!G60</f>
        <v>7883.344389</v>
      </c>
      <c r="I60" s="34">
        <f>(C60/100000)*'Birth Pop per Year'!G60</f>
        <v>3128.956278</v>
      </c>
      <c r="J60" s="34">
        <f>(D60/100000)*'Birth Pop per Year'!K60</f>
        <v>28542.39956</v>
      </c>
      <c r="K60" s="34">
        <f>(B60/100000)*'Birth Pop per Year'!K60</f>
        <v>8902.291823</v>
      </c>
      <c r="L60" s="34">
        <f>(C60/100000)*'Birth Pop per Year'!K60</f>
        <v>3533.383868</v>
      </c>
      <c r="M60" s="34">
        <f>(D60/100000)*'Birth Pop per Year'!K60</f>
        <v>28542.39956</v>
      </c>
      <c r="N60" s="39" t="str">
        <f t="shared" si="1"/>
        <v>147 (58-471)</v>
      </c>
      <c r="O60" s="40">
        <v>4731813.0</v>
      </c>
      <c r="P60" s="39" t="str">
        <f t="shared" si="2"/>
        <v>6,947 (2,757-22,274)</v>
      </c>
      <c r="Q60" s="40">
        <v>5369554.0</v>
      </c>
      <c r="R60" s="39" t="str">
        <f t="shared" si="3"/>
        <v>7,883 (3,129-28,542)</v>
      </c>
      <c r="S60" s="40">
        <v>6063586.0</v>
      </c>
      <c r="T60" s="39" t="str">
        <f t="shared" si="4"/>
        <v>8,902 (3,533-28,542)</v>
      </c>
    </row>
    <row r="61">
      <c r="A61" s="16" t="s">
        <v>88</v>
      </c>
      <c r="B61" s="34">
        <v>112.09620185974428</v>
      </c>
      <c r="C61" s="34">
        <v>63.373536613715615</v>
      </c>
      <c r="D61" s="34">
        <v>221.4666602092212</v>
      </c>
      <c r="E61" s="34">
        <f>(B61/100000)*'Birth Pop per Year'!C61</f>
        <v>64.9059428</v>
      </c>
      <c r="F61" s="34">
        <f>(C61/100000)*'Birth Pop per Year'!C61</f>
        <v>36.69454517</v>
      </c>
      <c r="G61" s="34">
        <f>(D61/100000)*'Birth Pop per Year'!C61</f>
        <v>128.2336256</v>
      </c>
      <c r="H61" s="34">
        <f>(B61/100000)*'Birth Pop per Year'!G61</f>
        <v>72.32222752</v>
      </c>
      <c r="I61" s="34">
        <f>(C61/100000)*'Birth Pop per Year'!G61</f>
        <v>40.88733835</v>
      </c>
      <c r="J61" s="34">
        <f>(D61/100000)*'Birth Pop per Year'!K61</f>
        <v>150.1278196</v>
      </c>
      <c r="K61" s="34">
        <f>(B61/100000)*'Birth Pop per Year'!K61</f>
        <v>75.98777332</v>
      </c>
      <c r="L61" s="34">
        <f>(C61/100000)*'Birth Pop per Year'!K61</f>
        <v>42.959653</v>
      </c>
      <c r="M61" s="34">
        <f>(D61/100000)*'Birth Pop per Year'!K61</f>
        <v>150.1278196</v>
      </c>
      <c r="N61" s="39" t="str">
        <f t="shared" si="1"/>
        <v>112 (63-221)</v>
      </c>
      <c r="O61" s="40">
        <v>57902.0</v>
      </c>
      <c r="P61" s="39" t="str">
        <f t="shared" si="2"/>
        <v>65 (37-128)</v>
      </c>
      <c r="Q61" s="40">
        <v>64518.0</v>
      </c>
      <c r="R61" s="39" t="str">
        <f t="shared" si="3"/>
        <v>72 (41-150)</v>
      </c>
      <c r="S61" s="40">
        <v>67788.0</v>
      </c>
      <c r="T61" s="39" t="str">
        <f t="shared" si="4"/>
        <v>76 (43-150)</v>
      </c>
    </row>
    <row r="62">
      <c r="A62" s="16" t="s">
        <v>89</v>
      </c>
      <c r="B62" s="34">
        <v>103.64671012642158</v>
      </c>
      <c r="C62" s="34">
        <v>58.9224447978972</v>
      </c>
      <c r="D62" s="34">
        <v>173.2177895263484</v>
      </c>
      <c r="E62" s="34">
        <f>(B62/100000)*'Birth Pop per Year'!C62</f>
        <v>72.32985666</v>
      </c>
      <c r="F62" s="34">
        <f>(C62/100000)*'Birth Pop per Year'!C62</f>
        <v>41.1190281</v>
      </c>
      <c r="G62" s="34">
        <f>(D62/100000)*'Birth Pop per Year'!C62</f>
        <v>120.8800344</v>
      </c>
      <c r="H62" s="34">
        <f>(B62/100000)*'Birth Pop per Year'!G62</f>
        <v>82.0508816</v>
      </c>
      <c r="I62" s="34">
        <f>(C62/100000)*'Birth Pop per Year'!G62</f>
        <v>46.6453642</v>
      </c>
      <c r="J62" s="34">
        <f>(D62/100000)*'Birth Pop per Year'!K62</f>
        <v>147.6023428</v>
      </c>
      <c r="K62" s="34">
        <f>(B62/100000)*'Birth Pop per Year'!K62</f>
        <v>88.31943463</v>
      </c>
      <c r="L62" s="34">
        <f>(C62/100000)*'Birth Pop per Year'!K62</f>
        <v>50.20899366</v>
      </c>
      <c r="M62" s="34">
        <f>(D62/100000)*'Birth Pop per Year'!K62</f>
        <v>147.6023428</v>
      </c>
      <c r="N62" s="39" t="str">
        <f t="shared" si="1"/>
        <v>104 (59-173)</v>
      </c>
      <c r="O62" s="40">
        <v>69785.0</v>
      </c>
      <c r="P62" s="39" t="str">
        <f t="shared" si="2"/>
        <v>72 (41-121)</v>
      </c>
      <c r="Q62" s="40">
        <v>79164.0</v>
      </c>
      <c r="R62" s="39" t="str">
        <f t="shared" si="3"/>
        <v>82 (47-148)</v>
      </c>
      <c r="S62" s="40">
        <v>85212.0</v>
      </c>
      <c r="T62" s="39" t="str">
        <f t="shared" si="4"/>
        <v>88 (50-148)</v>
      </c>
    </row>
    <row r="63">
      <c r="A63" s="16" t="s">
        <v>90</v>
      </c>
      <c r="B63" s="34">
        <v>192.0995890204874</v>
      </c>
      <c r="C63" s="34">
        <v>75.9532221204081</v>
      </c>
      <c r="D63" s="34">
        <v>695.4005122541645</v>
      </c>
      <c r="E63" s="34">
        <f>(B63/100000)*'Birth Pop per Year'!C63</f>
        <v>925.0728599</v>
      </c>
      <c r="F63" s="34">
        <f>(C63/100000)*'Birth Pop per Year'!C63</f>
        <v>365.7595769</v>
      </c>
      <c r="G63" s="34">
        <f>(D63/100000)*'Birth Pop per Year'!C63</f>
        <v>3348.763753</v>
      </c>
      <c r="H63" s="34">
        <f>(B63/100000)*'Birth Pop per Year'!G63</f>
        <v>1061.419385</v>
      </c>
      <c r="I63" s="34">
        <f>(C63/100000)*'Birth Pop per Year'!G63</f>
        <v>419.6688954</v>
      </c>
      <c r="J63" s="34">
        <f>(D63/100000)*'Birth Pop per Year'!K63</f>
        <v>3924.708365</v>
      </c>
      <c r="K63" s="34">
        <f>(B63/100000)*'Birth Pop per Year'!K63</f>
        <v>1084.173582</v>
      </c>
      <c r="L63" s="34">
        <f>(C63/100000)*'Birth Pop per Year'!K63</f>
        <v>428.6655545</v>
      </c>
      <c r="M63" s="34">
        <f>(D63/100000)*'Birth Pop per Year'!K63</f>
        <v>3924.708365</v>
      </c>
      <c r="N63" s="39" t="str">
        <f t="shared" si="1"/>
        <v>192 (76-695)</v>
      </c>
      <c r="O63" s="40">
        <v>481559.0</v>
      </c>
      <c r="P63" s="39" t="str">
        <f t="shared" si="2"/>
        <v>925 (366-3,349)</v>
      </c>
      <c r="Q63" s="40">
        <v>552536.0</v>
      </c>
      <c r="R63" s="39" t="str">
        <f t="shared" si="3"/>
        <v>1,061 (420-3,925)</v>
      </c>
      <c r="S63" s="40">
        <v>564381.0</v>
      </c>
      <c r="T63" s="39" t="str">
        <f t="shared" si="4"/>
        <v>1,084 (429-3,925)</v>
      </c>
    </row>
    <row r="64">
      <c r="A64" s="16" t="s">
        <v>91</v>
      </c>
      <c r="B64" s="34">
        <v>152.45259574834324</v>
      </c>
      <c r="C64" s="34">
        <v>81.68360788363886</v>
      </c>
      <c r="D64" s="34">
        <v>294.34265599449174</v>
      </c>
      <c r="E64" s="34">
        <f>(B64/100000)*'Birth Pop per Year'!C64</f>
        <v>37.07189771</v>
      </c>
      <c r="F64" s="34">
        <f>(C64/100000)*'Birth Pop per Year'!C64</f>
        <v>19.86300293</v>
      </c>
      <c r="G64" s="34">
        <f>(D64/100000)*'Birth Pop per Year'!C64</f>
        <v>71.57530366</v>
      </c>
      <c r="H64" s="34">
        <f>(B64/100000)*'Birth Pop per Year'!G64</f>
        <v>39.8023237</v>
      </c>
      <c r="I64" s="34">
        <f>(C64/100000)*'Birth Pop per Year'!G64</f>
        <v>21.32595635</v>
      </c>
      <c r="J64" s="34">
        <f>(D64/100000)*'Birth Pop per Year'!K64</f>
        <v>80.33788453</v>
      </c>
      <c r="K64" s="34">
        <f>(B64/100000)*'Birth Pop per Year'!K64</f>
        <v>41.61041148</v>
      </c>
      <c r="L64" s="34">
        <f>(C64/100000)*'Birth Pop per Year'!K64</f>
        <v>22.29472394</v>
      </c>
      <c r="M64" s="34">
        <f>(D64/100000)*'Birth Pop per Year'!K64</f>
        <v>80.33788453</v>
      </c>
      <c r="N64" s="39" t="str">
        <f t="shared" si="1"/>
        <v>152 (82-294)</v>
      </c>
      <c r="O64" s="40">
        <v>24317.0</v>
      </c>
      <c r="P64" s="39" t="str">
        <f t="shared" si="2"/>
        <v>37 (20-72)</v>
      </c>
      <c r="Q64" s="40">
        <v>26108.0</v>
      </c>
      <c r="R64" s="39" t="str">
        <f t="shared" si="3"/>
        <v>40 (21-80)</v>
      </c>
      <c r="S64" s="40">
        <v>27294.0</v>
      </c>
      <c r="T64" s="39" t="str">
        <f t="shared" si="4"/>
        <v>42 (22-80)</v>
      </c>
    </row>
    <row r="65">
      <c r="A65" s="16" t="s">
        <v>92</v>
      </c>
      <c r="B65" s="34">
        <v>279.34810354895217</v>
      </c>
      <c r="C65" s="34">
        <v>141.6139691602327</v>
      </c>
      <c r="D65" s="34">
        <v>617.8636873634811</v>
      </c>
      <c r="E65" s="34">
        <f>(B65/100000)*'Birth Pop per Year'!C65</f>
        <v>67.33965384</v>
      </c>
      <c r="F65" s="34">
        <f>(C65/100000)*'Birth Pop per Year'!C65</f>
        <v>34.13746341</v>
      </c>
      <c r="G65" s="34">
        <f>(D65/100000)*'Birth Pop per Year'!C65</f>
        <v>148.9422205</v>
      </c>
      <c r="H65" s="34">
        <f>(B65/100000)*'Birth Pop per Year'!G65</f>
        <v>67.58827365</v>
      </c>
      <c r="I65" s="34">
        <f>(C65/100000)*'Birth Pop per Year'!G65</f>
        <v>34.26349984</v>
      </c>
      <c r="J65" s="34">
        <f>(D65/100000)*'Birth Pop per Year'!K65</f>
        <v>143.7892373</v>
      </c>
      <c r="K65" s="34">
        <f>(B65/100000)*'Birth Pop per Year'!K65</f>
        <v>65.00989066</v>
      </c>
      <c r="L65" s="34">
        <f>(C65/100000)*'Birth Pop per Year'!K65</f>
        <v>32.9564029</v>
      </c>
      <c r="M65" s="34">
        <f>(D65/100000)*'Birth Pop per Year'!K65</f>
        <v>143.7892373</v>
      </c>
      <c r="N65" s="39" t="str">
        <f t="shared" si="1"/>
        <v>279 (142-618)</v>
      </c>
      <c r="O65" s="40">
        <v>24106.0</v>
      </c>
      <c r="P65" s="39" t="str">
        <f t="shared" si="2"/>
        <v>67 (34-149)</v>
      </c>
      <c r="Q65" s="40">
        <v>24195.0</v>
      </c>
      <c r="R65" s="39" t="str">
        <f t="shared" si="3"/>
        <v>68 (34-144)</v>
      </c>
      <c r="S65" s="40">
        <v>23272.0</v>
      </c>
      <c r="T65" s="39" t="str">
        <f t="shared" si="4"/>
        <v>65 (33-144)</v>
      </c>
    </row>
    <row r="66">
      <c r="A66" s="16" t="s">
        <v>93</v>
      </c>
      <c r="B66" s="34">
        <v>237.45363732038913</v>
      </c>
      <c r="C66" s="34">
        <v>99.65857202689061</v>
      </c>
      <c r="D66" s="34">
        <v>633.569477759402</v>
      </c>
      <c r="E66" s="34">
        <f>(B66/100000)*'Birth Pop per Year'!C66</f>
        <v>258.9170716</v>
      </c>
      <c r="F66" s="34">
        <f>(C66/100000)*'Birth Pop per Year'!C66</f>
        <v>108.6667104</v>
      </c>
      <c r="G66" s="34">
        <f>(D66/100000)*'Birth Pop per Year'!C66</f>
        <v>690.8378229</v>
      </c>
      <c r="H66" s="34">
        <f>(B66/100000)*'Birth Pop per Year'!G66</f>
        <v>273.7697966</v>
      </c>
      <c r="I66" s="34">
        <f>(C66/100000)*'Birth Pop per Year'!G66</f>
        <v>114.900354</v>
      </c>
      <c r="J66" s="34">
        <f>(D66/100000)*'Birth Pop per Year'!K66</f>
        <v>731.5129833</v>
      </c>
      <c r="K66" s="34">
        <f>(B66/100000)*'Birth Pop per Year'!K66</f>
        <v>274.1615951</v>
      </c>
      <c r="L66" s="34">
        <f>(C66/100000)*'Birth Pop per Year'!K66</f>
        <v>115.0647907</v>
      </c>
      <c r="M66" s="34">
        <f>(D66/100000)*'Birth Pop per Year'!K66</f>
        <v>731.5129833</v>
      </c>
      <c r="N66" s="39" t="str">
        <f t="shared" si="1"/>
        <v>237 (100-634)</v>
      </c>
      <c r="O66" s="40">
        <v>109039.0</v>
      </c>
      <c r="P66" s="39" t="str">
        <f t="shared" si="2"/>
        <v>259 (109-691)</v>
      </c>
      <c r="Q66" s="40">
        <v>115294.0</v>
      </c>
      <c r="R66" s="39" t="str">
        <f t="shared" si="3"/>
        <v>274 (115-732)</v>
      </c>
      <c r="S66" s="40">
        <v>115459.0</v>
      </c>
      <c r="T66" s="39" t="str">
        <f t="shared" si="4"/>
        <v>274 (115-732)</v>
      </c>
    </row>
    <row r="67">
      <c r="A67" s="16" t="s">
        <v>94</v>
      </c>
      <c r="B67" s="34">
        <v>268.4169201388445</v>
      </c>
      <c r="C67" s="34">
        <v>100.10372198119256</v>
      </c>
      <c r="D67" s="34">
        <v>820.7242064010079</v>
      </c>
      <c r="E67" s="34">
        <f>(B67/100000)*'Birth Pop per Year'!C67</f>
        <v>11316.08694</v>
      </c>
      <c r="F67" s="34">
        <f>(C67/100000)*'Birth Pop per Year'!C67</f>
        <v>4220.234776</v>
      </c>
      <c r="G67" s="34">
        <f>(D67/100000)*'Birth Pop per Year'!C67</f>
        <v>34600.59994</v>
      </c>
      <c r="H67" s="34">
        <f>(B67/100000)*'Birth Pop per Year'!G67</f>
        <v>11935.19056</v>
      </c>
      <c r="I67" s="34">
        <f>(C67/100000)*'Birth Pop per Year'!G67</f>
        <v>4451.12401</v>
      </c>
      <c r="J67" s="34">
        <f>(D67/100000)*'Birth Pop per Year'!K67</f>
        <v>38823.07825</v>
      </c>
      <c r="K67" s="34">
        <f>(B67/100000)*'Birth Pop per Year'!K67</f>
        <v>12697.04368</v>
      </c>
      <c r="L67" s="34">
        <f>(C67/100000)*'Birth Pop per Year'!K67</f>
        <v>4735.250407</v>
      </c>
      <c r="M67" s="34">
        <f>(D67/100000)*'Birth Pop per Year'!K67</f>
        <v>38823.07825</v>
      </c>
      <c r="N67" s="39" t="str">
        <f t="shared" si="1"/>
        <v>268 (100-821)</v>
      </c>
      <c r="O67" s="40">
        <v>4215862.0</v>
      </c>
      <c r="P67" s="39" t="str">
        <f t="shared" si="2"/>
        <v>11,316 (4,220-34,601)</v>
      </c>
      <c r="Q67" s="40">
        <v>4446512.0</v>
      </c>
      <c r="R67" s="39" t="str">
        <f t="shared" si="3"/>
        <v>11,935 (4,451-38,823)</v>
      </c>
      <c r="S67" s="40">
        <v>4730344.0</v>
      </c>
      <c r="T67" s="39" t="str">
        <f t="shared" si="4"/>
        <v>12,697 (4,735-38,823)</v>
      </c>
    </row>
    <row r="68">
      <c r="A68" s="16" t="s">
        <v>95</v>
      </c>
      <c r="B68" s="34">
        <v>163.84541684925117</v>
      </c>
      <c r="C68" s="34">
        <v>88.10909144067284</v>
      </c>
      <c r="D68" s="34">
        <v>341.1883966426054</v>
      </c>
      <c r="E68" s="34">
        <f>(B68/100000)*'Birth Pop per Year'!C68</f>
        <v>2586.919241</v>
      </c>
      <c r="F68" s="34">
        <f>(C68/100000)*'Birth Pop per Year'!C68</f>
        <v>1391.135061</v>
      </c>
      <c r="G68" s="34">
        <f>(D68/100000)*'Birth Pop per Year'!C68</f>
        <v>5386.948533</v>
      </c>
      <c r="H68" s="34">
        <f>(B68/100000)*'Birth Pop per Year'!G68</f>
        <v>2650.066903</v>
      </c>
      <c r="I68" s="34">
        <f>(C68/100000)*'Birth Pop per Year'!G68</f>
        <v>1425.093186</v>
      </c>
      <c r="J68" s="34">
        <f>(D68/100000)*'Birth Pop per Year'!K68</f>
        <v>5347.053374</v>
      </c>
      <c r="K68" s="34">
        <f>(B68/100000)*'Birth Pop per Year'!K68</f>
        <v>2567.760796</v>
      </c>
      <c r="L68" s="34">
        <f>(C68/100000)*'Birth Pop per Year'!K68</f>
        <v>1380.832465</v>
      </c>
      <c r="M68" s="34">
        <f>(D68/100000)*'Birth Pop per Year'!K68</f>
        <v>5347.053374</v>
      </c>
      <c r="N68" s="39" t="str">
        <f t="shared" si="1"/>
        <v>164 (88-341)</v>
      </c>
      <c r="O68" s="40">
        <v>1578878.0</v>
      </c>
      <c r="P68" s="39" t="str">
        <f t="shared" si="2"/>
        <v>2,587 (1,391-5,387)</v>
      </c>
      <c r="Q68" s="40">
        <v>1617419.0</v>
      </c>
      <c r="R68" s="39" t="str">
        <f t="shared" si="3"/>
        <v>2,650 (1,425-5,347)</v>
      </c>
      <c r="S68" s="40">
        <v>1567185.0</v>
      </c>
      <c r="T68" s="39" t="str">
        <f t="shared" si="4"/>
        <v>2,568 (1,381-5,347)</v>
      </c>
    </row>
    <row r="69">
      <c r="A69" s="16" t="s">
        <v>96</v>
      </c>
      <c r="B69" s="34">
        <v>223.6145055024996</v>
      </c>
      <c r="C69" s="34">
        <v>94.9726379904082</v>
      </c>
      <c r="D69" s="34">
        <v>659.7263180805279</v>
      </c>
      <c r="E69" s="34">
        <f>(B69/100000)*'Birth Pop per Year'!C69</f>
        <v>2299.072413</v>
      </c>
      <c r="F69" s="34">
        <f>(C69/100000)*'Birth Pop per Year'!C69</f>
        <v>976.45263</v>
      </c>
      <c r="G69" s="34">
        <f>(D69/100000)*'Birth Pop per Year'!C69</f>
        <v>6782.916764</v>
      </c>
      <c r="H69" s="34">
        <f>(B69/100000)*'Birth Pop per Year'!G69</f>
        <v>2485.942583</v>
      </c>
      <c r="I69" s="34">
        <f>(C69/100000)*'Birth Pop per Year'!G69</f>
        <v>1055.819364</v>
      </c>
      <c r="J69" s="34">
        <f>(D69/100000)*'Birth Pop per Year'!K69</f>
        <v>7810.361337</v>
      </c>
      <c r="K69" s="34">
        <f>(B69/100000)*'Birth Pop per Year'!K69</f>
        <v>2647.325172</v>
      </c>
      <c r="L69" s="34">
        <f>(C69/100000)*'Birth Pop per Year'!K69</f>
        <v>1124.361117</v>
      </c>
      <c r="M69" s="34">
        <f>(D69/100000)*'Birth Pop per Year'!K69</f>
        <v>7810.361337</v>
      </c>
      <c r="N69" s="39" t="str">
        <f t="shared" si="1"/>
        <v>224 (95-660)</v>
      </c>
      <c r="O69" s="40">
        <v>1028141.0</v>
      </c>
      <c r="P69" s="39" t="str">
        <f t="shared" si="2"/>
        <v>2,299 (976-6,783)</v>
      </c>
      <c r="Q69" s="40">
        <v>1111709.0</v>
      </c>
      <c r="R69" s="39" t="str">
        <f t="shared" si="3"/>
        <v>2,486 (1,056-7,810)</v>
      </c>
      <c r="S69" s="40">
        <v>1183879.0</v>
      </c>
      <c r="T69" s="39" t="str">
        <f t="shared" si="4"/>
        <v>2,647 (1,124-7,810)</v>
      </c>
    </row>
    <row r="70">
      <c r="A70" s="16" t="s">
        <v>97</v>
      </c>
      <c r="B70" s="34">
        <v>220.88101877244821</v>
      </c>
      <c r="C70" s="34">
        <v>96.73621260107221</v>
      </c>
      <c r="D70" s="34">
        <v>646.8428082591695</v>
      </c>
      <c r="E70" s="34">
        <f>(B70/100000)*'Birth Pop per Year'!C70</f>
        <v>1565.533979</v>
      </c>
      <c r="F70" s="34">
        <f>(C70/100000)*'Birth Pop per Year'!C70</f>
        <v>685.6353193</v>
      </c>
      <c r="G70" s="34">
        <f>(D70/100000)*'Birth Pop per Year'!C70</f>
        <v>4584.614835</v>
      </c>
      <c r="H70" s="34">
        <f>(B70/100000)*'Birth Pop per Year'!G70</f>
        <v>1671.229964</v>
      </c>
      <c r="I70" s="34">
        <f>(C70/100000)*'Birth Pop per Year'!G70</f>
        <v>731.9255318</v>
      </c>
      <c r="J70" s="34">
        <f>(D70/100000)*'Birth Pop per Year'!K70</f>
        <v>5100.724244</v>
      </c>
      <c r="K70" s="34">
        <f>(B70/100000)*'Birth Pop per Year'!K70</f>
        <v>1741.772735</v>
      </c>
      <c r="L70" s="34">
        <f>(C70/100000)*'Birth Pop per Year'!K70</f>
        <v>762.820176</v>
      </c>
      <c r="M70" s="34">
        <f>(D70/100000)*'Birth Pop per Year'!K70</f>
        <v>5100.724244</v>
      </c>
      <c r="N70" s="39" t="str">
        <f t="shared" si="1"/>
        <v>221 (97-647)</v>
      </c>
      <c r="O70" s="40">
        <v>708768.0</v>
      </c>
      <c r="P70" s="39" t="str">
        <f t="shared" si="2"/>
        <v>1,566 (686-4,585)</v>
      </c>
      <c r="Q70" s="40">
        <v>756620.0</v>
      </c>
      <c r="R70" s="39" t="str">
        <f t="shared" si="3"/>
        <v>1,671 (732-5,101)</v>
      </c>
      <c r="S70" s="40">
        <v>788557.0</v>
      </c>
      <c r="T70" s="39" t="str">
        <f t="shared" si="4"/>
        <v>1,742 (763-5,101)</v>
      </c>
    </row>
    <row r="71">
      <c r="A71" s="16" t="s">
        <v>98</v>
      </c>
      <c r="B71" s="34">
        <v>344.6458243548005</v>
      </c>
      <c r="C71" s="34">
        <v>105.64382354824696</v>
      </c>
      <c r="D71" s="34">
        <v>1315.1970032902536</v>
      </c>
      <c r="E71" s="34">
        <f>(B71/100000)*'Birth Pop per Year'!C71</f>
        <v>4614.197565</v>
      </c>
      <c r="F71" s="34">
        <f>(C71/100000)*'Birth Pop per Year'!C71</f>
        <v>1414.383808</v>
      </c>
      <c r="G71" s="34">
        <f>(D71/100000)*'Birth Pop per Year'!C71</f>
        <v>17608.15998</v>
      </c>
      <c r="H71" s="34">
        <f>(B71/100000)*'Birth Pop per Year'!G71</f>
        <v>5053.617545</v>
      </c>
      <c r="I71" s="34">
        <f>(C71/100000)*'Birth Pop per Year'!G71</f>
        <v>1549.078626</v>
      </c>
      <c r="J71" s="34">
        <f>(D71/100000)*'Birth Pop per Year'!K71</f>
        <v>20308.33833</v>
      </c>
      <c r="K71" s="34">
        <f>(B71/100000)*'Birth Pop per Year'!K71</f>
        <v>5321.776121</v>
      </c>
      <c r="L71" s="34">
        <f>(C71/100000)*'Birth Pop per Year'!K71</f>
        <v>1631.276916</v>
      </c>
      <c r="M71" s="34">
        <f>(D71/100000)*'Birth Pop per Year'!K71</f>
        <v>20308.33833</v>
      </c>
      <c r="N71" s="39" t="str">
        <f t="shared" si="1"/>
        <v>345 (106-1,315)</v>
      </c>
      <c r="O71" s="40">
        <v>1338823.0</v>
      </c>
      <c r="P71" s="39" t="str">
        <f t="shared" si="2"/>
        <v>4,614 (1,414-17,608)</v>
      </c>
      <c r="Q71" s="40">
        <v>1466322.0</v>
      </c>
      <c r="R71" s="39" t="str">
        <f t="shared" si="3"/>
        <v>5,054 (1,549-20,308)</v>
      </c>
      <c r="S71" s="40">
        <v>1544129.0</v>
      </c>
      <c r="T71" s="39" t="str">
        <f t="shared" si="4"/>
        <v>5,322 (1,631-20,308)</v>
      </c>
    </row>
    <row r="72">
      <c r="A72" s="16" t="s">
        <v>99</v>
      </c>
      <c r="B72" s="34">
        <v>135.53732879137132</v>
      </c>
      <c r="C72" s="34">
        <v>78.45054689733121</v>
      </c>
      <c r="D72" s="34">
        <v>223.09374273928566</v>
      </c>
      <c r="E72" s="34">
        <f>(B72/100000)*'Birth Pop per Year'!C72</f>
        <v>560.3492677</v>
      </c>
      <c r="F72" s="34">
        <f>(C72/100000)*'Birth Pop per Year'!C72</f>
        <v>324.336527</v>
      </c>
      <c r="G72" s="34">
        <f>(D72/100000)*'Birth Pop per Year'!C72</f>
        <v>922.3319987</v>
      </c>
      <c r="H72" s="34">
        <f>(B72/100000)*'Birth Pop per Year'!G72</f>
        <v>603.9407834</v>
      </c>
      <c r="I72" s="34">
        <f>(C72/100000)*'Birth Pop per Year'!G72</f>
        <v>349.5677919</v>
      </c>
      <c r="J72" s="34">
        <f>(D72/100000)*'Birth Pop per Year'!K72</f>
        <v>1014.326934</v>
      </c>
      <c r="K72" s="34">
        <f>(B72/100000)*'Birth Pop per Year'!K72</f>
        <v>616.2394406</v>
      </c>
      <c r="L72" s="34">
        <f>(C72/100000)*'Birth Pop per Year'!K72</f>
        <v>356.6863945</v>
      </c>
      <c r="M72" s="34">
        <f>(D72/100000)*'Birth Pop per Year'!K72</f>
        <v>1014.326934</v>
      </c>
      <c r="N72" s="39" t="str">
        <f t="shared" si="1"/>
        <v>136 (78-223)</v>
      </c>
      <c r="O72" s="40">
        <v>413428.0</v>
      </c>
      <c r="P72" s="39" t="str">
        <f t="shared" si="2"/>
        <v>560 (324-922)</v>
      </c>
      <c r="Q72" s="40">
        <v>445590.0</v>
      </c>
      <c r="R72" s="39" t="str">
        <f t="shared" si="3"/>
        <v>604 (350-1,014)</v>
      </c>
      <c r="S72" s="40">
        <v>454664.0</v>
      </c>
      <c r="T72" s="39" t="str">
        <f t="shared" si="4"/>
        <v>616 (357-1,014)</v>
      </c>
    </row>
    <row r="73">
      <c r="A73" s="16" t="s">
        <v>100</v>
      </c>
      <c r="B73" s="34">
        <v>579.9117540776792</v>
      </c>
      <c r="C73" s="34">
        <v>77.62788701373438</v>
      </c>
      <c r="D73" s="34">
        <v>3237.880932170995</v>
      </c>
      <c r="E73" s="34">
        <f>(B73/100000)*'Birth Pop per Year'!C73</f>
        <v>4825.683469</v>
      </c>
      <c r="F73" s="34">
        <f>(C73/100000)*'Birth Pop per Year'!C73</f>
        <v>645.9734753</v>
      </c>
      <c r="G73" s="34">
        <f>(D73/100000)*'Birth Pop per Year'!C73</f>
        <v>26943.73477</v>
      </c>
      <c r="H73" s="34">
        <f>(B73/100000)*'Birth Pop per Year'!G73</f>
        <v>5439.154717</v>
      </c>
      <c r="I73" s="34">
        <f>(C73/100000)*'Birth Pop per Year'!G73</f>
        <v>728.0936881</v>
      </c>
      <c r="J73" s="34">
        <f>(D73/100000)*'Birth Pop per Year'!K73</f>
        <v>33079.48676</v>
      </c>
      <c r="K73" s="34">
        <f>(B73/100000)*'Birth Pop per Year'!K73</f>
        <v>5924.610444</v>
      </c>
      <c r="L73" s="34">
        <f>(C73/100000)*'Birth Pop per Year'!K73</f>
        <v>793.0775449</v>
      </c>
      <c r="M73" s="34">
        <f>(D73/100000)*'Birth Pop per Year'!K73</f>
        <v>33079.48676</v>
      </c>
      <c r="N73" s="39" t="str">
        <f t="shared" si="1"/>
        <v>580 (78-3,238)</v>
      </c>
      <c r="O73" s="40">
        <v>832141.0</v>
      </c>
      <c r="P73" s="39" t="str">
        <f t="shared" si="2"/>
        <v>4,826 (646-26,944)</v>
      </c>
      <c r="Q73" s="40">
        <v>937928.0</v>
      </c>
      <c r="R73" s="39" t="str">
        <f t="shared" si="3"/>
        <v>5,439 (728-33,079)</v>
      </c>
      <c r="S73" s="40">
        <v>1021640.0</v>
      </c>
      <c r="T73" s="39" t="str">
        <f t="shared" si="4"/>
        <v>5,925 (793-33,079)</v>
      </c>
    </row>
    <row r="74">
      <c r="A74" s="16" t="s">
        <v>101</v>
      </c>
      <c r="B74" s="34">
        <v>540.6468355644012</v>
      </c>
      <c r="C74" s="34">
        <v>126.80952355763031</v>
      </c>
      <c r="D74" s="34">
        <v>3027.2630453828624</v>
      </c>
      <c r="E74" s="34">
        <f>(B74/100000)*'Birth Pop per Year'!C74</f>
        <v>2020.813523</v>
      </c>
      <c r="F74" s="34">
        <f>(C74/100000)*'Birth Pop per Year'!C74</f>
        <v>473.9848329</v>
      </c>
      <c r="G74" s="34">
        <f>(D74/100000)*'Birth Pop per Year'!C74</f>
        <v>11315.21299</v>
      </c>
      <c r="H74" s="34">
        <f>(B74/100000)*'Birth Pop per Year'!G74</f>
        <v>2078.749237</v>
      </c>
      <c r="I74" s="34">
        <f>(C74/100000)*'Birth Pop per Year'!G74</f>
        <v>487.5737414</v>
      </c>
      <c r="J74" s="34">
        <f>(D74/100000)*'Birth Pop per Year'!K74</f>
        <v>11357.17086</v>
      </c>
      <c r="K74" s="34">
        <f>(B74/100000)*'Birth Pop per Year'!K74</f>
        <v>2028.306888</v>
      </c>
      <c r="L74" s="34">
        <f>(C74/100000)*'Birth Pop per Year'!K74</f>
        <v>475.7424129</v>
      </c>
      <c r="M74" s="34">
        <f>(D74/100000)*'Birth Pop per Year'!K74</f>
        <v>11357.17086</v>
      </c>
      <c r="N74" s="39" t="str">
        <f t="shared" si="1"/>
        <v>541 (127-3,027)</v>
      </c>
      <c r="O74" s="40">
        <v>373777.0</v>
      </c>
      <c r="P74" s="39" t="str">
        <f t="shared" si="2"/>
        <v>2,021 (474-11,315)</v>
      </c>
      <c r="Q74" s="40">
        <v>384493.0</v>
      </c>
      <c r="R74" s="39" t="str">
        <f t="shared" si="3"/>
        <v>2,079 (488-11,357)</v>
      </c>
      <c r="S74" s="40">
        <v>375163.0</v>
      </c>
      <c r="T74" s="39" t="str">
        <f t="shared" si="4"/>
        <v>2,028 (476-11,357)</v>
      </c>
    </row>
    <row r="75">
      <c r="A75" s="16" t="s">
        <v>102</v>
      </c>
      <c r="B75" s="34">
        <v>163.80906744374767</v>
      </c>
      <c r="C75" s="34">
        <v>75.05537410750111</v>
      </c>
      <c r="D75" s="34">
        <v>387.2628998626578</v>
      </c>
      <c r="E75" s="34">
        <f>(B75/100000)*'Birth Pop per Year'!C75</f>
        <v>2837.297543</v>
      </c>
      <c r="F75" s="34">
        <f>(C75/100000)*'Birth Pop per Year'!C75</f>
        <v>1300.016122</v>
      </c>
      <c r="G75" s="34">
        <f>(D75/100000)*'Birth Pop per Year'!C75</f>
        <v>6707.687745</v>
      </c>
      <c r="H75" s="34">
        <f>(B75/100000)*'Birth Pop per Year'!G75</f>
        <v>2919.724628</v>
      </c>
      <c r="I75" s="34">
        <f>(C75/100000)*'Birth Pop per Year'!G75</f>
        <v>1337.783235</v>
      </c>
      <c r="J75" s="34">
        <f>(D75/100000)*'Birth Pop per Year'!K75</f>
        <v>7076.950666</v>
      </c>
      <c r="K75" s="34">
        <f>(B75/100000)*'Birth Pop per Year'!K75</f>
        <v>2993.492765</v>
      </c>
      <c r="L75" s="34">
        <f>(C75/100000)*'Birth Pop per Year'!K75</f>
        <v>1371.582922</v>
      </c>
      <c r="M75" s="34">
        <f>(D75/100000)*'Birth Pop per Year'!K75</f>
        <v>7076.950666</v>
      </c>
      <c r="N75" s="39" t="str">
        <f t="shared" si="1"/>
        <v>164 (75-387)</v>
      </c>
      <c r="O75" s="40">
        <v>1732076.0</v>
      </c>
      <c r="P75" s="39" t="str">
        <f t="shared" si="2"/>
        <v>2,837 (1,300-6,708)</v>
      </c>
      <c r="Q75" s="40">
        <v>1782395.0</v>
      </c>
      <c r="R75" s="39" t="str">
        <f t="shared" si="3"/>
        <v>2,920 (1,338-7,077)</v>
      </c>
      <c r="S75" s="40">
        <v>1827428.0</v>
      </c>
      <c r="T75" s="39" t="str">
        <f t="shared" si="4"/>
        <v>2,993 (1,372-7,077)</v>
      </c>
    </row>
    <row r="76">
      <c r="A76" s="16" t="s">
        <v>103</v>
      </c>
      <c r="B76" s="34">
        <v>263.55606453544266</v>
      </c>
      <c r="C76" s="34">
        <v>111.47125352482655</v>
      </c>
      <c r="D76" s="34">
        <v>620.1488600489705</v>
      </c>
      <c r="E76" s="34">
        <f>(B76/100000)*'Birth Pop per Year'!C76</f>
        <v>6668.846074</v>
      </c>
      <c r="F76" s="34">
        <f>(C76/100000)*'Birth Pop per Year'!C76</f>
        <v>2820.593913</v>
      </c>
      <c r="G76" s="34">
        <f>(D76/100000)*'Birth Pop per Year'!C76</f>
        <v>15691.83125</v>
      </c>
      <c r="H76" s="34">
        <f>(B76/100000)*'Birth Pop per Year'!G76</f>
        <v>7706.961786</v>
      </c>
      <c r="I76" s="34">
        <f>(C76/100000)*'Birth Pop per Year'!G76</f>
        <v>3259.665805</v>
      </c>
      <c r="J76" s="34">
        <f>(D76/100000)*'Birth Pop per Year'!K76</f>
        <v>20311.47515</v>
      </c>
      <c r="K76" s="34">
        <f>(B76/100000)*'Birth Pop per Year'!K76</f>
        <v>8632.141088</v>
      </c>
      <c r="L76" s="34">
        <f>(C76/100000)*'Birth Pop per Year'!K76</f>
        <v>3650.971149</v>
      </c>
      <c r="M76" s="34">
        <f>(D76/100000)*'Birth Pop per Year'!K76</f>
        <v>20311.47515</v>
      </c>
      <c r="N76" s="39" t="str">
        <f t="shared" si="1"/>
        <v>264 (111-620)</v>
      </c>
      <c r="O76" s="40">
        <v>2530333.0</v>
      </c>
      <c r="P76" s="39" t="str">
        <f t="shared" si="2"/>
        <v>6,669 (2,821-15,692)</v>
      </c>
      <c r="Q76" s="40">
        <v>2924221.0</v>
      </c>
      <c r="R76" s="39" t="str">
        <f t="shared" si="3"/>
        <v>7,707 (3,260-20,311)</v>
      </c>
      <c r="S76" s="40">
        <v>3275258.0</v>
      </c>
      <c r="T76" s="39" t="str">
        <f t="shared" si="4"/>
        <v>8,632 (3,651-20,311)</v>
      </c>
    </row>
    <row r="77">
      <c r="A77" s="16" t="s">
        <v>104</v>
      </c>
      <c r="B77" s="34">
        <v>260.0108695682812</v>
      </c>
      <c r="C77" s="34">
        <v>111.43322981497764</v>
      </c>
      <c r="D77" s="34">
        <v>631.1479903570083</v>
      </c>
      <c r="E77" s="34">
        <f>(B77/100000)*'Birth Pop per Year'!C77</f>
        <v>1913.43299</v>
      </c>
      <c r="F77" s="34">
        <f>(C77/100000)*'Birth Pop per Year'!C77</f>
        <v>820.0427099</v>
      </c>
      <c r="G77" s="34">
        <f>(D77/100000)*'Birth Pop per Year'!C77</f>
        <v>4644.649618</v>
      </c>
      <c r="H77" s="34">
        <f>(B77/100000)*'Birth Pop per Year'!G77</f>
        <v>2096.847257</v>
      </c>
      <c r="I77" s="34">
        <f>(C77/100000)*'Birth Pop per Year'!G77</f>
        <v>898.6488245</v>
      </c>
      <c r="J77" s="34">
        <f>(D77/100000)*'Birth Pop per Year'!K77</f>
        <v>5443.285351</v>
      </c>
      <c r="K77" s="34">
        <f>(B77/100000)*'Birth Pop per Year'!K77</f>
        <v>2242.442944</v>
      </c>
      <c r="L77" s="34">
        <f>(C77/100000)*'Birth Pop per Year'!K77</f>
        <v>961.0469759</v>
      </c>
      <c r="M77" s="34">
        <f>(D77/100000)*'Birth Pop per Year'!K77</f>
        <v>5443.285351</v>
      </c>
      <c r="N77" s="39" t="str">
        <f t="shared" si="1"/>
        <v>260 (111-631)</v>
      </c>
      <c r="O77" s="40">
        <v>735905.0</v>
      </c>
      <c r="P77" s="39" t="str">
        <f t="shared" si="2"/>
        <v>1,913 (820-4,645)</v>
      </c>
      <c r="Q77" s="40">
        <v>806446.0</v>
      </c>
      <c r="R77" s="39" t="str">
        <f t="shared" si="3"/>
        <v>2,097 (899-5,443)</v>
      </c>
      <c r="S77" s="40">
        <v>862442.0</v>
      </c>
      <c r="T77" s="39" t="str">
        <f t="shared" si="4"/>
        <v>2,242 (961-5,443)</v>
      </c>
    </row>
    <row r="78">
      <c r="A78" s="16" t="s">
        <v>105</v>
      </c>
      <c r="B78" s="34">
        <v>282.4056130931623</v>
      </c>
      <c r="C78" s="34">
        <v>170.61194280662767</v>
      </c>
      <c r="D78" s="34">
        <v>450.29088101475253</v>
      </c>
      <c r="E78" s="34">
        <f>(B78/100000)*'Birth Pop per Year'!C78</f>
        <v>163.6201641</v>
      </c>
      <c r="F78" s="34">
        <f>(C78/100000)*'Birth Pop per Year'!C78</f>
        <v>98.84914742</v>
      </c>
      <c r="G78" s="34">
        <f>(D78/100000)*'Birth Pop per Year'!C78</f>
        <v>260.8895306</v>
      </c>
      <c r="H78" s="34">
        <f>(B78/100000)*'Birth Pop per Year'!G78</f>
        <v>153.4563861</v>
      </c>
      <c r="I78" s="34">
        <f>(C78/100000)*'Birth Pop per Year'!G78</f>
        <v>92.7088236</v>
      </c>
      <c r="J78" s="34">
        <f>(D78/100000)*'Birth Pop per Year'!K78</f>
        <v>245.8543181</v>
      </c>
      <c r="K78" s="34">
        <f>(B78/100000)*'Birth Pop per Year'!K78</f>
        <v>154.1906407</v>
      </c>
      <c r="L78" s="34">
        <f>(C78/100000)*'Birth Pop per Year'!K78</f>
        <v>93.15241465</v>
      </c>
      <c r="M78" s="34">
        <f>(D78/100000)*'Birth Pop per Year'!K78</f>
        <v>245.8543181</v>
      </c>
      <c r="N78" s="39" t="str">
        <f t="shared" si="1"/>
        <v>282 (171-450)</v>
      </c>
      <c r="O78" s="40">
        <v>57938.0</v>
      </c>
      <c r="P78" s="39" t="str">
        <f t="shared" si="2"/>
        <v>164 (99-261)</v>
      </c>
      <c r="Q78" s="40">
        <v>54339.0</v>
      </c>
      <c r="R78" s="39" t="str">
        <f t="shared" si="3"/>
        <v>153 (93-246)</v>
      </c>
      <c r="S78" s="40">
        <v>54599.0</v>
      </c>
      <c r="T78" s="39" t="str">
        <f t="shared" si="4"/>
        <v>154 (93-246)</v>
      </c>
    </row>
    <row r="79">
      <c r="A79" s="16" t="s">
        <v>106</v>
      </c>
      <c r="B79" s="34">
        <v>262.61799649833495</v>
      </c>
      <c r="C79" s="34">
        <v>157.40510831130487</v>
      </c>
      <c r="D79" s="34">
        <v>440.7343032716537</v>
      </c>
      <c r="E79" s="34">
        <f>(B79/100000)*'Birth Pop per Year'!C79</f>
        <v>72.46418377</v>
      </c>
      <c r="F79" s="34">
        <f>(C79/100000)*'Birth Pop per Year'!C79</f>
        <v>43.43279154</v>
      </c>
      <c r="G79" s="34">
        <f>(D79/100000)*'Birth Pop per Year'!C79</f>
        <v>121.6118163</v>
      </c>
      <c r="H79" s="34">
        <f>(B79/100000)*'Birth Pop per Year'!G79</f>
        <v>69.03701892</v>
      </c>
      <c r="I79" s="34">
        <f>(C79/100000)*'Birth Pop per Year'!G79</f>
        <v>41.37865487</v>
      </c>
      <c r="J79" s="34">
        <f>(D79/100000)*'Birth Pop per Year'!K79</f>
        <v>106.8736612</v>
      </c>
      <c r="K79" s="34">
        <f>(B79/100000)*'Birth Pop per Year'!K79</f>
        <v>63.68223797</v>
      </c>
      <c r="L79" s="34">
        <f>(C79/100000)*'Birth Pop per Year'!K79</f>
        <v>38.16916471</v>
      </c>
      <c r="M79" s="34">
        <f>(D79/100000)*'Birth Pop per Year'!K79</f>
        <v>106.8736612</v>
      </c>
      <c r="N79" s="39" t="str">
        <f t="shared" si="1"/>
        <v>263 (157-441)</v>
      </c>
      <c r="O79" s="40">
        <v>27593.0</v>
      </c>
      <c r="P79" s="39" t="str">
        <f t="shared" si="2"/>
        <v>72 (43-122)</v>
      </c>
      <c r="Q79" s="40">
        <v>26288.0</v>
      </c>
      <c r="R79" s="39" t="str">
        <f t="shared" si="3"/>
        <v>69 (41-107)</v>
      </c>
      <c r="S79" s="40">
        <v>24249.0</v>
      </c>
      <c r="T79" s="39" t="str">
        <f t="shared" si="4"/>
        <v>64 (38-107)</v>
      </c>
    </row>
    <row r="80">
      <c r="A80" s="16" t="s">
        <v>107</v>
      </c>
      <c r="B80" s="34">
        <v>466.9420296801548</v>
      </c>
      <c r="C80" s="34">
        <v>233.88792736657757</v>
      </c>
      <c r="D80" s="34">
        <v>851.3353791132826</v>
      </c>
      <c r="E80" s="34">
        <f>(B80/100000)*'Birth Pop per Year'!C80</f>
        <v>247.2504741</v>
      </c>
      <c r="F80" s="34">
        <f>(C80/100000)*'Birth Pop per Year'!C80</f>
        <v>123.8459964</v>
      </c>
      <c r="G80" s="34">
        <f>(D80/100000)*'Birth Pop per Year'!C80</f>
        <v>450.7905966</v>
      </c>
      <c r="H80" s="34">
        <f>(B80/100000)*'Birth Pop per Year'!G80</f>
        <v>248.315102</v>
      </c>
      <c r="I80" s="34">
        <f>(C80/100000)*'Birth Pop per Year'!G80</f>
        <v>124.3792609</v>
      </c>
      <c r="J80" s="34">
        <f>(D80/100000)*'Birth Pop per Year'!K80</f>
        <v>431.0055624</v>
      </c>
      <c r="K80" s="34">
        <f>(B80/100000)*'Birth Pop per Year'!K80</f>
        <v>236.3987414</v>
      </c>
      <c r="L80" s="34">
        <f>(C80/100000)*'Birth Pop per Year'!K80</f>
        <v>118.410441</v>
      </c>
      <c r="M80" s="34">
        <f>(D80/100000)*'Birth Pop per Year'!K80</f>
        <v>431.0055624</v>
      </c>
      <c r="N80" s="39" t="str">
        <f t="shared" si="1"/>
        <v>467 (234-851)</v>
      </c>
      <c r="O80" s="40">
        <v>52951.0</v>
      </c>
      <c r="P80" s="39" t="str">
        <f t="shared" si="2"/>
        <v>247 (124-451)</v>
      </c>
      <c r="Q80" s="40">
        <v>53179.0</v>
      </c>
      <c r="R80" s="39" t="str">
        <f t="shared" si="3"/>
        <v>248 (124-431)</v>
      </c>
      <c r="S80" s="40">
        <v>50627.0</v>
      </c>
      <c r="T80" s="39" t="str">
        <f t="shared" si="4"/>
        <v>236 (118-431)</v>
      </c>
    </row>
    <row r="81">
      <c r="A81" s="16" t="s">
        <v>108</v>
      </c>
      <c r="B81" s="34">
        <v>212.7869964057971</v>
      </c>
      <c r="C81" s="34">
        <v>125.78220614492751</v>
      </c>
      <c r="D81" s="34">
        <v>355.51395571014496</v>
      </c>
      <c r="E81" s="34">
        <f>(B81/100000)*'Birth Pop per Year'!C81</f>
        <v>165.8866145</v>
      </c>
      <c r="F81" s="34">
        <f>(C81/100000)*'Birth Pop per Year'!C81</f>
        <v>98.05855009</v>
      </c>
      <c r="G81" s="34">
        <f>(D81/100000)*'Birth Pop per Year'!C81</f>
        <v>277.1551247</v>
      </c>
      <c r="H81" s="34">
        <f>(B81/100000)*'Birth Pop per Year'!G81</f>
        <v>176.4600004</v>
      </c>
      <c r="I81" s="34">
        <f>(C81/100000)*'Birth Pop per Year'!G81</f>
        <v>104.3086679</v>
      </c>
      <c r="J81" s="34">
        <f>(D81/100000)*'Birth Pop per Year'!K81</f>
        <v>302.2828511</v>
      </c>
      <c r="K81" s="34">
        <f>(B81/100000)*'Birth Pop per Year'!K81</f>
        <v>180.9263994</v>
      </c>
      <c r="L81" s="34">
        <f>(C81/100000)*'Birth Pop per Year'!K81</f>
        <v>106.9488364</v>
      </c>
      <c r="M81" s="34">
        <f>(D81/100000)*'Birth Pop per Year'!K81</f>
        <v>302.2828511</v>
      </c>
      <c r="N81" s="39" t="str">
        <f t="shared" si="1"/>
        <v>213 (126-356)</v>
      </c>
      <c r="O81" s="40">
        <v>77959.0</v>
      </c>
      <c r="P81" s="39" t="str">
        <f t="shared" si="2"/>
        <v>166 (98-277)</v>
      </c>
      <c r="Q81" s="40">
        <v>82928.0</v>
      </c>
      <c r="R81" s="39" t="str">
        <f t="shared" si="3"/>
        <v>176 (104-302)</v>
      </c>
      <c r="S81" s="40">
        <v>85027.0</v>
      </c>
      <c r="T81" s="39" t="str">
        <f t="shared" si="4"/>
        <v>181 (107-302)</v>
      </c>
    </row>
    <row r="82">
      <c r="A82" s="16" t="s">
        <v>109</v>
      </c>
      <c r="B82" s="34">
        <v>259.5177050165657</v>
      </c>
      <c r="C82" s="34">
        <v>167.98239045645917</v>
      </c>
      <c r="D82" s="34">
        <v>374.69126014988655</v>
      </c>
      <c r="E82" s="34">
        <f>(B82/100000)*'Birth Pop per Year'!C82</f>
        <v>2937.862394</v>
      </c>
      <c r="F82" s="34">
        <f>(C82/100000)*'Birth Pop per Year'!C82</f>
        <v>1901.639612</v>
      </c>
      <c r="G82" s="34">
        <f>(D82/100000)*'Birth Pop per Year'!C82</f>
        <v>4241.68117</v>
      </c>
      <c r="H82" s="34">
        <f>(B82/100000)*'Birth Pop per Year'!G82</f>
        <v>2891.878452</v>
      </c>
      <c r="I82" s="34">
        <f>(C82/100000)*'Birth Pop per Year'!G82</f>
        <v>1871.874812</v>
      </c>
      <c r="J82" s="34">
        <f>(D82/100000)*'Birth Pop per Year'!K82</f>
        <v>4255.098864</v>
      </c>
      <c r="K82" s="34">
        <f>(B82/100000)*'Birth Pop per Year'!K82</f>
        <v>2947.155723</v>
      </c>
      <c r="L82" s="34">
        <f>(C82/100000)*'Birth Pop per Year'!K82</f>
        <v>1907.655061</v>
      </c>
      <c r="M82" s="34">
        <f>(D82/100000)*'Birth Pop per Year'!K82</f>
        <v>4255.098864</v>
      </c>
      <c r="N82" s="39" t="str">
        <f t="shared" si="1"/>
        <v>260 (168-375)</v>
      </c>
      <c r="O82" s="40">
        <v>1132047.0</v>
      </c>
      <c r="P82" s="39" t="str">
        <f t="shared" si="2"/>
        <v>2,938 (1,902-4,242)</v>
      </c>
      <c r="Q82" s="40">
        <v>1114328.0</v>
      </c>
      <c r="R82" s="39" t="str">
        <f t="shared" si="3"/>
        <v>2,892 (1,872-4,255)</v>
      </c>
      <c r="S82" s="40">
        <v>1135628.0</v>
      </c>
      <c r="T82" s="39" t="str">
        <f t="shared" si="4"/>
        <v>2,947 (1,908-4,255)</v>
      </c>
    </row>
    <row r="83">
      <c r="A83" s="16" t="s">
        <v>110</v>
      </c>
      <c r="B83" s="34">
        <v>550.0325199821859</v>
      </c>
      <c r="C83" s="34">
        <v>306.3216604551954</v>
      </c>
      <c r="D83" s="34">
        <v>982.2490167123736</v>
      </c>
      <c r="E83" s="34">
        <f>(B83/100000)*'Birth Pop per Year'!C83</f>
        <v>2833.71804</v>
      </c>
      <c r="F83" s="34">
        <f>(C83/100000)*'Birth Pop per Year'!C83</f>
        <v>1578.141626</v>
      </c>
      <c r="G83" s="34">
        <f>(D83/100000)*'Birth Pop per Year'!C83</f>
        <v>5060.458532</v>
      </c>
      <c r="H83" s="34">
        <f>(B83/100000)*'Birth Pop per Year'!G83</f>
        <v>3086.490985</v>
      </c>
      <c r="I83" s="34">
        <f>(C83/100000)*'Birth Pop per Year'!G83</f>
        <v>1718.914808</v>
      </c>
      <c r="J83" s="34">
        <f>(D83/100000)*'Birth Pop per Year'!K83</f>
        <v>5562.053815</v>
      </c>
      <c r="K83" s="34">
        <f>(B83/100000)*'Birth Pop per Year'!K83</f>
        <v>3114.597647</v>
      </c>
      <c r="L83" s="34">
        <f>(C83/100000)*'Birth Pop per Year'!K83</f>
        <v>1734.567845</v>
      </c>
      <c r="M83" s="34">
        <f>(D83/100000)*'Birth Pop per Year'!K83</f>
        <v>5562.053815</v>
      </c>
      <c r="N83" s="39" t="str">
        <f t="shared" si="1"/>
        <v>550 (306-982)</v>
      </c>
      <c r="O83" s="40">
        <v>515191.0</v>
      </c>
      <c r="P83" s="39" t="str">
        <f t="shared" si="2"/>
        <v>2,834 (1,578-5,060)</v>
      </c>
      <c r="Q83" s="40">
        <v>561147.0</v>
      </c>
      <c r="R83" s="39" t="str">
        <f t="shared" si="3"/>
        <v>3,086 (1,719-5,562)</v>
      </c>
      <c r="S83" s="40">
        <v>566257.0</v>
      </c>
      <c r="T83" s="39" t="str">
        <f t="shared" si="4"/>
        <v>3,115 (1,735-5,562)</v>
      </c>
    </row>
    <row r="84">
      <c r="A84" s="16" t="s">
        <v>111</v>
      </c>
      <c r="B84" s="34">
        <v>296.81218108461036</v>
      </c>
      <c r="C84" s="34">
        <v>106.99746650096951</v>
      </c>
      <c r="D84" s="34">
        <v>1025.5435136660722</v>
      </c>
      <c r="E84" s="34">
        <f>(B84/100000)*'Birth Pop per Year'!C84</f>
        <v>1459.478921</v>
      </c>
      <c r="F84" s="34">
        <f>(C84/100000)*'Birth Pop per Year'!C84</f>
        <v>526.1258023</v>
      </c>
      <c r="G84" s="34">
        <f>(D84/100000)*'Birth Pop per Year'!C84</f>
        <v>5042.782055</v>
      </c>
      <c r="H84" s="34">
        <f>(B84/100000)*'Birth Pop per Year'!G84</f>
        <v>1624.740975</v>
      </c>
      <c r="I84" s="34">
        <f>(C84/100000)*'Birth Pop per Year'!G84</f>
        <v>585.7009217</v>
      </c>
      <c r="J84" s="34">
        <f>(D84/100000)*'Birth Pop per Year'!K84</f>
        <v>5945.639798</v>
      </c>
      <c r="K84" s="34">
        <f>(B84/100000)*'Birth Pop per Year'!K84</f>
        <v>1720.78346</v>
      </c>
      <c r="L84" s="34">
        <f>(C84/100000)*'Birth Pop per Year'!K84</f>
        <v>620.3231619</v>
      </c>
      <c r="M84" s="34">
        <f>(D84/100000)*'Birth Pop per Year'!K84</f>
        <v>5945.639798</v>
      </c>
      <c r="N84" s="39" t="str">
        <f t="shared" si="1"/>
        <v>297 (107-1,026)</v>
      </c>
      <c r="O84" s="40">
        <v>491718.0</v>
      </c>
      <c r="P84" s="39" t="str">
        <f t="shared" si="2"/>
        <v>1,459 (526-5,043)</v>
      </c>
      <c r="Q84" s="40">
        <v>547397.0</v>
      </c>
      <c r="R84" s="39" t="str">
        <f t="shared" si="3"/>
        <v>1,625 (586-5,946)</v>
      </c>
      <c r="S84" s="40">
        <v>579755.0</v>
      </c>
      <c r="T84" s="39" t="str">
        <f t="shared" si="4"/>
        <v>1,721 (620-5,946)</v>
      </c>
    </row>
    <row r="85">
      <c r="A85" s="16" t="s">
        <v>112</v>
      </c>
      <c r="B85" s="34">
        <v>828.280773717946</v>
      </c>
      <c r="C85" s="34">
        <v>125.4773856574282</v>
      </c>
      <c r="D85" s="34">
        <v>3477.6089942050967</v>
      </c>
      <c r="E85" s="34">
        <f>(B85/100000)*'Birth Pop per Year'!C85</f>
        <v>6096.411544</v>
      </c>
      <c r="F85" s="34">
        <f>(C85/100000)*'Birth Pop per Year'!C85</f>
        <v>923.5537112</v>
      </c>
      <c r="G85" s="34">
        <f>(D85/100000)*'Birth Pop per Year'!C85</f>
        <v>25596.31503</v>
      </c>
      <c r="H85" s="34">
        <f>(B85/100000)*'Birth Pop per Year'!G85</f>
        <v>6468.259915</v>
      </c>
      <c r="I85" s="34">
        <f>(C85/100000)*'Birth Pop per Year'!G85</f>
        <v>979.8855287</v>
      </c>
      <c r="J85" s="34">
        <f>(D85/100000)*'Birth Pop per Year'!K85</f>
        <v>26999.59981</v>
      </c>
      <c r="K85" s="34">
        <f>(B85/100000)*'Birth Pop per Year'!K85</f>
        <v>6430.639402</v>
      </c>
      <c r="L85" s="34">
        <f>(C85/100000)*'Birth Pop per Year'!K85</f>
        <v>974.1863459</v>
      </c>
      <c r="M85" s="34">
        <f>(D85/100000)*'Birth Pop per Year'!K85</f>
        <v>26999.59981</v>
      </c>
      <c r="N85" s="39" t="str">
        <f t="shared" si="1"/>
        <v>828 (125-3,478)</v>
      </c>
      <c r="O85" s="40">
        <v>736032.0</v>
      </c>
      <c r="P85" s="39" t="str">
        <f t="shared" si="2"/>
        <v>6,096 (924-25,596)</v>
      </c>
      <c r="Q85" s="40">
        <v>780926.0</v>
      </c>
      <c r="R85" s="39" t="str">
        <f t="shared" si="3"/>
        <v>6,468 (980-27,000)</v>
      </c>
      <c r="S85" s="40">
        <v>776384.0</v>
      </c>
      <c r="T85" s="39" t="str">
        <f t="shared" si="4"/>
        <v>6,431 (974-27,000)</v>
      </c>
    </row>
    <row r="86">
      <c r="A86" s="16" t="s">
        <v>113</v>
      </c>
      <c r="B86" s="34">
        <v>222.8352945761611</v>
      </c>
      <c r="C86" s="34">
        <v>130.2109853848652</v>
      </c>
      <c r="D86" s="34">
        <v>362.44294900941867</v>
      </c>
      <c r="E86" s="34">
        <f>(B86/100000)*'Birth Pop per Year'!C86</f>
        <v>13.76007944</v>
      </c>
      <c r="F86" s="34">
        <f>(C86/100000)*'Birth Pop per Year'!C86</f>
        <v>8.040528348</v>
      </c>
      <c r="G86" s="34">
        <f>(D86/100000)*'Birth Pop per Year'!C86</f>
        <v>22.3808521</v>
      </c>
      <c r="H86" s="34">
        <f>(B86/100000)*'Birth Pop per Year'!G86</f>
        <v>13.75116603</v>
      </c>
      <c r="I86" s="34">
        <f>(C86/100000)*'Birth Pop per Year'!G86</f>
        <v>8.035319908</v>
      </c>
      <c r="J86" s="34">
        <f>(D86/100000)*'Birth Pop per Year'!K86</f>
        <v>20.19532112</v>
      </c>
      <c r="K86" s="34">
        <f>(B86/100000)*'Birth Pop per Year'!K86</f>
        <v>12.41638261</v>
      </c>
      <c r="L86" s="34">
        <f>(C86/100000)*'Birth Pop per Year'!K86</f>
        <v>7.255356106</v>
      </c>
      <c r="M86" s="34">
        <f>(D86/100000)*'Birth Pop per Year'!K86</f>
        <v>20.19532112</v>
      </c>
      <c r="N86" s="39" t="str">
        <f t="shared" si="1"/>
        <v>223 (130-362)</v>
      </c>
      <c r="O86" s="40">
        <v>6175.0</v>
      </c>
      <c r="P86" s="39" t="str">
        <f t="shared" si="2"/>
        <v>14 (8-22)</v>
      </c>
      <c r="Q86" s="40">
        <v>6171.0</v>
      </c>
      <c r="R86" s="39" t="str">
        <f t="shared" si="3"/>
        <v>14 (8-20)</v>
      </c>
      <c r="S86" s="40">
        <v>5572.0</v>
      </c>
      <c r="T86" s="39" t="str">
        <f t="shared" si="4"/>
        <v>12 (7-20)</v>
      </c>
    </row>
    <row r="87">
      <c r="A87" s="16" t="s">
        <v>114</v>
      </c>
      <c r="B87" s="34">
        <v>177.05441460538128</v>
      </c>
      <c r="C87" s="34">
        <v>85.07028749290816</v>
      </c>
      <c r="D87" s="34">
        <v>411.8243599480007</v>
      </c>
      <c r="E87" s="34">
        <f>(B87/100000)*'Birth Pop per Year'!C87</f>
        <v>1767.941446</v>
      </c>
      <c r="F87" s="34">
        <f>(C87/100000)*'Birth Pop per Year'!C87</f>
        <v>849.4523417</v>
      </c>
      <c r="G87" s="34">
        <f>(D87/100000)*'Birth Pop per Year'!C87</f>
        <v>4112.189781</v>
      </c>
      <c r="H87" s="34">
        <f>(B87/100000)*'Birth Pop per Year'!G87</f>
        <v>1978.779614</v>
      </c>
      <c r="I87" s="34">
        <f>(C87/100000)*'Birth Pop per Year'!G87</f>
        <v>950.7548908</v>
      </c>
      <c r="J87" s="34">
        <f>(D87/100000)*'Birth Pop per Year'!K87</f>
        <v>4943.786711</v>
      </c>
      <c r="K87" s="34">
        <f>(B87/100000)*'Birth Pop per Year'!K87</f>
        <v>2125.467426</v>
      </c>
      <c r="L87" s="34">
        <f>(C87/100000)*'Birth Pop per Year'!K87</f>
        <v>1021.234773</v>
      </c>
      <c r="M87" s="34">
        <f>(D87/100000)*'Birth Pop per Year'!K87</f>
        <v>4943.786711</v>
      </c>
      <c r="N87" s="39" t="str">
        <f t="shared" si="1"/>
        <v>177 (85-412)</v>
      </c>
      <c r="O87" s="40">
        <v>998530.0</v>
      </c>
      <c r="P87" s="39" t="str">
        <f t="shared" si="2"/>
        <v>1,768 (849-4,112)</v>
      </c>
      <c r="Q87" s="40">
        <v>1117611.0</v>
      </c>
      <c r="R87" s="39" t="str">
        <f t="shared" si="3"/>
        <v>1,979 (951-4,944)</v>
      </c>
      <c r="S87" s="40">
        <v>1200460.0</v>
      </c>
      <c r="T87" s="39" t="str">
        <f t="shared" si="4"/>
        <v>2,125 (1,021-4,944)</v>
      </c>
    </row>
    <row r="88">
      <c r="A88" s="16" t="s">
        <v>115</v>
      </c>
      <c r="B88" s="34">
        <v>613.9375285103349</v>
      </c>
      <c r="C88" s="34">
        <v>106.63255108101686</v>
      </c>
      <c r="D88" s="34">
        <v>2313.162938346401</v>
      </c>
      <c r="E88" s="34">
        <f>(B88/100000)*'Birth Pop per Year'!C88</f>
        <v>5504.170961</v>
      </c>
      <c r="F88" s="34">
        <f>(C88/100000)*'Birth Pop per Year'!C88</f>
        <v>955.9992082</v>
      </c>
      <c r="G88" s="34">
        <f>(D88/100000)*'Birth Pop per Year'!C88</f>
        <v>20738.33848</v>
      </c>
      <c r="H88" s="34">
        <f>(B88/100000)*'Birth Pop per Year'!G88</f>
        <v>6104.902693</v>
      </c>
      <c r="I88" s="34">
        <f>(C88/100000)*'Birth Pop per Year'!G88</f>
        <v>1060.338093</v>
      </c>
      <c r="J88" s="34">
        <f>(D88/100000)*'Birth Pop per Year'!K88</f>
        <v>25508.4737</v>
      </c>
      <c r="K88" s="34">
        <f>(B88/100000)*'Birth Pop per Year'!K88</f>
        <v>6770.214514</v>
      </c>
      <c r="L88" s="34">
        <f>(C88/100000)*'Birth Pop per Year'!K88</f>
        <v>1175.893656</v>
      </c>
      <c r="M88" s="34">
        <f>(D88/100000)*'Birth Pop per Year'!K88</f>
        <v>25508.4737</v>
      </c>
      <c r="N88" s="39" t="str">
        <f t="shared" si="1"/>
        <v>614 (107-2,313)</v>
      </c>
      <c r="O88" s="40">
        <v>896536.0</v>
      </c>
      <c r="P88" s="39" t="str">
        <f t="shared" si="2"/>
        <v>5,504 (956-20,738)</v>
      </c>
      <c r="Q88" s="40">
        <v>994385.0</v>
      </c>
      <c r="R88" s="39" t="str">
        <f t="shared" si="3"/>
        <v>6,105 (1,060-25,508)</v>
      </c>
      <c r="S88" s="40">
        <v>1102753.0</v>
      </c>
      <c r="T88" s="39" t="str">
        <f t="shared" si="4"/>
        <v>6,770 (1,176-25,508)</v>
      </c>
    </row>
    <row r="89">
      <c r="A89" s="16" t="s">
        <v>116</v>
      </c>
      <c r="B89" s="34">
        <v>282.27535524639364</v>
      </c>
      <c r="C89" s="34">
        <v>123.55486929976826</v>
      </c>
      <c r="D89" s="34">
        <v>775.8612177311089</v>
      </c>
      <c r="E89" s="34">
        <f>(B89/100000)*'Birth Pop per Year'!C89</f>
        <v>2933.253063</v>
      </c>
      <c r="F89" s="34">
        <f>(C89/100000)*'Birth Pop per Year'!C89</f>
        <v>1283.915482</v>
      </c>
      <c r="G89" s="34">
        <f>(D89/100000)*'Birth Pop per Year'!C89</f>
        <v>8062.33081</v>
      </c>
      <c r="H89" s="34">
        <f>(B89/100000)*'Birth Pop per Year'!G89</f>
        <v>3503.121841</v>
      </c>
      <c r="I89" s="34">
        <f>(C89/100000)*'Birth Pop per Year'!G89</f>
        <v>1533.352994</v>
      </c>
      <c r="J89" s="34">
        <f>(D89/100000)*'Birth Pop per Year'!K89</f>
        <v>10563.80048</v>
      </c>
      <c r="K89" s="34">
        <f>(B89/100000)*'Birth Pop per Year'!K89</f>
        <v>3843.342681</v>
      </c>
      <c r="L89" s="34">
        <f>(C89/100000)*'Birth Pop per Year'!K89</f>
        <v>1682.271207</v>
      </c>
      <c r="M89" s="34">
        <f>(D89/100000)*'Birth Pop per Year'!K89</f>
        <v>10563.80048</v>
      </c>
      <c r="N89" s="39" t="str">
        <f t="shared" si="1"/>
        <v>282 (124-776)</v>
      </c>
      <c r="O89" s="40">
        <v>1039146.0</v>
      </c>
      <c r="P89" s="39" t="str">
        <f t="shared" si="2"/>
        <v>2,933 (1,284-8,062)</v>
      </c>
      <c r="Q89" s="40">
        <v>1241030.0</v>
      </c>
      <c r="R89" s="39" t="str">
        <f t="shared" si="3"/>
        <v>3,503 (1,533-10,564)</v>
      </c>
      <c r="S89" s="40">
        <v>1361558.0</v>
      </c>
      <c r="T89" s="39" t="str">
        <f t="shared" si="4"/>
        <v>3,843 (1,682-10,564)</v>
      </c>
    </row>
    <row r="90">
      <c r="A90" s="16" t="s">
        <v>117</v>
      </c>
      <c r="B90" s="34">
        <v>248.71339774287316</v>
      </c>
      <c r="C90" s="34">
        <v>104.59909250868499</v>
      </c>
      <c r="D90" s="34">
        <v>680.724252834299</v>
      </c>
      <c r="E90" s="34">
        <f>(B90/100000)*'Birth Pop per Year'!C90</f>
        <v>201.2937013</v>
      </c>
      <c r="F90" s="34">
        <f>(C90/100000)*'Birth Pop per Year'!C90</f>
        <v>84.65622953</v>
      </c>
      <c r="G90" s="34">
        <f>(D90/100000)*'Birth Pop per Year'!C90</f>
        <v>550.9373668</v>
      </c>
      <c r="H90" s="34">
        <f>(B90/100000)*'Birth Pop per Year'!G90</f>
        <v>206.4868371</v>
      </c>
      <c r="I90" s="34">
        <f>(C90/100000)*'Birth Pop per Year'!G90</f>
        <v>86.84025858</v>
      </c>
      <c r="J90" s="34">
        <f>(D90/100000)*'Birth Pop per Year'!K90</f>
        <v>563.3878134</v>
      </c>
      <c r="K90" s="34">
        <f>(B90/100000)*'Birth Pop per Year'!K90</f>
        <v>205.8426694</v>
      </c>
      <c r="L90" s="34">
        <f>(C90/100000)*'Birth Pop per Year'!K90</f>
        <v>86.56934693</v>
      </c>
      <c r="M90" s="34">
        <f>(D90/100000)*'Birth Pop per Year'!K90</f>
        <v>563.3878134</v>
      </c>
      <c r="N90" s="39" t="str">
        <f t="shared" si="1"/>
        <v>249 (105-681)</v>
      </c>
      <c r="O90" s="40">
        <v>80934.0</v>
      </c>
      <c r="P90" s="39" t="str">
        <f t="shared" si="2"/>
        <v>201 (85-551)</v>
      </c>
      <c r="Q90" s="40">
        <v>83022.0</v>
      </c>
      <c r="R90" s="39" t="str">
        <f t="shared" si="3"/>
        <v>206 (87-563)</v>
      </c>
      <c r="S90" s="40">
        <v>82763.0</v>
      </c>
      <c r="T90" s="39" t="str">
        <f t="shared" si="4"/>
        <v>206 (87-563)</v>
      </c>
    </row>
    <row r="91">
      <c r="A91" s="16" t="s">
        <v>118</v>
      </c>
      <c r="B91" s="34">
        <v>133.58590834987282</v>
      </c>
      <c r="C91" s="34">
        <v>81.67824110535082</v>
      </c>
      <c r="D91" s="34">
        <v>215.64582347908043</v>
      </c>
      <c r="E91" s="34">
        <f>(B91/100000)*'Birth Pop per Year'!C91</f>
        <v>1206.873874</v>
      </c>
      <c r="F91" s="34">
        <f>(C91/100000)*'Birth Pop per Year'!C91</f>
        <v>737.9171686</v>
      </c>
      <c r="G91" s="34">
        <f>(D91/100000)*'Birth Pop per Year'!C91</f>
        <v>1948.239253</v>
      </c>
      <c r="H91" s="34">
        <f>(B91/100000)*'Birth Pop per Year'!G91</f>
        <v>1290.642925</v>
      </c>
      <c r="I91" s="34">
        <f>(C91/100000)*'Birth Pop per Year'!G91</f>
        <v>789.13596</v>
      </c>
      <c r="J91" s="34">
        <f>(D91/100000)*'Birth Pop per Year'!K91</f>
        <v>2114.0903</v>
      </c>
      <c r="K91" s="34">
        <f>(B91/100000)*'Birth Pop per Year'!K91</f>
        <v>1309.61346</v>
      </c>
      <c r="L91" s="34">
        <f>(C91/100000)*'Birth Pop per Year'!K91</f>
        <v>800.735087</v>
      </c>
      <c r="M91" s="34">
        <f>(D91/100000)*'Birth Pop per Year'!K91</f>
        <v>2114.0903</v>
      </c>
      <c r="N91" s="39" t="str">
        <f t="shared" si="1"/>
        <v>134 (82-216)</v>
      </c>
      <c r="O91" s="40">
        <v>903444.0</v>
      </c>
      <c r="P91" s="39" t="str">
        <f t="shared" si="2"/>
        <v>1,207 (738-1,948)</v>
      </c>
      <c r="Q91" s="40">
        <v>966152.0</v>
      </c>
      <c r="R91" s="39" t="str">
        <f t="shared" si="3"/>
        <v>1,291 (789-2,114)</v>
      </c>
      <c r="S91" s="40">
        <v>980353.0</v>
      </c>
      <c r="T91" s="39" t="str">
        <f t="shared" si="4"/>
        <v>1,310 (801-2,114)</v>
      </c>
    </row>
    <row r="92">
      <c r="A92" s="16" t="s">
        <v>119</v>
      </c>
      <c r="B92" s="34">
        <v>276.6479740760591</v>
      </c>
      <c r="C92" s="34">
        <v>91.81197825306229</v>
      </c>
      <c r="D92" s="34">
        <v>1100.8347095490935</v>
      </c>
      <c r="E92" s="34">
        <f>(B92/100000)*'Birth Pop per Year'!C92</f>
        <v>1331.703119</v>
      </c>
      <c r="F92" s="34">
        <f>(C92/100000)*'Birth Pop per Year'!C92</f>
        <v>441.9562378</v>
      </c>
      <c r="G92" s="34">
        <f>(D92/100000)*'Birth Pop per Year'!C92</f>
        <v>5299.09905</v>
      </c>
      <c r="H92" s="34">
        <f>(B92/100000)*'Birth Pop per Year'!G92</f>
        <v>1382.614646</v>
      </c>
      <c r="I92" s="34">
        <f>(C92/100000)*'Birth Pop per Year'!G92</f>
        <v>458.8523962</v>
      </c>
      <c r="J92" s="34">
        <f>(D92/100000)*'Birth Pop per Year'!K92</f>
        <v>5611.372832</v>
      </c>
      <c r="K92" s="34">
        <f>(B92/100000)*'Birth Pop per Year'!K92</f>
        <v>1410.17985</v>
      </c>
      <c r="L92" s="34">
        <f>(C92/100000)*'Birth Pop per Year'!K92</f>
        <v>468.0005417</v>
      </c>
      <c r="M92" s="34">
        <f>(D92/100000)*'Birth Pop per Year'!K92</f>
        <v>5611.372832</v>
      </c>
      <c r="N92" s="39" t="str">
        <f t="shared" si="1"/>
        <v>277 (92-1,101)</v>
      </c>
      <c r="O92" s="40">
        <v>481371.0</v>
      </c>
      <c r="P92" s="39" t="str">
        <f t="shared" si="2"/>
        <v>1,332 (442-5,299)</v>
      </c>
      <c r="Q92" s="40">
        <v>499774.0</v>
      </c>
      <c r="R92" s="39" t="str">
        <f t="shared" si="3"/>
        <v>1,383 (459-5,611)</v>
      </c>
      <c r="S92" s="40">
        <v>509738.0</v>
      </c>
      <c r="T92" s="39" t="str">
        <f t="shared" si="4"/>
        <v>1,410 (468-5,611)</v>
      </c>
    </row>
    <row r="93">
      <c r="A93" s="16" t="s">
        <v>120</v>
      </c>
      <c r="B93" s="34">
        <v>294.9246144874207</v>
      </c>
      <c r="C93" s="34">
        <v>101.1266740042876</v>
      </c>
      <c r="D93" s="34">
        <v>983.5330033594256</v>
      </c>
      <c r="E93" s="34">
        <f>(B93/100000)*'Birth Pop per Year'!C93</f>
        <v>192.5385853</v>
      </c>
      <c r="F93" s="34">
        <f>(C93/100000)*'Birth Pop per Year'!C93</f>
        <v>66.01953786</v>
      </c>
      <c r="G93" s="34">
        <f>(D93/100000)*'Birth Pop per Year'!C93</f>
        <v>642.0896859</v>
      </c>
      <c r="H93" s="34">
        <f>(B93/100000)*'Birth Pop per Year'!G93</f>
        <v>200.3511384</v>
      </c>
      <c r="I93" s="34">
        <f>(C93/100000)*'Birth Pop per Year'!G93</f>
        <v>68.69838345</v>
      </c>
      <c r="J93" s="34">
        <f>(D93/100000)*'Birth Pop per Year'!K93</f>
        <v>679.8475179</v>
      </c>
      <c r="K93" s="34">
        <f>(B93/100000)*'Birth Pop per Year'!K93</f>
        <v>203.8607413</v>
      </c>
      <c r="L93" s="34">
        <f>(C93/100000)*'Birth Pop per Year'!K93</f>
        <v>69.90179087</v>
      </c>
      <c r="M93" s="34">
        <f>(D93/100000)*'Birth Pop per Year'!K93</f>
        <v>679.8475179</v>
      </c>
      <c r="N93" s="39" t="str">
        <f t="shared" si="1"/>
        <v>295 (101-984)</v>
      </c>
      <c r="O93" s="40">
        <v>65284.0</v>
      </c>
      <c r="P93" s="39" t="str">
        <f t="shared" si="2"/>
        <v>193 (66-642)</v>
      </c>
      <c r="Q93" s="40">
        <v>67933.0</v>
      </c>
      <c r="R93" s="39" t="str">
        <f t="shared" si="3"/>
        <v>200 (69-680)</v>
      </c>
      <c r="S93" s="40">
        <v>69123.0</v>
      </c>
      <c r="T93" s="39" t="str">
        <f t="shared" si="4"/>
        <v>204 (70-680)</v>
      </c>
    </row>
    <row r="94">
      <c r="A94" s="16" t="s">
        <v>121</v>
      </c>
      <c r="B94" s="34">
        <v>270.62610339511065</v>
      </c>
      <c r="C94" s="34">
        <v>102.77785431035032</v>
      </c>
      <c r="D94" s="34">
        <v>950.6951523707402</v>
      </c>
      <c r="E94" s="34">
        <f>(B94/100000)*'Birth Pop per Year'!C94</f>
        <v>469.3197885</v>
      </c>
      <c r="F94" s="34">
        <f>(C94/100000)*'Birth Pop per Year'!C94</f>
        <v>178.2373549</v>
      </c>
      <c r="G94" s="34">
        <f>(D94/100000)*'Birth Pop per Year'!C94</f>
        <v>1648.695533</v>
      </c>
      <c r="H94" s="34">
        <f>(B94/100000)*'Birth Pop per Year'!G94</f>
        <v>498.7097833</v>
      </c>
      <c r="I94" s="34">
        <f>(C94/100000)*'Birth Pop per Year'!G94</f>
        <v>189.3990299</v>
      </c>
      <c r="J94" s="34">
        <f>(D94/100000)*'Birth Pop per Year'!K94</f>
        <v>1778.550984</v>
      </c>
      <c r="K94" s="34">
        <f>(B94/100000)*'Birth Pop per Year'!K94</f>
        <v>506.284608</v>
      </c>
      <c r="L94" s="34">
        <f>(C94/100000)*'Birth Pop per Year'!K94</f>
        <v>192.2757821</v>
      </c>
      <c r="M94" s="34">
        <f>(D94/100000)*'Birth Pop per Year'!K94</f>
        <v>1778.550984</v>
      </c>
      <c r="N94" s="39" t="str">
        <f t="shared" si="1"/>
        <v>271 (103-951)</v>
      </c>
      <c r="O94" s="40">
        <v>173420.0</v>
      </c>
      <c r="P94" s="39" t="str">
        <f t="shared" si="2"/>
        <v>469 (178-1,649)</v>
      </c>
      <c r="Q94" s="40">
        <v>184280.0</v>
      </c>
      <c r="R94" s="39" t="str">
        <f t="shared" si="3"/>
        <v>499 (189-1,779)</v>
      </c>
      <c r="S94" s="40">
        <v>187079.0</v>
      </c>
      <c r="T94" s="39" t="str">
        <f t="shared" si="4"/>
        <v>506 (192-1,779)</v>
      </c>
    </row>
    <row r="95">
      <c r="A95" s="16" t="s">
        <v>122</v>
      </c>
      <c r="B95" s="34">
        <v>492.71023286336805</v>
      </c>
      <c r="C95" s="34">
        <v>101.26333516628965</v>
      </c>
      <c r="D95" s="34">
        <v>2817.0570191221564</v>
      </c>
      <c r="E95" s="34">
        <f>(B95/100000)*'Birth Pop per Year'!C95</f>
        <v>5051.309651</v>
      </c>
      <c r="F95" s="34">
        <f>(C95/100000)*'Birth Pop per Year'!C95</f>
        <v>1038.160826</v>
      </c>
      <c r="G95" s="34">
        <f>(D95/100000)*'Birth Pop per Year'!C95</f>
        <v>28880.7221</v>
      </c>
      <c r="H95" s="34">
        <f>(B95/100000)*'Birth Pop per Year'!G95</f>
        <v>5686.314599</v>
      </c>
      <c r="I95" s="34">
        <f>(C95/100000)*'Birth Pop per Year'!G95</f>
        <v>1168.669012</v>
      </c>
      <c r="J95" s="34">
        <f>(D95/100000)*'Birth Pop per Year'!K95</f>
        <v>34540.04879</v>
      </c>
      <c r="K95" s="34">
        <f>(B95/100000)*'Birth Pop per Year'!K95</f>
        <v>6041.139874</v>
      </c>
      <c r="L95" s="34">
        <f>(C95/100000)*'Birth Pop per Year'!K95</f>
        <v>1241.593803</v>
      </c>
      <c r="M95" s="34">
        <f>(D95/100000)*'Birth Pop per Year'!K95</f>
        <v>34540.04879</v>
      </c>
      <c r="N95" s="39" t="str">
        <f t="shared" si="1"/>
        <v>493 (101-2,817)</v>
      </c>
      <c r="O95" s="40">
        <v>1025209.0</v>
      </c>
      <c r="P95" s="39" t="str">
        <f t="shared" si="2"/>
        <v>5,051 (1,038-28,881)</v>
      </c>
      <c r="Q95" s="40">
        <v>1154089.0</v>
      </c>
      <c r="R95" s="39" t="str">
        <f t="shared" si="3"/>
        <v>5,686 (1,169-34,540)</v>
      </c>
      <c r="S95" s="40">
        <v>1226104.0</v>
      </c>
      <c r="T95" s="39" t="str">
        <f t="shared" si="4"/>
        <v>6,041 (1,242-34,540)</v>
      </c>
    </row>
    <row r="96">
      <c r="A96" s="16" t="s">
        <v>123</v>
      </c>
      <c r="B96" s="34">
        <v>150.67898004379572</v>
      </c>
      <c r="C96" s="34">
        <v>76.95495666954089</v>
      </c>
      <c r="D96" s="34">
        <v>358.0461533594288</v>
      </c>
      <c r="E96" s="34">
        <f>(B96/100000)*'Birth Pop per Year'!C96</f>
        <v>281.3327236</v>
      </c>
      <c r="F96" s="34">
        <f>(C96/100000)*'Birth Pop per Year'!C96</f>
        <v>143.6825996</v>
      </c>
      <c r="G96" s="34">
        <f>(D96/100000)*'Birth Pop per Year'!C96</f>
        <v>668.5079729</v>
      </c>
      <c r="H96" s="34">
        <f>(B96/100000)*'Birth Pop per Year'!G96</f>
        <v>314.8572899</v>
      </c>
      <c r="I96" s="34">
        <f>(C96/100000)*'Birth Pop per Year'!G96</f>
        <v>160.8043079</v>
      </c>
      <c r="J96" s="34">
        <f>(D96/100000)*'Birth Pop per Year'!K96</f>
        <v>812.7862509</v>
      </c>
      <c r="K96" s="34">
        <f>(B96/100000)*'Birth Pop per Year'!K96</f>
        <v>342.0503254</v>
      </c>
      <c r="L96" s="34">
        <f>(C96/100000)*'Birth Pop per Year'!K96</f>
        <v>174.6923689</v>
      </c>
      <c r="M96" s="34">
        <f>(D96/100000)*'Birth Pop per Year'!K96</f>
        <v>812.7862509</v>
      </c>
      <c r="N96" s="39" t="str">
        <f t="shared" si="1"/>
        <v>151 (77-358)</v>
      </c>
      <c r="O96" s="40">
        <v>186710.0</v>
      </c>
      <c r="P96" s="39" t="str">
        <f t="shared" si="2"/>
        <v>281 (144-669)</v>
      </c>
      <c r="Q96" s="40">
        <v>208959.0</v>
      </c>
      <c r="R96" s="39" t="str">
        <f t="shared" si="3"/>
        <v>315 (161-813)</v>
      </c>
      <c r="S96" s="40">
        <v>227006.0</v>
      </c>
      <c r="T96" s="39" t="str">
        <f t="shared" si="4"/>
        <v>342 (175-813)</v>
      </c>
    </row>
    <row r="97">
      <c r="A97" s="16" t="s">
        <v>124</v>
      </c>
      <c r="B97" s="34">
        <v>375.0434788989612</v>
      </c>
      <c r="C97" s="34">
        <v>72.93215524841379</v>
      </c>
      <c r="D97" s="34">
        <v>2168.2121987393016</v>
      </c>
      <c r="E97" s="34">
        <f>(B97/100000)*'Birth Pop per Year'!C97</f>
        <v>4344.837448</v>
      </c>
      <c r="F97" s="34">
        <f>(C97/100000)*'Birth Pop per Year'!C97</f>
        <v>844.910996</v>
      </c>
      <c r="G97" s="34">
        <f>(D97/100000)*'Birth Pop per Year'!C97</f>
        <v>25118.49982</v>
      </c>
      <c r="H97" s="34">
        <f>(B97/100000)*'Birth Pop per Year'!G97</f>
        <v>4707.812028</v>
      </c>
      <c r="I97" s="34">
        <f>(C97/100000)*'Birth Pop per Year'!G97</f>
        <v>915.4961945</v>
      </c>
      <c r="J97" s="34">
        <f>(D97/100000)*'Birth Pop per Year'!K97</f>
        <v>29000.72713</v>
      </c>
      <c r="K97" s="34">
        <f>(B97/100000)*'Birth Pop per Year'!K97</f>
        <v>5016.360298</v>
      </c>
      <c r="L97" s="34">
        <f>(C97/100000)*'Birth Pop per Year'!K97</f>
        <v>975.4974786</v>
      </c>
      <c r="M97" s="34">
        <f>(D97/100000)*'Birth Pop per Year'!K97</f>
        <v>29000.72713</v>
      </c>
      <c r="N97" s="39" t="str">
        <f t="shared" si="1"/>
        <v>375 (73-2,168)</v>
      </c>
      <c r="O97" s="40">
        <v>1158489.0</v>
      </c>
      <c r="P97" s="39" t="str">
        <f t="shared" si="2"/>
        <v>4,345 (845-25,118)</v>
      </c>
      <c r="Q97" s="40">
        <v>1255271.0</v>
      </c>
      <c r="R97" s="39" t="str">
        <f t="shared" si="3"/>
        <v>4,708 (915-29,001)</v>
      </c>
      <c r="S97" s="40">
        <v>1337541.0</v>
      </c>
      <c r="T97" s="39" t="str">
        <f t="shared" si="4"/>
        <v>5,016 (975-29,001)</v>
      </c>
    </row>
    <row r="98">
      <c r="A98" s="16" t="s">
        <v>125</v>
      </c>
      <c r="B98" s="34">
        <v>288.17827308708803</v>
      </c>
      <c r="C98" s="34">
        <v>116.28803522588116</v>
      </c>
      <c r="D98" s="34">
        <v>988.1305725477881</v>
      </c>
      <c r="E98" s="34">
        <f>(B98/100000)*'Birth Pop per Year'!C98</f>
        <v>21705.92758</v>
      </c>
      <c r="F98" s="34">
        <f>(C98/100000)*'Birth Pop per Year'!C98</f>
        <v>8758.952033</v>
      </c>
      <c r="G98" s="34">
        <f>(D98/100000)*'Birth Pop per Year'!C98</f>
        <v>74427.16072</v>
      </c>
      <c r="H98" s="34">
        <f>(B98/100000)*'Birth Pop per Year'!G98</f>
        <v>22621.19618</v>
      </c>
      <c r="I98" s="34">
        <f>(C98/100000)*'Birth Pop per Year'!G98</f>
        <v>9128.288647</v>
      </c>
      <c r="J98" s="34">
        <f>(D98/100000)*'Birth Pop per Year'!K98</f>
        <v>76446.73163</v>
      </c>
      <c r="K98" s="34">
        <f>(B98/100000)*'Birth Pop per Year'!K98</f>
        <v>22294.91498</v>
      </c>
      <c r="L98" s="34">
        <f>(C98/100000)*'Birth Pop per Year'!K98</f>
        <v>8996.625008</v>
      </c>
      <c r="M98" s="34">
        <f>(D98/100000)*'Birth Pop per Year'!K98</f>
        <v>76446.73163</v>
      </c>
      <c r="N98" s="39" t="str">
        <f t="shared" si="1"/>
        <v>288 (116-988)</v>
      </c>
      <c r="O98" s="40">
        <v>7532118.0</v>
      </c>
      <c r="P98" s="39" t="str">
        <f t="shared" si="2"/>
        <v>21,706 (8,759-74,427)</v>
      </c>
      <c r="Q98" s="40">
        <v>7849723.0</v>
      </c>
      <c r="R98" s="39" t="str">
        <f t="shared" si="3"/>
        <v>22,621 (9,128-76,447)</v>
      </c>
      <c r="S98" s="40">
        <v>7736501.0</v>
      </c>
      <c r="T98" s="39" t="str">
        <f t="shared" si="4"/>
        <v>22,295 (8,997-76,447)</v>
      </c>
    </row>
    <row r="99">
      <c r="A99" s="16" t="s">
        <v>126</v>
      </c>
      <c r="B99" s="34">
        <v>122.34494625394004</v>
      </c>
      <c r="C99" s="34">
        <v>69.60386971631779</v>
      </c>
      <c r="D99" s="34">
        <v>208.0940434817748</v>
      </c>
      <c r="E99" s="34">
        <f>(B99/100000)*'Birth Pop per Year'!C99</f>
        <v>8.55925244</v>
      </c>
      <c r="F99" s="34">
        <f>(C99/100000)*'Birth Pop per Year'!C99</f>
        <v>4.869486725</v>
      </c>
      <c r="G99" s="34">
        <f>(D99/100000)*'Birth Pop per Year'!C99</f>
        <v>14.55825928</v>
      </c>
      <c r="H99" s="34">
        <f>(B99/100000)*'Birth Pop per Year'!G99</f>
        <v>9.131826788</v>
      </c>
      <c r="I99" s="34">
        <f>(C99/100000)*'Birth Pop per Year'!G99</f>
        <v>5.195232836</v>
      </c>
      <c r="J99" s="34">
        <f>(D99/100000)*'Birth Pop per Year'!K99</f>
        <v>15.55502975</v>
      </c>
      <c r="K99" s="34">
        <f>(B99/100000)*'Birth Pop per Year'!K99</f>
        <v>9.145284732</v>
      </c>
      <c r="L99" s="34">
        <f>(C99/100000)*'Birth Pop per Year'!K99</f>
        <v>5.202889261</v>
      </c>
      <c r="M99" s="34">
        <f>(D99/100000)*'Birth Pop per Year'!K99</f>
        <v>15.55502975</v>
      </c>
      <c r="N99" s="39" t="str">
        <f t="shared" si="1"/>
        <v>122 (70-208)</v>
      </c>
      <c r="O99" s="40">
        <v>6996.0</v>
      </c>
      <c r="P99" s="39" t="str">
        <f t="shared" si="2"/>
        <v>9 (5-15)</v>
      </c>
      <c r="Q99" s="40">
        <v>7464.0</v>
      </c>
      <c r="R99" s="39" t="str">
        <f t="shared" si="3"/>
        <v>9 (5-16)</v>
      </c>
      <c r="S99" s="40">
        <v>7475.0</v>
      </c>
      <c r="T99" s="39" t="str">
        <f t="shared" si="4"/>
        <v>9 (5-16)</v>
      </c>
    </row>
    <row r="100">
      <c r="A100" s="16" t="s">
        <v>127</v>
      </c>
      <c r="B100" s="34">
        <v>224.0205950514935</v>
      </c>
      <c r="C100" s="34">
        <v>98.3757620796235</v>
      </c>
      <c r="D100" s="34">
        <v>700.3663903844073</v>
      </c>
      <c r="E100" s="34">
        <f>(B100/100000)*'Birth Pop per Year'!C100</f>
        <v>1275.228277</v>
      </c>
      <c r="F100" s="34">
        <f>(C100/100000)*'Birth Pop per Year'!C100</f>
        <v>560.0000906</v>
      </c>
      <c r="G100" s="34">
        <f>(D100/100000)*'Birth Pop per Year'!C100</f>
        <v>3986.807663</v>
      </c>
      <c r="H100" s="34">
        <f>(B100/100000)*'Birth Pop per Year'!G100</f>
        <v>1352.479539</v>
      </c>
      <c r="I100" s="34">
        <f>(C100/100000)*'Birth Pop per Year'!G100</f>
        <v>593.9239884</v>
      </c>
      <c r="J100" s="34">
        <f>(D100/100000)*'Birth Pop per Year'!K100</f>
        <v>4419.178854</v>
      </c>
      <c r="K100" s="34">
        <f>(B100/100000)*'Birth Pop per Year'!K100</f>
        <v>1413.527391</v>
      </c>
      <c r="L100" s="34">
        <f>(C100/100000)*'Birth Pop per Year'!K100</f>
        <v>620.7323673</v>
      </c>
      <c r="M100" s="34">
        <f>(D100/100000)*'Birth Pop per Year'!K100</f>
        <v>4419.178854</v>
      </c>
      <c r="N100" s="39" t="str">
        <f t="shared" si="1"/>
        <v>224 (98-700)</v>
      </c>
      <c r="O100" s="40">
        <v>569246.0</v>
      </c>
      <c r="P100" s="39" t="str">
        <f t="shared" si="2"/>
        <v>1,275 (560-3,987)</v>
      </c>
      <c r="Q100" s="40">
        <v>603730.0</v>
      </c>
      <c r="R100" s="39" t="str">
        <f t="shared" si="3"/>
        <v>1,352 (594-4,419)</v>
      </c>
      <c r="S100" s="40">
        <v>630981.0</v>
      </c>
      <c r="T100" s="39" t="str">
        <f t="shared" si="4"/>
        <v>1,414 (621-4,419)</v>
      </c>
    </row>
    <row r="101">
      <c r="A101" s="16" t="s">
        <v>128</v>
      </c>
      <c r="B101" s="34">
        <v>501.0395465227897</v>
      </c>
      <c r="C101" s="34">
        <v>178.51208442289231</v>
      </c>
      <c r="D101" s="34">
        <v>1847.0809485783325</v>
      </c>
      <c r="E101" s="34">
        <f>(B101/100000)*'Birth Pop per Year'!C101</f>
        <v>1252.037702</v>
      </c>
      <c r="F101" s="34">
        <f>(C101/100000)*'Birth Pop per Year'!C101</f>
        <v>446.0802775</v>
      </c>
      <c r="G101" s="34">
        <f>(D101/100000)*'Birth Pop per Year'!C101</f>
        <v>4615.633641</v>
      </c>
      <c r="H101" s="34">
        <f>(B101/100000)*'Birth Pop per Year'!G101</f>
        <v>1272.124377</v>
      </c>
      <c r="I101" s="34">
        <f>(C101/100000)*'Birth Pop per Year'!G101</f>
        <v>453.236827</v>
      </c>
      <c r="J101" s="34">
        <f>(D101/100000)*'Birth Pop per Year'!K101</f>
        <v>4638.685211</v>
      </c>
      <c r="K101" s="34">
        <f>(B101/100000)*'Birth Pop per Year'!K101</f>
        <v>1258.290676</v>
      </c>
      <c r="L101" s="34">
        <f>(C101/100000)*'Birth Pop per Year'!K101</f>
        <v>448.3081083</v>
      </c>
      <c r="M101" s="34">
        <f>(D101/100000)*'Birth Pop per Year'!K101</f>
        <v>4638.685211</v>
      </c>
      <c r="N101" s="39" t="str">
        <f t="shared" si="1"/>
        <v>501 (179-1,847)</v>
      </c>
      <c r="O101" s="40">
        <v>249888.0</v>
      </c>
      <c r="P101" s="39" t="str">
        <f t="shared" si="2"/>
        <v>1,252 (446-4,616)</v>
      </c>
      <c r="Q101" s="40">
        <v>253897.0</v>
      </c>
      <c r="R101" s="39" t="str">
        <f t="shared" si="3"/>
        <v>1,272 (453-4,639)</v>
      </c>
      <c r="S101" s="40">
        <v>251136.0</v>
      </c>
      <c r="T101" s="39" t="str">
        <f t="shared" si="4"/>
        <v>1,258 (448-4,639)</v>
      </c>
    </row>
    <row r="102">
      <c r="A102" s="16" t="s">
        <v>129</v>
      </c>
      <c r="B102" s="34">
        <v>226.16628190422358</v>
      </c>
      <c r="C102" s="34">
        <v>97.76640428136466</v>
      </c>
      <c r="D102" s="34">
        <v>623.4237713008353</v>
      </c>
      <c r="E102" s="34">
        <f>(B102/100000)*'Birth Pop per Year'!C102</f>
        <v>684.399524</v>
      </c>
      <c r="F102" s="34">
        <f>(C102/100000)*'Birth Pop per Year'!C102</f>
        <v>295.8499383</v>
      </c>
      <c r="G102" s="34">
        <f>(D102/100000)*'Birth Pop per Year'!C102</f>
        <v>1886.53644</v>
      </c>
      <c r="H102" s="34">
        <f>(B102/100000)*'Birth Pop per Year'!G102</f>
        <v>771.1184615</v>
      </c>
      <c r="I102" s="34">
        <f>(C102/100000)*'Birth Pop per Year'!G102</f>
        <v>333.3365107</v>
      </c>
      <c r="J102" s="34">
        <f>(D102/100000)*'Birth Pop per Year'!K102</f>
        <v>2280.029056</v>
      </c>
      <c r="K102" s="34">
        <f>(B102/100000)*'Birth Pop per Year'!K102</f>
        <v>827.1511578</v>
      </c>
      <c r="L102" s="34">
        <f>(C102/100000)*'Birth Pop per Year'!K102</f>
        <v>357.5581374</v>
      </c>
      <c r="M102" s="34">
        <f>(D102/100000)*'Birth Pop per Year'!K102</f>
        <v>2280.029056</v>
      </c>
      <c r="N102" s="39" t="str">
        <f t="shared" si="1"/>
        <v>226 (98-623)</v>
      </c>
      <c r="O102" s="40">
        <v>302609.0</v>
      </c>
      <c r="P102" s="39" t="str">
        <f t="shared" si="2"/>
        <v>684 (296-1,887)</v>
      </c>
      <c r="Q102" s="40">
        <v>340952.0</v>
      </c>
      <c r="R102" s="39" t="str">
        <f t="shared" si="3"/>
        <v>771 (333-2,280)</v>
      </c>
      <c r="S102" s="40">
        <v>365727.0</v>
      </c>
      <c r="T102" s="39" t="str">
        <f t="shared" si="4"/>
        <v>827 (358-2,280)</v>
      </c>
    </row>
    <row r="103">
      <c r="A103" s="16" t="s">
        <v>130</v>
      </c>
      <c r="B103" s="34">
        <v>560.2808818554851</v>
      </c>
      <c r="C103" s="34">
        <v>386.0100010295178</v>
      </c>
      <c r="D103" s="34">
        <v>804.2601150118395</v>
      </c>
      <c r="E103" s="34">
        <f>(B103/100000)*'Birth Pop per Year'!C103</f>
        <v>165.7422905</v>
      </c>
      <c r="F103" s="34">
        <f>(C103/100000)*'Birth Pop per Year'!C103</f>
        <v>114.1894785</v>
      </c>
      <c r="G103" s="34">
        <f>(D103/100000)*'Birth Pop per Year'!C103</f>
        <v>237.9162272</v>
      </c>
      <c r="H103" s="34">
        <f>(B103/100000)*'Birth Pop per Year'!G103</f>
        <v>144.1322569</v>
      </c>
      <c r="I103" s="34">
        <f>(C103/100000)*'Birth Pop per Year'!G103</f>
        <v>99.30107276</v>
      </c>
      <c r="J103" s="34">
        <f>(D103/100000)*'Birth Pop per Year'!K103</f>
        <v>192.853533</v>
      </c>
      <c r="K103" s="34">
        <f>(B103/100000)*'Birth Pop per Year'!K103</f>
        <v>134.3497527</v>
      </c>
      <c r="L103" s="34">
        <f>(C103/100000)*'Birth Pop per Year'!K103</f>
        <v>92.56133815</v>
      </c>
      <c r="M103" s="34">
        <f>(D103/100000)*'Birth Pop per Year'!K103</f>
        <v>192.853533</v>
      </c>
      <c r="N103" s="39" t="str">
        <f t="shared" si="1"/>
        <v>560 (386-804)</v>
      </c>
      <c r="O103" s="40">
        <v>29582.0</v>
      </c>
      <c r="P103" s="39" t="str">
        <f t="shared" si="2"/>
        <v>166 (114-238)</v>
      </c>
      <c r="Q103" s="40">
        <v>25725.0</v>
      </c>
      <c r="R103" s="39" t="str">
        <f t="shared" si="3"/>
        <v>144 (99-193)</v>
      </c>
      <c r="S103" s="40">
        <v>23979.0</v>
      </c>
      <c r="T103" s="39" t="str">
        <f t="shared" si="4"/>
        <v>134 (93-193)</v>
      </c>
    </row>
    <row r="104">
      <c r="A104" s="16" t="s">
        <v>131</v>
      </c>
      <c r="B104" s="34">
        <v>376.0125881259906</v>
      </c>
      <c r="C104" s="34">
        <v>237.87043885377008</v>
      </c>
      <c r="D104" s="34">
        <v>558.4784216566775</v>
      </c>
      <c r="E104" s="34">
        <f>(B104/100000)*'Birth Pop per Year'!C104</f>
        <v>456.9079363</v>
      </c>
      <c r="F104" s="34">
        <f>(C104/100000)*'Birth Pop per Year'!C104</f>
        <v>289.0458851</v>
      </c>
      <c r="G104" s="34">
        <f>(D104/100000)*'Birth Pop per Year'!C104</f>
        <v>678.6294693</v>
      </c>
      <c r="H104" s="34">
        <f>(B104/100000)*'Birth Pop per Year'!G104</f>
        <v>475.0655842</v>
      </c>
      <c r="I104" s="34">
        <f>(C104/100000)*'Birth Pop per Year'!G104</f>
        <v>300.5326486</v>
      </c>
      <c r="J104" s="34">
        <f>(D104/100000)*'Birth Pop per Year'!K104</f>
        <v>647.2318124</v>
      </c>
      <c r="K104" s="34">
        <f>(B104/100000)*'Birth Pop per Year'!K104</f>
        <v>435.7685086</v>
      </c>
      <c r="L104" s="34">
        <f>(C104/100000)*'Birth Pop per Year'!K104</f>
        <v>275.672809</v>
      </c>
      <c r="M104" s="34">
        <f>(D104/100000)*'Birth Pop per Year'!K104</f>
        <v>647.2318124</v>
      </c>
      <c r="N104" s="39" t="str">
        <f t="shared" si="1"/>
        <v>376 (238-558)</v>
      </c>
      <c r="O104" s="40">
        <v>121514.0</v>
      </c>
      <c r="P104" s="39" t="str">
        <f t="shared" si="2"/>
        <v>457 (289-679)</v>
      </c>
      <c r="Q104" s="40">
        <v>126343.0</v>
      </c>
      <c r="R104" s="39" t="str">
        <f t="shared" si="3"/>
        <v>475 (301-647)</v>
      </c>
      <c r="S104" s="40">
        <v>115892.0</v>
      </c>
      <c r="T104" s="39" t="str">
        <f t="shared" si="4"/>
        <v>436 (276-647)</v>
      </c>
    </row>
    <row r="105">
      <c r="A105" s="16" t="s">
        <v>132</v>
      </c>
      <c r="B105" s="34">
        <v>304.1838910761155</v>
      </c>
      <c r="C105" s="34">
        <v>192.39631110564304</v>
      </c>
      <c r="D105" s="34">
        <v>453.2339977034121</v>
      </c>
      <c r="E105" s="34">
        <f>(B105/100000)*'Birth Pop per Year'!C105</f>
        <v>120.5876199</v>
      </c>
      <c r="F105" s="34">
        <f>(C105/100000)*'Birth Pop per Year'!C105</f>
        <v>76.27166961</v>
      </c>
      <c r="G105" s="34">
        <f>(D105/100000)*'Birth Pop per Year'!C105</f>
        <v>179.6755537</v>
      </c>
      <c r="H105" s="34">
        <f>(B105/100000)*'Birth Pop per Year'!G105</f>
        <v>126.005135</v>
      </c>
      <c r="I105" s="34">
        <f>(C105/100000)*'Birth Pop per Year'!G105</f>
        <v>79.69824791</v>
      </c>
      <c r="J105" s="34">
        <f>(D105/100000)*'Birth Pop per Year'!K105</f>
        <v>182.4584105</v>
      </c>
      <c r="K105" s="34">
        <f>(B105/100000)*'Birth Pop per Year'!K105</f>
        <v>122.455309</v>
      </c>
      <c r="L105" s="34">
        <f>(C105/100000)*'Birth Pop per Year'!K105</f>
        <v>77.45298296</v>
      </c>
      <c r="M105" s="34">
        <f>(D105/100000)*'Birth Pop per Year'!K105</f>
        <v>182.4584105</v>
      </c>
      <c r="N105" s="39" t="str">
        <f t="shared" si="1"/>
        <v>304 (192-453)</v>
      </c>
      <c r="O105" s="40">
        <v>39643.0</v>
      </c>
      <c r="P105" s="39" t="str">
        <f t="shared" si="2"/>
        <v>121 (76-180)</v>
      </c>
      <c r="Q105" s="40">
        <v>41424.0</v>
      </c>
      <c r="R105" s="39" t="str">
        <f t="shared" si="3"/>
        <v>126 (80-182)</v>
      </c>
      <c r="S105" s="40">
        <v>40257.0</v>
      </c>
      <c r="T105" s="39" t="str">
        <f t="shared" si="4"/>
        <v>122 (77-182)</v>
      </c>
    </row>
    <row r="106">
      <c r="A106" s="16" t="s">
        <v>133</v>
      </c>
      <c r="B106" s="34">
        <v>259.4461051645932</v>
      </c>
      <c r="C106" s="34">
        <v>168.3497102358892</v>
      </c>
      <c r="D106" s="34">
        <v>379.56831220293327</v>
      </c>
      <c r="E106" s="34">
        <f>(B106/100000)*'Birth Pop per Year'!C106</f>
        <v>996.8438253</v>
      </c>
      <c r="F106" s="34">
        <f>(C106/100000)*'Birth Pop per Year'!C106</f>
        <v>646.8332567</v>
      </c>
      <c r="G106" s="34">
        <f>(D106/100000)*'Birth Pop per Year'!C106</f>
        <v>1458.377369</v>
      </c>
      <c r="H106" s="34">
        <f>(B106/100000)*'Birth Pop per Year'!G106</f>
        <v>1116.881755</v>
      </c>
      <c r="I106" s="34">
        <f>(C106/100000)*'Birth Pop per Year'!G106</f>
        <v>724.7236171</v>
      </c>
      <c r="J106" s="34">
        <f>(D106/100000)*'Birth Pop per Year'!K106</f>
        <v>1707.283086</v>
      </c>
      <c r="K106" s="34">
        <f>(B106/100000)*'Birth Pop per Year'!K106</f>
        <v>1166.978203</v>
      </c>
      <c r="L106" s="34">
        <f>(C106/100000)*'Birth Pop per Year'!K106</f>
        <v>757.2302627</v>
      </c>
      <c r="M106" s="34">
        <f>(D106/100000)*'Birth Pop per Year'!K106</f>
        <v>1707.283086</v>
      </c>
      <c r="N106" s="39" t="str">
        <f t="shared" si="1"/>
        <v>259 (168-380)</v>
      </c>
      <c r="O106" s="40">
        <v>384220.0</v>
      </c>
      <c r="P106" s="39" t="str">
        <f t="shared" si="2"/>
        <v>997 (647-1,458)</v>
      </c>
      <c r="Q106" s="40">
        <v>430487.0</v>
      </c>
      <c r="R106" s="39" t="str">
        <f t="shared" si="3"/>
        <v>1,117 (725-1,707)</v>
      </c>
      <c r="S106" s="40">
        <v>449796.0</v>
      </c>
      <c r="T106" s="39" t="str">
        <f t="shared" si="4"/>
        <v>1,167 (757-1,707)</v>
      </c>
    </row>
    <row r="107">
      <c r="A107" s="16" t="s">
        <v>134</v>
      </c>
      <c r="B107" s="34">
        <v>253.7619339017293</v>
      </c>
      <c r="C107" s="34">
        <v>162.79067457846787</v>
      </c>
      <c r="D107" s="34">
        <v>387.3895731947498</v>
      </c>
      <c r="E107" s="34">
        <f>(B107/100000)*'Birth Pop per Year'!C107</f>
        <v>975.0041024</v>
      </c>
      <c r="F107" s="34">
        <f>(C107/100000)*'Birth Pop per Year'!C107</f>
        <v>625.4743299</v>
      </c>
      <c r="G107" s="34">
        <f>(D107/100000)*'Birth Pop per Year'!C107</f>
        <v>1488.428218</v>
      </c>
      <c r="H107" s="34">
        <f>(B107/100000)*'Birth Pop per Year'!G107</f>
        <v>1092.412136</v>
      </c>
      <c r="I107" s="34">
        <f>(C107/100000)*'Birth Pop per Year'!G107</f>
        <v>700.7926913</v>
      </c>
      <c r="J107" s="34">
        <f>(D107/100000)*'Birth Pop per Year'!K107</f>
        <v>1742.462805</v>
      </c>
      <c r="K107" s="34">
        <f>(B107/100000)*'Birth Pop per Year'!K107</f>
        <v>1141.411028</v>
      </c>
      <c r="L107" s="34">
        <f>(C107/100000)*'Birth Pop per Year'!K107</f>
        <v>732.2259426</v>
      </c>
      <c r="M107" s="34">
        <f>(D107/100000)*'Birth Pop per Year'!K107</f>
        <v>1742.462805</v>
      </c>
      <c r="N107" s="39" t="str">
        <f t="shared" si="1"/>
        <v>254 (163-387)</v>
      </c>
      <c r="O107" s="40">
        <v>384220.0</v>
      </c>
      <c r="P107" s="39" t="str">
        <f t="shared" si="2"/>
        <v>975 (625-1,488)</v>
      </c>
      <c r="Q107" s="40">
        <v>430487.0</v>
      </c>
      <c r="R107" s="39" t="str">
        <f t="shared" si="3"/>
        <v>1,092 (701-1,742)</v>
      </c>
      <c r="S107" s="40">
        <v>449796.0</v>
      </c>
      <c r="T107" s="39" t="str">
        <f t="shared" si="4"/>
        <v>1,141 (732-1,742)</v>
      </c>
    </row>
    <row r="108">
      <c r="A108" s="16" t="s">
        <v>135</v>
      </c>
      <c r="B108" s="34">
        <v>376.91244578211587</v>
      </c>
      <c r="C108" s="34">
        <v>234.14257995555678</v>
      </c>
      <c r="D108" s="34">
        <v>635.8018024809429</v>
      </c>
      <c r="E108" s="34">
        <f>(B108/100000)*'Birth Pop per Year'!C108</f>
        <v>219.653266</v>
      </c>
      <c r="F108" s="34">
        <f>(C108/100000)*'Birth Pop per Year'!C108</f>
        <v>136.4512713</v>
      </c>
      <c r="G108" s="34">
        <f>(D108/100000)*'Birth Pop per Year'!C108</f>
        <v>370.5262164</v>
      </c>
      <c r="H108" s="34">
        <f>(B108/100000)*'Birth Pop per Year'!G108</f>
        <v>264.7696858</v>
      </c>
      <c r="I108" s="34">
        <f>(C108/100000)*'Birth Pop per Year'!G108</f>
        <v>164.4781381</v>
      </c>
      <c r="J108" s="34">
        <f>(D108/100000)*'Birth Pop per Year'!K108</f>
        <v>438.5697253</v>
      </c>
      <c r="K108" s="34">
        <f>(B108/100000)*'Birth Pop per Year'!K108</f>
        <v>259.990436</v>
      </c>
      <c r="L108" s="34">
        <f>(C108/100000)*'Birth Pop per Year'!K108</f>
        <v>161.5092102</v>
      </c>
      <c r="M108" s="34">
        <f>(D108/100000)*'Birth Pop per Year'!K108</f>
        <v>438.5697253</v>
      </c>
      <c r="N108" s="39" t="str">
        <f t="shared" si="1"/>
        <v>377 (234-636)</v>
      </c>
      <c r="O108" s="40">
        <v>58277.0</v>
      </c>
      <c r="P108" s="39" t="str">
        <f t="shared" si="2"/>
        <v>220 (136-371)</v>
      </c>
      <c r="Q108" s="40">
        <v>70247.0</v>
      </c>
      <c r="R108" s="39" t="str">
        <f t="shared" si="3"/>
        <v>265 (164-439)</v>
      </c>
      <c r="S108" s="40">
        <v>68979.0</v>
      </c>
      <c r="T108" s="39" t="str">
        <f t="shared" si="4"/>
        <v>260 (162-439)</v>
      </c>
    </row>
    <row r="109">
      <c r="A109" s="16" t="s">
        <v>136</v>
      </c>
      <c r="B109" s="34">
        <v>257.91849858765954</v>
      </c>
      <c r="C109" s="34">
        <v>161.6141664969884</v>
      </c>
      <c r="D109" s="34">
        <v>405.1423625883407</v>
      </c>
      <c r="E109" s="34">
        <f>(B109/100000)*'Birth Pop per Year'!C109</f>
        <v>664.7771926</v>
      </c>
      <c r="F109" s="34">
        <f>(C109/100000)*'Birth Pop per Year'!C109</f>
        <v>416.5556657</v>
      </c>
      <c r="G109" s="34">
        <f>(D109/100000)*'Birth Pop per Year'!C109</f>
        <v>1044.242285</v>
      </c>
      <c r="H109" s="34">
        <f>(B109/100000)*'Birth Pop per Year'!G109</f>
        <v>759.5777159</v>
      </c>
      <c r="I109" s="34">
        <f>(C109/100000)*'Birth Pop per Year'!G109</f>
        <v>475.9585688</v>
      </c>
      <c r="J109" s="34">
        <f>(D109/100000)*'Birth Pop per Year'!K109</f>
        <v>1134.645752</v>
      </c>
      <c r="K109" s="34">
        <f>(B109/100000)*'Birth Pop per Year'!K109</f>
        <v>722.3291263</v>
      </c>
      <c r="L109" s="34">
        <f>(C109/100000)*'Birth Pop per Year'!K109</f>
        <v>452.6182508</v>
      </c>
      <c r="M109" s="34">
        <f>(D109/100000)*'Birth Pop per Year'!K109</f>
        <v>1134.645752</v>
      </c>
      <c r="N109" s="39" t="str">
        <f t="shared" si="1"/>
        <v>258 (162-405)</v>
      </c>
      <c r="O109" s="40">
        <v>257747.0</v>
      </c>
      <c r="P109" s="39" t="str">
        <f t="shared" si="2"/>
        <v>665 (417-1,044)</v>
      </c>
      <c r="Q109" s="40">
        <v>294503.0</v>
      </c>
      <c r="R109" s="39" t="str">
        <f t="shared" si="3"/>
        <v>760 (476-1,135)</v>
      </c>
      <c r="S109" s="40">
        <v>280061.0</v>
      </c>
      <c r="T109" s="39" t="str">
        <f t="shared" si="4"/>
        <v>722 (453-1,135)</v>
      </c>
    </row>
    <row r="110">
      <c r="A110" s="16" t="s">
        <v>137</v>
      </c>
      <c r="B110" s="34">
        <v>223.4967899156036</v>
      </c>
      <c r="C110" s="34">
        <v>140.39622223661206</v>
      </c>
      <c r="D110" s="34">
        <v>351.6466127047853</v>
      </c>
      <c r="E110" s="34">
        <f>(B110/100000)*'Birth Pop per Year'!C110</f>
        <v>305.4038935</v>
      </c>
      <c r="F110" s="34">
        <f>(C110/100000)*'Birth Pop per Year'!C110</f>
        <v>191.8486298</v>
      </c>
      <c r="G110" s="34">
        <f>(D110/100000)*'Birth Pop per Year'!C110</f>
        <v>480.5180633</v>
      </c>
      <c r="H110" s="34">
        <f>(B110/100000)*'Birth Pop per Year'!G110</f>
        <v>331.5776026</v>
      </c>
      <c r="I110" s="34">
        <f>(C110/100000)*'Birth Pop per Year'!G110</f>
        <v>208.2904313</v>
      </c>
      <c r="J110" s="34">
        <f>(D110/100000)*'Birth Pop per Year'!K110</f>
        <v>513.1016385</v>
      </c>
      <c r="K110" s="34">
        <f>(B110/100000)*'Birth Pop per Year'!K110</f>
        <v>326.113106</v>
      </c>
      <c r="L110" s="34">
        <f>(C110/100000)*'Birth Pop per Year'!K110</f>
        <v>204.8577437</v>
      </c>
      <c r="M110" s="34">
        <f>(D110/100000)*'Birth Pop per Year'!K110</f>
        <v>513.1016385</v>
      </c>
      <c r="N110" s="39" t="str">
        <f t="shared" si="1"/>
        <v>223 (140-352)</v>
      </c>
      <c r="O110" s="40">
        <v>136648.0</v>
      </c>
      <c r="P110" s="39" t="str">
        <f t="shared" si="2"/>
        <v>305 (192-481)</v>
      </c>
      <c r="Q110" s="40">
        <v>148359.0</v>
      </c>
      <c r="R110" s="39" t="str">
        <f t="shared" si="3"/>
        <v>332 (208-513)</v>
      </c>
      <c r="S110" s="40">
        <v>145914.0</v>
      </c>
      <c r="T110" s="39" t="str">
        <f t="shared" si="4"/>
        <v>326 (205-513)</v>
      </c>
    </row>
    <row r="111">
      <c r="A111" s="16" t="s">
        <v>138</v>
      </c>
      <c r="B111" s="34">
        <v>227.6661716709025</v>
      </c>
      <c r="C111" s="34">
        <v>152.0386826304822</v>
      </c>
      <c r="D111" s="34">
        <v>333.07443359770593</v>
      </c>
      <c r="E111" s="34">
        <f>(B111/100000)*'Birth Pop per Year'!C111</f>
        <v>1944.756312</v>
      </c>
      <c r="F111" s="34">
        <f>(C111/100000)*'Birth Pop per Year'!C111</f>
        <v>1298.735712</v>
      </c>
      <c r="G111" s="34">
        <f>(D111/100000)*'Birth Pop per Year'!C111</f>
        <v>2845.168442</v>
      </c>
      <c r="H111" s="34">
        <f>(B111/100000)*'Birth Pop per Year'!G111</f>
        <v>2028.828876</v>
      </c>
      <c r="I111" s="34">
        <f>(C111/100000)*'Birth Pop per Year'!G111</f>
        <v>1354.880557</v>
      </c>
      <c r="J111" s="34">
        <f>(D111/100000)*'Birth Pop per Year'!K111</f>
        <v>3298.755867</v>
      </c>
      <c r="K111" s="34">
        <f>(B111/100000)*'Birth Pop per Year'!K111</f>
        <v>2254.796658</v>
      </c>
      <c r="L111" s="34">
        <f>(C111/100000)*'Birth Pop per Year'!K111</f>
        <v>1505.785031</v>
      </c>
      <c r="M111" s="34">
        <f>(D111/100000)*'Birth Pop per Year'!K111</f>
        <v>3298.755867</v>
      </c>
      <c r="N111" s="39" t="str">
        <f t="shared" si="1"/>
        <v>228 (152-333)</v>
      </c>
      <c r="O111" s="40">
        <v>854214.0</v>
      </c>
      <c r="P111" s="39" t="str">
        <f t="shared" si="2"/>
        <v>1,945 (1,299-2,845)</v>
      </c>
      <c r="Q111" s="40">
        <v>891142.0</v>
      </c>
      <c r="R111" s="39" t="str">
        <f t="shared" si="3"/>
        <v>2,029 (1,355-3,299)</v>
      </c>
      <c r="S111" s="40">
        <v>990396.0</v>
      </c>
      <c r="T111" s="39" t="str">
        <f t="shared" si="4"/>
        <v>2,255 (1,506-3,299)</v>
      </c>
    </row>
    <row r="112">
      <c r="A112" s="16" t="s">
        <v>139</v>
      </c>
      <c r="B112" s="34">
        <v>184.90591501550873</v>
      </c>
      <c r="C112" s="34">
        <v>118.18728588620145</v>
      </c>
      <c r="D112" s="34">
        <v>278.3119957965389</v>
      </c>
      <c r="E112" s="34">
        <f>(B112/100000)*'Birth Pop per Year'!C112</f>
        <v>43.28462565</v>
      </c>
      <c r="F112" s="34">
        <f>(C112/100000)*'Birth Pop per Year'!C112</f>
        <v>27.66646175</v>
      </c>
      <c r="G112" s="34">
        <f>(D112/100000)*'Birth Pop per Year'!C112</f>
        <v>65.1500551</v>
      </c>
      <c r="H112" s="34">
        <f>(B112/100000)*'Birth Pop per Year'!G112</f>
        <v>32.39736537</v>
      </c>
      <c r="I112" s="34">
        <f>(C112/100000)*'Birth Pop per Year'!G112</f>
        <v>20.70759436</v>
      </c>
      <c r="J112" s="34">
        <f>(D112/100000)*'Birth Pop per Year'!K112</f>
        <v>43.33596087</v>
      </c>
      <c r="K112" s="34">
        <f>(B112/100000)*'Birth Pop per Year'!K112</f>
        <v>28.79170003</v>
      </c>
      <c r="L112" s="34">
        <f>(C112/100000)*'Birth Pop per Year'!K112</f>
        <v>18.40294229</v>
      </c>
      <c r="M112" s="34">
        <f>(D112/100000)*'Birth Pop per Year'!K112</f>
        <v>43.33596087</v>
      </c>
      <c r="N112" s="39" t="str">
        <f t="shared" si="1"/>
        <v>185 (118-278)</v>
      </c>
      <c r="O112" s="40">
        <v>23409.0</v>
      </c>
      <c r="P112" s="39" t="str">
        <f t="shared" si="2"/>
        <v>43 (28-65)</v>
      </c>
      <c r="Q112" s="40">
        <v>17521.0</v>
      </c>
      <c r="R112" s="39" t="str">
        <f t="shared" si="3"/>
        <v>32 (21-43)</v>
      </c>
      <c r="S112" s="40">
        <v>15571.0</v>
      </c>
      <c r="T112" s="39" t="str">
        <f t="shared" si="4"/>
        <v>29 (18-43)</v>
      </c>
    </row>
    <row r="113">
      <c r="A113" s="16" t="s">
        <v>140</v>
      </c>
      <c r="B113" s="34">
        <v>211.47515940316708</v>
      </c>
      <c r="C113" s="34">
        <v>127.37977437734627</v>
      </c>
      <c r="D113" s="34">
        <v>326.4879653943633</v>
      </c>
      <c r="E113" s="34">
        <f>(B113/100000)*'Birth Pop per Year'!C113</f>
        <v>49.13625329</v>
      </c>
      <c r="F113" s="34">
        <f>(C113/100000)*'Birth Pop per Year'!C113</f>
        <v>29.59669058</v>
      </c>
      <c r="G113" s="34">
        <f>(D113/100000)*'Birth Pop per Year'!C113</f>
        <v>75.85947876</v>
      </c>
      <c r="H113" s="34">
        <f>(B113/100000)*'Birth Pop per Year'!G113</f>
        <v>43.81130877</v>
      </c>
      <c r="I113" s="34">
        <f>(C113/100000)*'Birth Pop per Year'!G113</f>
        <v>26.38926786</v>
      </c>
      <c r="J113" s="34">
        <f>(D113/100000)*'Birth Pop per Year'!K113</f>
        <v>57.13539394</v>
      </c>
      <c r="K113" s="34">
        <f>(B113/100000)*'Birth Pop per Year'!K113</f>
        <v>37.0081529</v>
      </c>
      <c r="L113" s="34">
        <f>(C113/100000)*'Birth Pop per Year'!K113</f>
        <v>22.29146052</v>
      </c>
      <c r="M113" s="34">
        <f>(D113/100000)*'Birth Pop per Year'!K113</f>
        <v>57.13539394</v>
      </c>
      <c r="N113" s="39" t="str">
        <f t="shared" si="1"/>
        <v>211 (127-326)</v>
      </c>
      <c r="O113" s="40">
        <v>23235.0</v>
      </c>
      <c r="P113" s="39" t="str">
        <f t="shared" si="2"/>
        <v>49 (30-76)</v>
      </c>
      <c r="Q113" s="40">
        <v>20717.0</v>
      </c>
      <c r="R113" s="39" t="str">
        <f t="shared" si="3"/>
        <v>44 (26-57)</v>
      </c>
      <c r="S113" s="40">
        <v>17500.0</v>
      </c>
      <c r="T113" s="39" t="str">
        <f t="shared" si="4"/>
        <v>37 (22-57)</v>
      </c>
    </row>
    <row r="114">
      <c r="A114" s="16" t="s">
        <v>141</v>
      </c>
      <c r="B114" s="34">
        <v>306.4940873306014</v>
      </c>
      <c r="C114" s="34">
        <v>188.1010644267229</v>
      </c>
      <c r="D114" s="34">
        <v>491.2757212086174</v>
      </c>
      <c r="E114" s="34">
        <f>(B114/100000)*'Birth Pop per Year'!C114</f>
        <v>170.5363751</v>
      </c>
      <c r="F114" s="34">
        <f>(C114/100000)*'Birth Pop per Year'!C114</f>
        <v>104.6613133</v>
      </c>
      <c r="G114" s="34">
        <f>(D114/100000)*'Birth Pop per Year'!C114</f>
        <v>273.350724</v>
      </c>
      <c r="H114" s="34">
        <f>(B114/100000)*'Birth Pop per Year'!G114</f>
        <v>158.6934436</v>
      </c>
      <c r="I114" s="34">
        <f>(C114/100000)*'Birth Pop per Year'!G114</f>
        <v>97.39308813</v>
      </c>
      <c r="J114" s="34">
        <f>(D114/100000)*'Birth Pop per Year'!K114</f>
        <v>234.7118886</v>
      </c>
      <c r="K114" s="34">
        <f>(B114/100000)*'Birth Pop per Year'!K114</f>
        <v>146.4306152</v>
      </c>
      <c r="L114" s="34">
        <f>(C114/100000)*'Birth Pop per Year'!K114</f>
        <v>89.86716454</v>
      </c>
      <c r="M114" s="34">
        <f>(D114/100000)*'Birth Pop per Year'!K114</f>
        <v>234.7118886</v>
      </c>
      <c r="N114" s="39" t="str">
        <f t="shared" si="1"/>
        <v>306 (188-491)</v>
      </c>
      <c r="O114" s="40">
        <v>55641.0</v>
      </c>
      <c r="P114" s="39" t="str">
        <f t="shared" si="2"/>
        <v>171 (105-273)</v>
      </c>
      <c r="Q114" s="40">
        <v>51777.0</v>
      </c>
      <c r="R114" s="39" t="str">
        <f t="shared" si="3"/>
        <v>159 (97-235)</v>
      </c>
      <c r="S114" s="40">
        <v>47776.0</v>
      </c>
      <c r="T114" s="39" t="str">
        <f t="shared" si="4"/>
        <v>146 (90-235)</v>
      </c>
    </row>
    <row r="115">
      <c r="A115" s="16" t="s">
        <v>142</v>
      </c>
      <c r="B115" s="34">
        <v>169.15144775859062</v>
      </c>
      <c r="C115" s="34">
        <v>101.49086865515436</v>
      </c>
      <c r="D115" s="34">
        <v>261.62090586662015</v>
      </c>
      <c r="E115" s="34">
        <f>(B115/100000)*'Birth Pop per Year'!C115</f>
        <v>50.32086419</v>
      </c>
      <c r="F115" s="34">
        <f>(C115/100000)*'Birth Pop per Year'!C115</f>
        <v>30.19251852</v>
      </c>
      <c r="G115" s="34">
        <f>(D115/100000)*'Birth Pop per Year'!C115</f>
        <v>77.82960329</v>
      </c>
      <c r="H115" s="34">
        <f>(B115/100000)*'Birth Pop per Year'!G115</f>
        <v>48.17602384</v>
      </c>
      <c r="I115" s="34">
        <f>(C115/100000)*'Birth Pop per Year'!G115</f>
        <v>28.9056143</v>
      </c>
      <c r="J115" s="34">
        <f>(D115/100000)*'Birth Pop per Year'!K115</f>
        <v>66.23718095</v>
      </c>
      <c r="K115" s="34">
        <f>(B115/100000)*'Birth Pop per Year'!K115</f>
        <v>42.82576354</v>
      </c>
      <c r="L115" s="34">
        <f>(C115/100000)*'Birth Pop per Year'!K115</f>
        <v>25.69545813</v>
      </c>
      <c r="M115" s="34">
        <f>(D115/100000)*'Birth Pop per Year'!K115</f>
        <v>66.23718095</v>
      </c>
      <c r="N115" s="39" t="str">
        <f t="shared" si="1"/>
        <v>169 (101-262)</v>
      </c>
      <c r="O115" s="40">
        <v>29749.0</v>
      </c>
      <c r="P115" s="39" t="str">
        <f t="shared" si="2"/>
        <v>50 (30-78)</v>
      </c>
      <c r="Q115" s="40">
        <v>28481.0</v>
      </c>
      <c r="R115" s="39" t="str">
        <f t="shared" si="3"/>
        <v>48 (29-66)</v>
      </c>
      <c r="S115" s="40">
        <v>25318.0</v>
      </c>
      <c r="T115" s="39" t="str">
        <f t="shared" si="4"/>
        <v>43 (26-66)</v>
      </c>
    </row>
    <row r="116">
      <c r="A116" s="16" t="s">
        <v>143</v>
      </c>
      <c r="B116" s="34">
        <v>158.76926844277128</v>
      </c>
      <c r="C116" s="34">
        <v>96.97284659378846</v>
      </c>
      <c r="D116" s="34">
        <v>244.33354484905522</v>
      </c>
      <c r="E116" s="34">
        <f>(B116/100000)*'Birth Pop per Year'!C116</f>
        <v>128.5523013</v>
      </c>
      <c r="F116" s="34">
        <f>(C116/100000)*'Birth Pop per Year'!C116</f>
        <v>78.51697443</v>
      </c>
      <c r="G116" s="34">
        <f>(D116/100000)*'Birth Pop per Year'!C116</f>
        <v>197.8319846</v>
      </c>
      <c r="H116" s="34">
        <f>(B116/100000)*'Birth Pop per Year'!G116</f>
        <v>143.2543355</v>
      </c>
      <c r="I116" s="34">
        <f>(C116/100000)*'Birth Pop per Year'!G116</f>
        <v>87.49666002</v>
      </c>
      <c r="J116" s="34">
        <f>(D116/100000)*'Birth Pop per Year'!K116</f>
        <v>219.3870899</v>
      </c>
      <c r="K116" s="34">
        <f>(B116/100000)*'Birth Pop per Year'!K116</f>
        <v>142.5589261</v>
      </c>
      <c r="L116" s="34">
        <f>(C116/100000)*'Birth Pop per Year'!K116</f>
        <v>87.07191896</v>
      </c>
      <c r="M116" s="34">
        <f>(D116/100000)*'Birth Pop per Year'!K116</f>
        <v>219.3870899</v>
      </c>
      <c r="N116" s="39" t="str">
        <f t="shared" si="1"/>
        <v>159 (97-244)</v>
      </c>
      <c r="O116" s="40">
        <v>80968.0</v>
      </c>
      <c r="P116" s="39" t="str">
        <f t="shared" si="2"/>
        <v>129 (79-198)</v>
      </c>
      <c r="Q116" s="40">
        <v>90228.0</v>
      </c>
      <c r="R116" s="39" t="str">
        <f t="shared" si="3"/>
        <v>143 (87-219)</v>
      </c>
      <c r="S116" s="40">
        <v>89790.0</v>
      </c>
      <c r="T116" s="39" t="str">
        <f t="shared" si="4"/>
        <v>143 (87-219)</v>
      </c>
    </row>
    <row r="117">
      <c r="A117" s="16" t="s">
        <v>144</v>
      </c>
      <c r="B117" s="34">
        <v>119.41830651238608</v>
      </c>
      <c r="C117" s="34">
        <v>72.06277117126746</v>
      </c>
      <c r="D117" s="34">
        <v>182.21586424734772</v>
      </c>
      <c r="E117" s="34">
        <f>(B117/100000)*'Birth Pop per Year'!C117</f>
        <v>95.91558961</v>
      </c>
      <c r="F117" s="34">
        <f>(C117/100000)*'Birth Pop per Year'!C117</f>
        <v>57.88009718</v>
      </c>
      <c r="G117" s="34">
        <f>(D117/100000)*'Birth Pop per Year'!C117</f>
        <v>146.35396</v>
      </c>
      <c r="H117" s="34">
        <f>(B117/100000)*'Birth Pop per Year'!G117</f>
        <v>94.60915333</v>
      </c>
      <c r="I117" s="34">
        <f>(C117/100000)*'Birth Pop per Year'!G117</f>
        <v>57.09173046</v>
      </c>
      <c r="J117" s="34">
        <f>(D117/100000)*'Birth Pop per Year'!K117</f>
        <v>142.9683892</v>
      </c>
      <c r="K117" s="34">
        <f>(B117/100000)*'Birth Pop per Year'!K117</f>
        <v>93.69679747</v>
      </c>
      <c r="L117" s="34">
        <f>(C117/100000)*'Birth Pop per Year'!K117</f>
        <v>56.54117089</v>
      </c>
      <c r="M117" s="34">
        <f>(D117/100000)*'Birth Pop per Year'!K117</f>
        <v>142.9683892</v>
      </c>
      <c r="N117" s="39" t="str">
        <f t="shared" si="1"/>
        <v>119 (72-182)</v>
      </c>
      <c r="O117" s="40">
        <v>80319.0</v>
      </c>
      <c r="P117" s="39" t="str">
        <f t="shared" si="2"/>
        <v>96 (58-146)</v>
      </c>
      <c r="Q117" s="40">
        <v>79225.0</v>
      </c>
      <c r="R117" s="39" t="str">
        <f t="shared" si="3"/>
        <v>95 (57-143)</v>
      </c>
      <c r="S117" s="40">
        <v>78461.0</v>
      </c>
      <c r="T117" s="39" t="str">
        <f t="shared" si="4"/>
        <v>94 (57-143)</v>
      </c>
    </row>
    <row r="118">
      <c r="A118" s="16" t="s">
        <v>145</v>
      </c>
      <c r="B118" s="34">
        <v>191.57005702067</v>
      </c>
      <c r="C118" s="34">
        <v>118.50612829650748</v>
      </c>
      <c r="D118" s="34">
        <v>299.383903064861</v>
      </c>
      <c r="E118" s="34">
        <f>(B118/100000)*'Birth Pop per Year'!C118</f>
        <v>12.02293678</v>
      </c>
      <c r="F118" s="34">
        <f>(C118/100000)*'Birth Pop per Year'!C118</f>
        <v>7.437444612</v>
      </c>
      <c r="G118" s="34">
        <f>(D118/100000)*'Birth Pop per Year'!C118</f>
        <v>18.78933376</v>
      </c>
      <c r="H118" s="34">
        <f>(B118/100000)*'Birth Pop per Year'!G118</f>
        <v>10.90225195</v>
      </c>
      <c r="I118" s="34">
        <f>(C118/100000)*'Birth Pop per Year'!G118</f>
        <v>6.744183761</v>
      </c>
      <c r="J118" s="34">
        <f>(D118/100000)*'Birth Pop per Year'!K118</f>
        <v>15.07697336</v>
      </c>
      <c r="K118" s="34">
        <f>(B118/100000)*'Birth Pop per Year'!K118</f>
        <v>9.647468072</v>
      </c>
      <c r="L118" s="34">
        <f>(C118/100000)*'Birth Pop per Year'!K118</f>
        <v>5.967968621</v>
      </c>
      <c r="M118" s="34">
        <f>(D118/100000)*'Birth Pop per Year'!K118</f>
        <v>15.07697336</v>
      </c>
      <c r="N118" s="39" t="str">
        <f t="shared" si="1"/>
        <v>192 (119-299)</v>
      </c>
      <c r="O118" s="40">
        <v>6276.0</v>
      </c>
      <c r="P118" s="39" t="str">
        <f t="shared" si="2"/>
        <v>12 (7-19)</v>
      </c>
      <c r="Q118" s="40">
        <v>5691.0</v>
      </c>
      <c r="R118" s="39" t="str">
        <f t="shared" si="3"/>
        <v>11 (7-15)</v>
      </c>
      <c r="S118" s="40">
        <v>5036.0</v>
      </c>
      <c r="T118" s="39" t="str">
        <f t="shared" si="4"/>
        <v>10 (6-15)</v>
      </c>
    </row>
    <row r="119">
      <c r="A119" s="16" t="s">
        <v>146</v>
      </c>
      <c r="B119" s="34">
        <v>196.5538689753198</v>
      </c>
      <c r="C119" s="34">
        <v>122.49009225998192</v>
      </c>
      <c r="D119" s="34">
        <v>301.0027848559245</v>
      </c>
      <c r="E119" s="34">
        <f>(B119/100000)*'Birth Pop per Year'!C119</f>
        <v>29.53418435</v>
      </c>
      <c r="F119" s="34">
        <f>(C119/100000)*'Birth Pop per Year'!C119</f>
        <v>18.40536126</v>
      </c>
      <c r="G119" s="34">
        <f>(D119/100000)*'Birth Pop per Year'!C119</f>
        <v>45.22867845</v>
      </c>
      <c r="H119" s="34">
        <f>(B119/100000)*'Birth Pop per Year'!G119</f>
        <v>27.52933489</v>
      </c>
      <c r="I119" s="34">
        <f>(C119/100000)*'Birth Pop per Year'!G119</f>
        <v>17.15596232</v>
      </c>
      <c r="J119" s="34">
        <f>(D119/100000)*'Birth Pop per Year'!K119</f>
        <v>37.38454588</v>
      </c>
      <c r="K119" s="34">
        <f>(B119/100000)*'Birth Pop per Year'!K119</f>
        <v>24.41199053</v>
      </c>
      <c r="L119" s="34">
        <f>(C119/100000)*'Birth Pop per Year'!K119</f>
        <v>15.21326946</v>
      </c>
      <c r="M119" s="34">
        <f>(D119/100000)*'Birth Pop per Year'!K119</f>
        <v>37.38454588</v>
      </c>
      <c r="N119" s="39" t="str">
        <f t="shared" si="1"/>
        <v>197 (122-301)</v>
      </c>
      <c r="O119" s="40">
        <v>15026.0</v>
      </c>
      <c r="P119" s="39" t="str">
        <f t="shared" si="2"/>
        <v>30 (18-45)</v>
      </c>
      <c r="Q119" s="40">
        <v>14006.0</v>
      </c>
      <c r="R119" s="39" t="str">
        <f t="shared" si="3"/>
        <v>28 (17-37)</v>
      </c>
      <c r="S119" s="40">
        <v>12420.0</v>
      </c>
      <c r="T119" s="39" t="str">
        <f t="shared" si="4"/>
        <v>24 (15-37)</v>
      </c>
    </row>
    <row r="120">
      <c r="A120" s="16" t="s">
        <v>147</v>
      </c>
      <c r="B120" s="34">
        <v>126.08163167307596</v>
      </c>
      <c r="C120" s="34">
        <v>75.86267668464741</v>
      </c>
      <c r="D120" s="34">
        <v>192.32791272164133</v>
      </c>
      <c r="E120" s="34">
        <f>(B120/100000)*'Birth Pop per Year'!C120</f>
        <v>328.3884354</v>
      </c>
      <c r="F120" s="34">
        <f>(C120/100000)*'Birth Pop per Year'!C120</f>
        <v>197.5896518</v>
      </c>
      <c r="G120" s="34">
        <f>(D120/100000)*'Birth Pop per Year'!C120</f>
        <v>500.9315116</v>
      </c>
      <c r="H120" s="34">
        <f>(B120/100000)*'Birth Pop per Year'!G120</f>
        <v>324.1420061</v>
      </c>
      <c r="I120" s="34">
        <f>(C120/100000)*'Birth Pop per Year'!G120</f>
        <v>195.0345969</v>
      </c>
      <c r="J120" s="34">
        <f>(D120/100000)*'Birth Pop per Year'!K120</f>
        <v>455.561357</v>
      </c>
      <c r="K120" s="34">
        <f>(B120/100000)*'Birth Pop per Year'!K120</f>
        <v>298.6457785</v>
      </c>
      <c r="L120" s="34">
        <f>(C120/100000)*'Birth Pop per Year'!K120</f>
        <v>179.6936464</v>
      </c>
      <c r="M120" s="34">
        <f>(D120/100000)*'Birth Pop per Year'!K120</f>
        <v>455.561357</v>
      </c>
      <c r="N120" s="39" t="str">
        <f t="shared" si="1"/>
        <v>126 (76-192)</v>
      </c>
      <c r="O120" s="40">
        <v>260457.0</v>
      </c>
      <c r="P120" s="39" t="str">
        <f t="shared" si="2"/>
        <v>328 (198-501)</v>
      </c>
      <c r="Q120" s="40">
        <v>257089.0</v>
      </c>
      <c r="R120" s="39" t="str">
        <f t="shared" si="3"/>
        <v>324 (195-456)</v>
      </c>
      <c r="S120" s="40">
        <v>236867.0</v>
      </c>
      <c r="T120" s="39" t="str">
        <f t="shared" si="4"/>
        <v>299 (180-456)</v>
      </c>
    </row>
    <row r="121">
      <c r="A121" s="16" t="s">
        <v>148</v>
      </c>
      <c r="B121" s="34">
        <v>264.0063158035017</v>
      </c>
      <c r="C121" s="34">
        <v>163.09270474347596</v>
      </c>
      <c r="D121" s="34">
        <v>402.6351148354563</v>
      </c>
      <c r="E121" s="34">
        <f>(B121/100000)*'Birth Pop per Year'!C121</f>
        <v>444.3991913</v>
      </c>
      <c r="F121" s="34">
        <f>(C121/100000)*'Birth Pop per Year'!C121</f>
        <v>274.532319</v>
      </c>
      <c r="G121" s="34">
        <f>(D121/100000)*'Birth Pop per Year'!C121</f>
        <v>677.7516625</v>
      </c>
      <c r="H121" s="34">
        <f>(B121/100000)*'Birth Pop per Year'!G121</f>
        <v>425.657383</v>
      </c>
      <c r="I121" s="34">
        <f>(C121/100000)*'Birth Pop per Year'!G121</f>
        <v>262.9543679</v>
      </c>
      <c r="J121" s="34">
        <f>(D121/100000)*'Birth Pop per Year'!K121</f>
        <v>590.0094182</v>
      </c>
      <c r="K121" s="34">
        <f>(B121/100000)*'Birth Pop per Year'!K121</f>
        <v>386.866935</v>
      </c>
      <c r="L121" s="34">
        <f>(C121/100000)*'Birth Pop per Year'!K121</f>
        <v>238.9911567</v>
      </c>
      <c r="M121" s="34">
        <f>(D121/100000)*'Birth Pop per Year'!K121</f>
        <v>590.0094182</v>
      </c>
      <c r="N121" s="39" t="str">
        <f t="shared" si="1"/>
        <v>264 (163-403)</v>
      </c>
      <c r="O121" s="40">
        <v>168329.0</v>
      </c>
      <c r="P121" s="39" t="str">
        <f t="shared" si="2"/>
        <v>444 (275-678)</v>
      </c>
      <c r="Q121" s="40">
        <v>161230.0</v>
      </c>
      <c r="R121" s="39" t="str">
        <f t="shared" si="3"/>
        <v>426 (263-590)</v>
      </c>
      <c r="S121" s="40">
        <v>146537.0</v>
      </c>
      <c r="T121" s="39" t="str">
        <f t="shared" si="4"/>
        <v>387 (239-590)</v>
      </c>
    </row>
    <row r="122">
      <c r="A122" s="16" t="s">
        <v>149</v>
      </c>
      <c r="B122" s="34">
        <v>182.02053186823701</v>
      </c>
      <c r="C122" s="34">
        <v>111.17421706922262</v>
      </c>
      <c r="D122" s="34">
        <v>287.74503241445854</v>
      </c>
      <c r="E122" s="34">
        <f>(B122/100000)*'Birth Pop per Year'!C122</f>
        <v>98.85899127</v>
      </c>
      <c r="F122" s="34">
        <f>(C122/100000)*'Birth Pop per Year'!C122</f>
        <v>60.38094077</v>
      </c>
      <c r="G122" s="34">
        <f>(D122/100000)*'Birth Pop per Year'!C122</f>
        <v>156.280082</v>
      </c>
      <c r="H122" s="34">
        <f>(B122/100000)*'Birth Pop per Year'!G122</f>
        <v>90.33678997</v>
      </c>
      <c r="I122" s="34">
        <f>(C122/100000)*'Birth Pop per Year'!G122</f>
        <v>55.17576393</v>
      </c>
      <c r="J122" s="34">
        <f>(D122/100000)*'Birth Pop per Year'!K122</f>
        <v>132.9295726</v>
      </c>
      <c r="K122" s="34">
        <f>(B122/100000)*'Birth Pop per Year'!K122</f>
        <v>84.08802511</v>
      </c>
      <c r="L122" s="34">
        <f>(C122/100000)*'Birth Pop per Year'!K122</f>
        <v>51.35915306</v>
      </c>
      <c r="M122" s="34">
        <f>(D122/100000)*'Birth Pop per Year'!K122</f>
        <v>132.9295726</v>
      </c>
      <c r="N122" s="39" t="str">
        <f t="shared" si="1"/>
        <v>182 (111-288)</v>
      </c>
      <c r="O122" s="40">
        <v>54312.0</v>
      </c>
      <c r="P122" s="39" t="str">
        <f t="shared" si="2"/>
        <v>99 (60-156)</v>
      </c>
      <c r="Q122" s="40">
        <v>49630.0</v>
      </c>
      <c r="R122" s="39" t="str">
        <f t="shared" si="3"/>
        <v>90 (55-133)</v>
      </c>
      <c r="S122" s="40">
        <v>46197.0</v>
      </c>
      <c r="T122" s="39" t="str">
        <f t="shared" si="4"/>
        <v>84 (51-133)</v>
      </c>
    </row>
    <row r="123">
      <c r="A123" s="16" t="s">
        <v>150</v>
      </c>
      <c r="B123" s="34">
        <v>137.98560210444268</v>
      </c>
      <c r="C123" s="34">
        <v>84.91421667965706</v>
      </c>
      <c r="D123" s="34">
        <v>214.21541026004394</v>
      </c>
      <c r="E123" s="34">
        <f>(B123/100000)*'Birth Pop per Year'!C123</f>
        <v>61.70302169</v>
      </c>
      <c r="F123" s="34">
        <f>(C123/100000)*'Birth Pop per Year'!C123</f>
        <v>37.97109027</v>
      </c>
      <c r="G123" s="34">
        <f>(D123/100000)*'Birth Pop per Year'!C123</f>
        <v>95.79070501</v>
      </c>
      <c r="H123" s="34">
        <f>(B123/100000)*'Birth Pop per Year'!G123</f>
        <v>59.53526788</v>
      </c>
      <c r="I123" s="34">
        <f>(C123/100000)*'Birth Pop per Year'!G123</f>
        <v>36.63708793</v>
      </c>
      <c r="J123" s="34">
        <f>(D123/100000)*'Birth Pop per Year'!K123</f>
        <v>91.18721584</v>
      </c>
      <c r="K123" s="34">
        <f>(B123/100000)*'Birth Pop per Year'!K123</f>
        <v>58.7377111</v>
      </c>
      <c r="L123" s="34">
        <f>(C123/100000)*'Birth Pop per Year'!K123</f>
        <v>36.14628376</v>
      </c>
      <c r="M123" s="34">
        <f>(D123/100000)*'Birth Pop per Year'!K123</f>
        <v>91.18721584</v>
      </c>
      <c r="N123" s="39" t="str">
        <f t="shared" si="1"/>
        <v>138 (85-214)</v>
      </c>
      <c r="O123" s="40">
        <v>44717.0</v>
      </c>
      <c r="P123" s="39" t="str">
        <f t="shared" si="2"/>
        <v>62 (38-96)</v>
      </c>
      <c r="Q123" s="40">
        <v>43146.0</v>
      </c>
      <c r="R123" s="39" t="str">
        <f t="shared" si="3"/>
        <v>60 (37-91)</v>
      </c>
      <c r="S123" s="40">
        <v>42568.0</v>
      </c>
      <c r="T123" s="39" t="str">
        <f t="shared" si="4"/>
        <v>59 (36-91)</v>
      </c>
    </row>
    <row r="124">
      <c r="A124" s="16" t="s">
        <v>151</v>
      </c>
      <c r="B124" s="34">
        <v>156.86091008429597</v>
      </c>
      <c r="C124" s="34">
        <v>96.52979082110524</v>
      </c>
      <c r="D124" s="34">
        <v>243.5183359350609</v>
      </c>
      <c r="E124" s="34">
        <f>(B124/100000)*'Birth Pop per Year'!C124</f>
        <v>25.58244583</v>
      </c>
      <c r="F124" s="34">
        <f>(C124/100000)*'Birth Pop per Year'!C124</f>
        <v>15.74304359</v>
      </c>
      <c r="G124" s="34">
        <f>(D124/100000)*'Birth Pop per Year'!C124</f>
        <v>39.71540541</v>
      </c>
      <c r="H124" s="34">
        <f>(B124/100000)*'Birth Pop per Year'!G124</f>
        <v>27.89300703</v>
      </c>
      <c r="I124" s="34">
        <f>(C124/100000)*'Birth Pop per Year'!G124</f>
        <v>17.1649274</v>
      </c>
      <c r="J124" s="34">
        <f>(D124/100000)*'Birth Pop per Year'!K124</f>
        <v>41.72930205</v>
      </c>
      <c r="K124" s="34">
        <f>(B124/100000)*'Birth Pop per Year'!K124</f>
        <v>26.87968555</v>
      </c>
      <c r="L124" s="34">
        <f>(C124/100000)*'Birth Pop per Year'!K124</f>
        <v>16.54134496</v>
      </c>
      <c r="M124" s="34">
        <f>(D124/100000)*'Birth Pop per Year'!K124</f>
        <v>41.72930205</v>
      </c>
      <c r="N124" s="39" t="str">
        <f t="shared" si="1"/>
        <v>157 (97-244)</v>
      </c>
      <c r="O124" s="40">
        <v>16309.0</v>
      </c>
      <c r="P124" s="39" t="str">
        <f t="shared" si="2"/>
        <v>26 (16-40)</v>
      </c>
      <c r="Q124" s="40">
        <v>17782.0</v>
      </c>
      <c r="R124" s="39" t="str">
        <f t="shared" si="3"/>
        <v>28 (17-42)</v>
      </c>
      <c r="S124" s="40">
        <v>17136.0</v>
      </c>
      <c r="T124" s="39" t="str">
        <f t="shared" si="4"/>
        <v>27 (17-42)</v>
      </c>
    </row>
    <row r="125">
      <c r="A125" s="16" t="s">
        <v>152</v>
      </c>
      <c r="B125" s="34">
        <v>205.09309610215885</v>
      </c>
      <c r="C125" s="34">
        <v>122.13409093724066</v>
      </c>
      <c r="D125" s="34">
        <v>320.31393660898965</v>
      </c>
      <c r="E125" s="34">
        <f>(B125/100000)*'Birth Pop per Year'!C125</f>
        <v>120.3199158</v>
      </c>
      <c r="F125" s="34">
        <f>(C125/100000)*'Birth Pop per Year'!C125</f>
        <v>71.65118579</v>
      </c>
      <c r="G125" s="34">
        <f>(D125/100000)*'Birth Pop per Year'!C125</f>
        <v>187.9153741</v>
      </c>
      <c r="H125" s="34">
        <f>(B125/100000)*'Birth Pop per Year'!G125</f>
        <v>131.3108548</v>
      </c>
      <c r="I125" s="34">
        <f>(C125/100000)*'Birth Pop per Year'!G125</f>
        <v>78.19635172</v>
      </c>
      <c r="J125" s="34">
        <f>(D125/100000)*'Birth Pop per Year'!K125</f>
        <v>190.0006178</v>
      </c>
      <c r="K125" s="34">
        <f>(B125/100000)*'Birth Pop per Year'!K125</f>
        <v>121.6550718</v>
      </c>
      <c r="L125" s="34">
        <f>(C125/100000)*'Birth Pop per Year'!K125</f>
        <v>72.44627872</v>
      </c>
      <c r="M125" s="34">
        <f>(D125/100000)*'Birth Pop per Year'!K125</f>
        <v>190.0006178</v>
      </c>
      <c r="N125" s="39" t="str">
        <f t="shared" si="1"/>
        <v>205 (122-320)</v>
      </c>
      <c r="O125" s="40">
        <v>58666.0</v>
      </c>
      <c r="P125" s="39" t="str">
        <f t="shared" si="2"/>
        <v>120 (72-188)</v>
      </c>
      <c r="Q125" s="40">
        <v>64025.0</v>
      </c>
      <c r="R125" s="39" t="str">
        <f t="shared" si="3"/>
        <v>131 (78-190)</v>
      </c>
      <c r="S125" s="40">
        <v>59317.0</v>
      </c>
      <c r="T125" s="39" t="str">
        <f t="shared" si="4"/>
        <v>122 (72-190)</v>
      </c>
    </row>
    <row r="126">
      <c r="A126" s="16" t="s">
        <v>153</v>
      </c>
      <c r="B126" s="34">
        <v>191.9710104213865</v>
      </c>
      <c r="C126" s="34">
        <v>119.60497507929315</v>
      </c>
      <c r="D126" s="34">
        <v>289.46414136837336</v>
      </c>
      <c r="E126" s="34">
        <f>(B126/100000)*'Birth Pop per Year'!C126</f>
        <v>18.43497613</v>
      </c>
      <c r="F126" s="34">
        <f>(C126/100000)*'Birth Pop per Year'!C126</f>
        <v>11.48566576</v>
      </c>
      <c r="G126" s="34">
        <f>(D126/100000)*'Birth Pop per Year'!C126</f>
        <v>27.7972415</v>
      </c>
      <c r="H126" s="34">
        <f>(B126/100000)*'Birth Pop per Year'!G126</f>
        <v>19.7595761</v>
      </c>
      <c r="I126" s="34">
        <f>(C126/100000)*'Birth Pop per Year'!G126</f>
        <v>12.31094008</v>
      </c>
      <c r="J126" s="34">
        <f>(D126/100000)*'Birth Pop per Year'!K126</f>
        <v>28.56721611</v>
      </c>
      <c r="K126" s="34">
        <f>(B126/100000)*'Birth Pop per Year'!K126</f>
        <v>18.94561902</v>
      </c>
      <c r="L126" s="34">
        <f>(C126/100000)*'Birth Pop per Year'!K126</f>
        <v>11.80381499</v>
      </c>
      <c r="M126" s="34">
        <f>(D126/100000)*'Birth Pop per Year'!K126</f>
        <v>28.56721611</v>
      </c>
      <c r="N126" s="39" t="str">
        <f t="shared" si="1"/>
        <v>192 (120-289)</v>
      </c>
      <c r="O126" s="40">
        <v>9603.0</v>
      </c>
      <c r="P126" s="39" t="str">
        <f t="shared" si="2"/>
        <v>18 (11-28)</v>
      </c>
      <c r="Q126" s="40">
        <v>10293.0</v>
      </c>
      <c r="R126" s="39" t="str">
        <f t="shared" si="3"/>
        <v>20 (12-29)</v>
      </c>
      <c r="S126" s="40">
        <v>9869.0</v>
      </c>
      <c r="T126" s="39" t="str">
        <f t="shared" si="4"/>
        <v>19 (12-29)</v>
      </c>
    </row>
    <row r="127">
      <c r="A127" s="16" t="s">
        <v>154</v>
      </c>
      <c r="B127" s="34">
        <v>188.6916034902017</v>
      </c>
      <c r="C127" s="34">
        <v>114.29319982835074</v>
      </c>
      <c r="D127" s="34">
        <v>287.8894750393363</v>
      </c>
      <c r="E127" s="34">
        <f>(B127/100000)*'Birth Pop per Year'!C127</f>
        <v>23.79967195</v>
      </c>
      <c r="F127" s="34">
        <f>(C127/100000)*'Birth Pop per Year'!C127</f>
        <v>14.41580129</v>
      </c>
      <c r="G127" s="34">
        <f>(D127/100000)*'Birth Pop per Year'!C127</f>
        <v>36.31149949</v>
      </c>
      <c r="H127" s="34">
        <f>(B127/100000)*'Birth Pop per Year'!G127</f>
        <v>24.8299281</v>
      </c>
      <c r="I127" s="34">
        <f>(C127/100000)*'Birth Pop per Year'!G127</f>
        <v>15.03984217</v>
      </c>
      <c r="J127" s="34">
        <f>(D127/100000)*'Birth Pop per Year'!K127</f>
        <v>35.49389338</v>
      </c>
      <c r="K127" s="34">
        <f>(B127/100000)*'Birth Pop per Year'!K127</f>
        <v>23.26378779</v>
      </c>
      <c r="L127" s="34">
        <f>(C127/100000)*'Birth Pop per Year'!K127</f>
        <v>14.09120861</v>
      </c>
      <c r="M127" s="34">
        <f>(D127/100000)*'Birth Pop per Year'!K127</f>
        <v>35.49389338</v>
      </c>
      <c r="N127" s="39" t="str">
        <f t="shared" si="1"/>
        <v>189 (114-288)</v>
      </c>
      <c r="O127" s="40">
        <v>12613.0</v>
      </c>
      <c r="P127" s="39" t="str">
        <f t="shared" si="2"/>
        <v>24 (14-36)</v>
      </c>
      <c r="Q127" s="40">
        <v>13159.0</v>
      </c>
      <c r="R127" s="39" t="str">
        <f t="shared" si="3"/>
        <v>25 (15-35)</v>
      </c>
      <c r="S127" s="40">
        <v>12329.0</v>
      </c>
      <c r="T127" s="39" t="str">
        <f t="shared" si="4"/>
        <v>23 (14-35)</v>
      </c>
    </row>
    <row r="128">
      <c r="A128" s="16" t="s">
        <v>155</v>
      </c>
      <c r="B128" s="34">
        <v>227.76144822592323</v>
      </c>
      <c r="C128" s="34">
        <v>135.95964001241336</v>
      </c>
      <c r="D128" s="34">
        <v>363.7210882383367</v>
      </c>
      <c r="E128" s="34">
        <f>(B128/100000)*'Birth Pop per Year'!C128</f>
        <v>45.60467478</v>
      </c>
      <c r="F128" s="34">
        <f>(C128/100000)*'Birth Pop per Year'!C128</f>
        <v>27.22319872</v>
      </c>
      <c r="G128" s="34">
        <f>(D128/100000)*'Birth Pop per Year'!C128</f>
        <v>72.8278735</v>
      </c>
      <c r="H128" s="34">
        <f>(B128/100000)*'Birth Pop per Year'!G128</f>
        <v>39.99491031</v>
      </c>
      <c r="I128" s="34">
        <f>(C128/100000)*'Birth Pop per Year'!G128</f>
        <v>23.87451279</v>
      </c>
      <c r="J128" s="34">
        <f>(D128/100000)*'Birth Pop per Year'!K128</f>
        <v>59.31199786</v>
      </c>
      <c r="K128" s="34">
        <f>(B128/100000)*'Birth Pop per Year'!K128</f>
        <v>37.14105936</v>
      </c>
      <c r="L128" s="34">
        <f>(C128/100000)*'Birth Pop per Year'!K128</f>
        <v>22.1709385</v>
      </c>
      <c r="M128" s="34">
        <f>(D128/100000)*'Birth Pop per Year'!K128</f>
        <v>59.31199786</v>
      </c>
      <c r="N128" s="39" t="str">
        <f t="shared" si="1"/>
        <v>228 (136-364)</v>
      </c>
      <c r="O128" s="40">
        <v>20023.0</v>
      </c>
      <c r="P128" s="39" t="str">
        <f t="shared" si="2"/>
        <v>46 (27-73)</v>
      </c>
      <c r="Q128" s="40">
        <v>17560.0</v>
      </c>
      <c r="R128" s="39" t="str">
        <f t="shared" si="3"/>
        <v>40 (24-59)</v>
      </c>
      <c r="S128" s="40">
        <v>16307.0</v>
      </c>
      <c r="T128" s="39" t="str">
        <f t="shared" si="4"/>
        <v>37 (22-59)</v>
      </c>
    </row>
    <row r="129">
      <c r="A129" s="16" t="s">
        <v>156</v>
      </c>
      <c r="B129" s="34">
        <v>133.37870773446755</v>
      </c>
      <c r="C129" s="34">
        <v>84.47318156516278</v>
      </c>
      <c r="D129" s="34">
        <v>204.51401852618355</v>
      </c>
      <c r="E129" s="34">
        <f>(B129/100000)*'Birth Pop per Year'!C129</f>
        <v>36.71915824</v>
      </c>
      <c r="F129" s="34">
        <f>(C129/100000)*'Birth Pop per Year'!C129</f>
        <v>23.25546688</v>
      </c>
      <c r="G129" s="34">
        <f>(D129/100000)*'Birth Pop per Year'!C129</f>
        <v>56.3027093</v>
      </c>
      <c r="H129" s="34">
        <f>(B129/100000)*'Birth Pop per Year'!G129</f>
        <v>36.58311196</v>
      </c>
      <c r="I129" s="34">
        <f>(C129/100000)*'Birth Pop per Year'!G129</f>
        <v>23.16930424</v>
      </c>
      <c r="J129" s="34">
        <f>(D129/100000)*'Birth Pop per Year'!K129</f>
        <v>52.48647771</v>
      </c>
      <c r="K129" s="34">
        <f>(B129/100000)*'Birth Pop per Year'!K129</f>
        <v>34.23031155</v>
      </c>
      <c r="L129" s="34">
        <f>(C129/100000)*'Birth Pop per Year'!K129</f>
        <v>21.67919732</v>
      </c>
      <c r="M129" s="34">
        <f>(D129/100000)*'Birth Pop per Year'!K129</f>
        <v>52.48647771</v>
      </c>
      <c r="N129" s="39" t="str">
        <f t="shared" si="1"/>
        <v>133 (84-205)</v>
      </c>
      <c r="O129" s="40">
        <v>27530.0</v>
      </c>
      <c r="P129" s="39" t="str">
        <f t="shared" si="2"/>
        <v>37 (23-56)</v>
      </c>
      <c r="Q129" s="40">
        <v>27428.0</v>
      </c>
      <c r="R129" s="39" t="str">
        <f t="shared" si="3"/>
        <v>37 (23-52)</v>
      </c>
      <c r="S129" s="40">
        <v>25664.0</v>
      </c>
      <c r="T129" s="39" t="str">
        <f t="shared" si="4"/>
        <v>34 (22-52)</v>
      </c>
    </row>
    <row r="130">
      <c r="A130" s="16" t="s">
        <v>157</v>
      </c>
      <c r="B130" s="34">
        <v>168.93163885695228</v>
      </c>
      <c r="C130" s="34">
        <v>105.58227428559522</v>
      </c>
      <c r="D130" s="34">
        <v>257.41964016297493</v>
      </c>
      <c r="E130" s="34">
        <f>(B130/100000)*'Birth Pop per Year'!C130</f>
        <v>2010.306774</v>
      </c>
      <c r="F130" s="34">
        <f>(C130/100000)*'Birth Pop per Year'!C130</f>
        <v>1256.441734</v>
      </c>
      <c r="G130" s="34">
        <f>(D130/100000)*'Birth Pop per Year'!C130</f>
        <v>3063.324608</v>
      </c>
      <c r="H130" s="34">
        <f>(B130/100000)*'Birth Pop per Year'!G130</f>
        <v>2304.925242</v>
      </c>
      <c r="I130" s="34">
        <f>(C130/100000)*'Birth Pop per Year'!G130</f>
        <v>1440.578276</v>
      </c>
      <c r="J130" s="34">
        <f>(D130/100000)*'Birth Pop per Year'!K130</f>
        <v>3557.54715</v>
      </c>
      <c r="K130" s="34">
        <f>(B130/100000)*'Birth Pop per Year'!K130</f>
        <v>2334.640317</v>
      </c>
      <c r="L130" s="34">
        <f>(C130/100000)*'Birth Pop per Year'!K130</f>
        <v>1459.150198</v>
      </c>
      <c r="M130" s="34">
        <f>(D130/100000)*'Birth Pop per Year'!K130</f>
        <v>3557.54715</v>
      </c>
      <c r="N130" s="39" t="str">
        <f t="shared" si="1"/>
        <v>169 (106-257)</v>
      </c>
      <c r="O130" s="40">
        <v>1190012.0</v>
      </c>
      <c r="P130" s="39" t="str">
        <f t="shared" si="2"/>
        <v>2,010 (1,256-3,063)</v>
      </c>
      <c r="Q130" s="40">
        <v>1364413.0</v>
      </c>
      <c r="R130" s="39" t="str">
        <f t="shared" si="3"/>
        <v>2,305 (1,441-3,558)</v>
      </c>
      <c r="S130" s="40">
        <v>1382003.0</v>
      </c>
      <c r="T130" s="39" t="str">
        <f t="shared" si="4"/>
        <v>2,335 (1,459-3,558)</v>
      </c>
    </row>
    <row r="131">
      <c r="A131" s="16" t="s">
        <v>158</v>
      </c>
      <c r="B131" s="34">
        <v>245.1185675539149</v>
      </c>
      <c r="C131" s="34">
        <v>150.100695861667</v>
      </c>
      <c r="D131" s="34">
        <v>389.71098099863997</v>
      </c>
      <c r="E131" s="34">
        <f>(B131/100000)*'Birth Pop per Year'!C131</f>
        <v>574.6339091</v>
      </c>
      <c r="F131" s="34">
        <f>(C131/100000)*'Birth Pop per Year'!C131</f>
        <v>351.8825623</v>
      </c>
      <c r="G131" s="34">
        <f>(D131/100000)*'Birth Pop per Year'!C131</f>
        <v>913.6033499</v>
      </c>
      <c r="H131" s="34">
        <f>(B131/100000)*'Birth Pop per Year'!G131</f>
        <v>556.5809266</v>
      </c>
      <c r="I131" s="34">
        <f>(C131/100000)*'Birth Pop per Year'!G131</f>
        <v>340.8276461</v>
      </c>
      <c r="J131" s="34">
        <f>(D131/100000)*'Birth Pop per Year'!K131</f>
        <v>744.7454789</v>
      </c>
      <c r="K131" s="34">
        <f>(B131/100000)*'Birth Pop per Year'!K131</f>
        <v>468.426485</v>
      </c>
      <c r="L131" s="34">
        <f>(C131/100000)*'Birth Pop per Year'!K131</f>
        <v>286.8454318</v>
      </c>
      <c r="M131" s="34">
        <f>(D131/100000)*'Birth Pop per Year'!K131</f>
        <v>744.7454789</v>
      </c>
      <c r="N131" s="39" t="str">
        <f t="shared" si="1"/>
        <v>245 (150-390)</v>
      </c>
      <c r="O131" s="40">
        <v>234431.0</v>
      </c>
      <c r="P131" s="39" t="str">
        <f t="shared" si="2"/>
        <v>575 (352-914)</v>
      </c>
      <c r="Q131" s="40">
        <v>227066.0</v>
      </c>
      <c r="R131" s="39" t="str">
        <f t="shared" si="3"/>
        <v>557 (341-745)</v>
      </c>
      <c r="S131" s="40">
        <v>191102.0</v>
      </c>
      <c r="T131" s="39" t="str">
        <f t="shared" si="4"/>
        <v>468 (287-745)</v>
      </c>
    </row>
    <row r="132">
      <c r="A132" s="16" t="s">
        <v>159</v>
      </c>
      <c r="B132" s="34">
        <v>151.21358857498163</v>
      </c>
      <c r="C132" s="34">
        <v>95.99514330883665</v>
      </c>
      <c r="D132" s="34">
        <v>230.21844103269675</v>
      </c>
      <c r="E132" s="34">
        <f>(B132/100000)*'Birth Pop per Year'!C132</f>
        <v>456.9704889</v>
      </c>
      <c r="F132" s="34">
        <f>(C132/100000)*'Birth Pop per Year'!C132</f>
        <v>290.099243</v>
      </c>
      <c r="G132" s="34">
        <f>(D132/100000)*'Birth Pop per Year'!C132</f>
        <v>695.7247332</v>
      </c>
      <c r="H132" s="34">
        <f>(B132/100000)*'Birth Pop per Year'!G132</f>
        <v>476.8838064</v>
      </c>
      <c r="I132" s="34">
        <f>(C132/100000)*'Birth Pop per Year'!G132</f>
        <v>302.7408434</v>
      </c>
      <c r="J132" s="34">
        <f>(D132/100000)*'Birth Pop per Year'!K132</f>
        <v>772.6752471</v>
      </c>
      <c r="K132" s="34">
        <f>(B132/100000)*'Birth Pop per Year'!K132</f>
        <v>507.5136309</v>
      </c>
      <c r="L132" s="34">
        <f>(C132/100000)*'Birth Pop per Year'!K132</f>
        <v>322.1856196</v>
      </c>
      <c r="M132" s="34">
        <f>(D132/100000)*'Birth Pop per Year'!K132</f>
        <v>772.6752471</v>
      </c>
      <c r="N132" s="39" t="str">
        <f t="shared" si="1"/>
        <v>151 (96-230)</v>
      </c>
      <c r="O132" s="40">
        <v>302202.0</v>
      </c>
      <c r="P132" s="39" t="str">
        <f t="shared" si="2"/>
        <v>457 (290-696)</v>
      </c>
      <c r="Q132" s="40">
        <v>315371.0</v>
      </c>
      <c r="R132" s="39" t="str">
        <f t="shared" si="3"/>
        <v>477 (303-773)</v>
      </c>
      <c r="S132" s="40">
        <v>335627.0</v>
      </c>
      <c r="T132" s="39" t="str">
        <f t="shared" si="4"/>
        <v>508 (322-773)</v>
      </c>
    </row>
    <row r="133">
      <c r="A133" s="16" t="s">
        <v>160</v>
      </c>
      <c r="B133" s="34">
        <v>151.73969806865145</v>
      </c>
      <c r="C133" s="34">
        <v>93.97515391751708</v>
      </c>
      <c r="D133" s="34">
        <v>236.2311208568778</v>
      </c>
      <c r="E133" s="34">
        <f>(B133/100000)*'Birth Pop per Year'!C133</f>
        <v>85.85280377</v>
      </c>
      <c r="F133" s="34">
        <f>(C133/100000)*'Birth Pop per Year'!C133</f>
        <v>53.17020233</v>
      </c>
      <c r="G133" s="34">
        <f>(D133/100000)*'Birth Pop per Year'!C133</f>
        <v>133.6572059</v>
      </c>
      <c r="H133" s="34">
        <f>(B133/100000)*'Birth Pop per Year'!G133</f>
        <v>86.89677289</v>
      </c>
      <c r="I133" s="34">
        <f>(C133/100000)*'Birth Pop per Year'!G133</f>
        <v>53.81675139</v>
      </c>
      <c r="J133" s="34">
        <f>(D133/100000)*'Birth Pop per Year'!K133</f>
        <v>133.4540471</v>
      </c>
      <c r="K133" s="34">
        <f>(B133/100000)*'Birth Pop per Year'!K133</f>
        <v>85.72230763</v>
      </c>
      <c r="L133" s="34">
        <f>(C133/100000)*'Birth Pop per Year'!K133</f>
        <v>53.0893837</v>
      </c>
      <c r="M133" s="34">
        <f>(D133/100000)*'Birth Pop per Year'!K133</f>
        <v>133.4540471</v>
      </c>
      <c r="N133" s="39" t="str">
        <f t="shared" si="1"/>
        <v>152 (94-236)</v>
      </c>
      <c r="O133" s="40">
        <v>56579.0</v>
      </c>
      <c r="P133" s="39" t="str">
        <f t="shared" si="2"/>
        <v>86 (53-134)</v>
      </c>
      <c r="Q133" s="40">
        <v>57267.0</v>
      </c>
      <c r="R133" s="39" t="str">
        <f t="shared" si="3"/>
        <v>87 (54-133)</v>
      </c>
      <c r="S133" s="40">
        <v>56493.0</v>
      </c>
      <c r="T133" s="39" t="str">
        <f t="shared" si="4"/>
        <v>86 (53-133)</v>
      </c>
    </row>
    <row r="134">
      <c r="A134" s="16" t="s">
        <v>161</v>
      </c>
      <c r="B134" s="34">
        <v>180.5880732926152</v>
      </c>
      <c r="C134" s="34">
        <v>109.64275878480208</v>
      </c>
      <c r="D134" s="34">
        <v>283.06463869278974</v>
      </c>
      <c r="E134" s="34">
        <f>(B134/100000)*'Birth Pop per Year'!C134</f>
        <v>10.27184961</v>
      </c>
      <c r="F134" s="34">
        <f>(C134/100000)*'Birth Pop per Year'!C134</f>
        <v>6.23648012</v>
      </c>
      <c r="G134" s="34">
        <f>(D134/100000)*'Birth Pop per Year'!C134</f>
        <v>16.10071665</v>
      </c>
      <c r="H134" s="34">
        <f>(B134/100000)*'Birth Pop per Year'!G134</f>
        <v>9.652432517</v>
      </c>
      <c r="I134" s="34">
        <f>(C134/100000)*'Birth Pop per Year'!G134</f>
        <v>5.860405457</v>
      </c>
      <c r="J134" s="34">
        <f>(D134/100000)*'Birth Pop per Year'!K134</f>
        <v>14.96845809</v>
      </c>
      <c r="K134" s="34">
        <f>(B134/100000)*'Birth Pop per Year'!K134</f>
        <v>9.549497316</v>
      </c>
      <c r="L134" s="34">
        <f>(C134/100000)*'Birth Pop per Year'!K134</f>
        <v>5.797909085</v>
      </c>
      <c r="M134" s="34">
        <f>(D134/100000)*'Birth Pop per Year'!K134</f>
        <v>14.96845809</v>
      </c>
      <c r="N134" s="39" t="str">
        <f t="shared" si="1"/>
        <v>181 (110-283)</v>
      </c>
      <c r="O134" s="40">
        <v>5688.0</v>
      </c>
      <c r="P134" s="39" t="str">
        <f t="shared" si="2"/>
        <v>10 (6-16)</v>
      </c>
      <c r="Q134" s="40">
        <v>5345.0</v>
      </c>
      <c r="R134" s="39" t="str">
        <f t="shared" si="3"/>
        <v>10 (6-15)</v>
      </c>
      <c r="S134" s="40">
        <v>5288.0</v>
      </c>
      <c r="T134" s="39" t="str">
        <f t="shared" si="4"/>
        <v>10 (6-15)</v>
      </c>
    </row>
    <row r="135">
      <c r="A135" s="16" t="s">
        <v>162</v>
      </c>
      <c r="B135" s="34">
        <v>451.2245746680865</v>
      </c>
      <c r="C135" s="34">
        <v>278.96654447385083</v>
      </c>
      <c r="D135" s="34">
        <v>689.0321207769429</v>
      </c>
      <c r="E135" s="34">
        <f>(B135/100000)*'Birth Pop per Year'!C135</f>
        <v>3394.846747</v>
      </c>
      <c r="F135" s="34">
        <f>(C135/100000)*'Birth Pop per Year'!C135</f>
        <v>2098.841063</v>
      </c>
      <c r="G135" s="34">
        <f>(D135/100000)*'Birth Pop per Year'!C135</f>
        <v>5184.022735</v>
      </c>
      <c r="H135" s="34">
        <f>(B135/100000)*'Birth Pop per Year'!G135</f>
        <v>3569.863222</v>
      </c>
      <c r="I135" s="34">
        <f>(C135/100000)*'Birth Pop per Year'!G135</f>
        <v>2207.043817</v>
      </c>
      <c r="J135" s="34">
        <f>(D135/100000)*'Birth Pop per Year'!K135</f>
        <v>5069.698525</v>
      </c>
      <c r="K135" s="34">
        <f>(B135/100000)*'Birth Pop per Year'!K135</f>
        <v>3319.979565</v>
      </c>
      <c r="L135" s="34">
        <f>(C135/100000)*'Birth Pop per Year'!K135</f>
        <v>2052.554934</v>
      </c>
      <c r="M135" s="34">
        <f>(D135/100000)*'Birth Pop per Year'!K135</f>
        <v>5069.698525</v>
      </c>
      <c r="N135" s="39" t="str">
        <f t="shared" si="1"/>
        <v>451 (279-689)</v>
      </c>
      <c r="O135" s="40">
        <v>752363.0</v>
      </c>
      <c r="P135" s="39" t="str">
        <f t="shared" si="2"/>
        <v>3,395 (2,099-5,184)</v>
      </c>
      <c r="Q135" s="40">
        <v>791150.0</v>
      </c>
      <c r="R135" s="39" t="str">
        <f t="shared" si="3"/>
        <v>3,570 (2,207-5,070)</v>
      </c>
      <c r="S135" s="40">
        <v>735771.0</v>
      </c>
      <c r="T135" s="39" t="str">
        <f t="shared" si="4"/>
        <v>3,320 (2,053-5,070)</v>
      </c>
    </row>
    <row r="136">
      <c r="A136" s="16" t="s">
        <v>163</v>
      </c>
      <c r="B136" s="34">
        <v>605.0390651787037</v>
      </c>
      <c r="C136" s="34">
        <v>363.4163216170785</v>
      </c>
      <c r="D136" s="34">
        <v>940.9536111058409</v>
      </c>
      <c r="E136" s="34">
        <f>(B136/100000)*'Birth Pop per Year'!C136</f>
        <v>1563.693212</v>
      </c>
      <c r="F136" s="34">
        <f>(C136/100000)*'Birth Pop per Year'!C136</f>
        <v>939.2313124</v>
      </c>
      <c r="G136" s="34">
        <f>(D136/100000)*'Birth Pop per Year'!C136</f>
        <v>2431.84756</v>
      </c>
      <c r="H136" s="34">
        <f>(B136/100000)*'Birth Pop per Year'!G136</f>
        <v>1429.447144</v>
      </c>
      <c r="I136" s="34">
        <f>(C136/100000)*'Birth Pop per Year'!G136</f>
        <v>858.596499</v>
      </c>
      <c r="J136" s="34">
        <f>(D136/100000)*'Birth Pop per Year'!K136</f>
        <v>2022.457463</v>
      </c>
      <c r="K136" s="34">
        <f>(B136/100000)*'Birth Pop per Year'!K136</f>
        <v>1300.452816</v>
      </c>
      <c r="L136" s="34">
        <f>(C136/100000)*'Birth Pop per Year'!K136</f>
        <v>781.1161392</v>
      </c>
      <c r="M136" s="34">
        <f>(D136/100000)*'Birth Pop per Year'!K136</f>
        <v>2022.457463</v>
      </c>
      <c r="N136" s="39" t="str">
        <f t="shared" si="1"/>
        <v>605 (363-941)</v>
      </c>
      <c r="O136" s="40">
        <v>258445.0</v>
      </c>
      <c r="P136" s="39" t="str">
        <f t="shared" si="2"/>
        <v>1,564 (939-2,432)</v>
      </c>
      <c r="Q136" s="40">
        <v>236257.0</v>
      </c>
      <c r="R136" s="39" t="str">
        <f t="shared" si="3"/>
        <v>1,429 (859-2,022)</v>
      </c>
      <c r="S136" s="40">
        <v>214937.0</v>
      </c>
      <c r="T136" s="39" t="str">
        <f t="shared" si="4"/>
        <v>1,300 (781-2,022)</v>
      </c>
    </row>
    <row r="137">
      <c r="A137" s="16" t="s">
        <v>164</v>
      </c>
      <c r="B137" s="34">
        <v>275.8745558675402</v>
      </c>
      <c r="C137" s="34">
        <v>170.14289789187504</v>
      </c>
      <c r="D137" s="34">
        <v>435.0796960377947</v>
      </c>
      <c r="E137" s="34">
        <f>(B137/100000)*'Birth Pop per Year'!C137</f>
        <v>141.6974481</v>
      </c>
      <c r="F137" s="34">
        <f>(C137/100000)*'Birth Pop per Year'!C137</f>
        <v>87.39049664</v>
      </c>
      <c r="G137" s="34">
        <f>(D137/100000)*'Birth Pop per Year'!C137</f>
        <v>223.4699843</v>
      </c>
      <c r="H137" s="34">
        <f>(B137/100000)*'Birth Pop per Year'!G137</f>
        <v>108.0959272</v>
      </c>
      <c r="I137" s="34">
        <f>(C137/100000)*'Birth Pop per Year'!G137</f>
        <v>66.66709168</v>
      </c>
      <c r="J137" s="34">
        <f>(D137/100000)*'Birth Pop per Year'!K137</f>
        <v>139.2994663</v>
      </c>
      <c r="K137" s="34">
        <f>(B137/100000)*'Birth Pop per Year'!K137</f>
        <v>88.32675655</v>
      </c>
      <c r="L137" s="34">
        <f>(C137/100000)*'Birth Pop per Year'!K137</f>
        <v>54.47465162</v>
      </c>
      <c r="M137" s="34">
        <f>(D137/100000)*'Birth Pop per Year'!K137</f>
        <v>139.2994663</v>
      </c>
      <c r="N137" s="39" t="str">
        <f t="shared" si="1"/>
        <v>276 (170-435)</v>
      </c>
      <c r="O137" s="40">
        <v>51363.0</v>
      </c>
      <c r="P137" s="39" t="str">
        <f t="shared" si="2"/>
        <v>142 (87-223)</v>
      </c>
      <c r="Q137" s="40">
        <v>39183.0</v>
      </c>
      <c r="R137" s="39" t="str">
        <f t="shared" si="3"/>
        <v>108 (67-139)</v>
      </c>
      <c r="S137" s="40">
        <v>32017.0</v>
      </c>
      <c r="T137" s="39" t="str">
        <f t="shared" si="4"/>
        <v>88 (54-139)</v>
      </c>
    </row>
    <row r="138">
      <c r="A138" s="16" t="s">
        <v>165</v>
      </c>
      <c r="B138" s="34">
        <v>56.93390451517896</v>
      </c>
      <c r="C138" s="34">
        <v>35.19550460938336</v>
      </c>
      <c r="D138" s="34">
        <v>89.02392342373436</v>
      </c>
      <c r="E138" s="34">
        <f>(B138/100000)*'Birth Pop per Year'!C138</f>
        <v>210.1162826</v>
      </c>
      <c r="F138" s="34">
        <f>(C138/100000)*'Birth Pop per Year'!C138</f>
        <v>129.8900656</v>
      </c>
      <c r="G138" s="34">
        <f>(D138/100000)*'Birth Pop per Year'!C138</f>
        <v>328.5454601</v>
      </c>
      <c r="H138" s="34">
        <f>(B138/100000)*'Birth Pop per Year'!G138</f>
        <v>215.4709164</v>
      </c>
      <c r="I138" s="34">
        <f>(C138/100000)*'Birth Pop per Year'!G138</f>
        <v>133.2002028</v>
      </c>
      <c r="J138" s="34">
        <f>(D138/100000)*'Birth Pop per Year'!K138</f>
        <v>343.567357</v>
      </c>
      <c r="K138" s="34">
        <f>(B138/100000)*'Birth Pop per Year'!K138</f>
        <v>219.7233097</v>
      </c>
      <c r="L138" s="34">
        <f>(C138/100000)*'Birth Pop per Year'!K138</f>
        <v>135.8289551</v>
      </c>
      <c r="M138" s="34">
        <f>(D138/100000)*'Birth Pop per Year'!K138</f>
        <v>343.567357</v>
      </c>
      <c r="N138" s="39" t="str">
        <f t="shared" si="1"/>
        <v>57 (35-89)</v>
      </c>
      <c r="O138" s="40">
        <v>369053.0</v>
      </c>
      <c r="P138" s="39" t="str">
        <f t="shared" si="2"/>
        <v>210 (130-329)</v>
      </c>
      <c r="Q138" s="40">
        <v>378458.0</v>
      </c>
      <c r="R138" s="39" t="str">
        <f t="shared" si="3"/>
        <v>215 (133-344)</v>
      </c>
      <c r="S138" s="40">
        <v>385927.0</v>
      </c>
      <c r="T138" s="39" t="str">
        <f t="shared" si="4"/>
        <v>220 (136-344)</v>
      </c>
    </row>
    <row r="139">
      <c r="A139" s="16" t="s">
        <v>166</v>
      </c>
      <c r="B139" s="34">
        <v>62.67695144437616</v>
      </c>
      <c r="C139" s="34">
        <v>38.99899200983406</v>
      </c>
      <c r="D139" s="34">
        <v>94.7118377381684</v>
      </c>
      <c r="E139" s="34">
        <f>(B139/100000)*'Birth Pop per Year'!C139</f>
        <v>0.4017592588</v>
      </c>
      <c r="F139" s="34">
        <f>(C139/100000)*'Birth Pop per Year'!C139</f>
        <v>0.2499835388</v>
      </c>
      <c r="G139" s="34">
        <f>(D139/100000)*'Birth Pop per Year'!C139</f>
        <v>0.6071028799</v>
      </c>
      <c r="H139" s="34">
        <f>(B139/100000)*'Birth Pop per Year'!G139</f>
        <v>0.3647798574</v>
      </c>
      <c r="I139" s="34">
        <f>(C139/100000)*'Birth Pop per Year'!G139</f>
        <v>0.2269741335</v>
      </c>
      <c r="J139" s="34">
        <f>(D139/100000)*'Birth Pop per Year'!K139</f>
        <v>0.5464873037</v>
      </c>
      <c r="K139" s="34">
        <f>(B139/100000)*'Birth Pop per Year'!K139</f>
        <v>0.3616460098</v>
      </c>
      <c r="L139" s="34">
        <f>(C139/100000)*'Birth Pop per Year'!K139</f>
        <v>0.2250241839</v>
      </c>
      <c r="M139" s="34">
        <f>(D139/100000)*'Birth Pop per Year'!K139</f>
        <v>0.5464873037</v>
      </c>
      <c r="N139" s="39" t="str">
        <f t="shared" si="1"/>
        <v>63 (39-95)</v>
      </c>
      <c r="O139" s="40">
        <v>641.0</v>
      </c>
      <c r="P139" s="39" t="str">
        <f t="shared" si="2"/>
        <v>0 (0-1)</v>
      </c>
      <c r="Q139" s="40">
        <v>582.0</v>
      </c>
      <c r="R139" s="39" t="str">
        <f t="shared" si="3"/>
        <v>0 (0-1)</v>
      </c>
      <c r="S139" s="40">
        <v>577.0</v>
      </c>
      <c r="T139" s="39" t="str">
        <f t="shared" si="4"/>
        <v>0 (0-1)</v>
      </c>
    </row>
    <row r="140">
      <c r="A140" s="16" t="s">
        <v>167</v>
      </c>
      <c r="B140" s="34">
        <v>115.64433766864761</v>
      </c>
      <c r="C140" s="34">
        <v>70.11507086996744</v>
      </c>
      <c r="D140" s="34">
        <v>179.3853111867998</v>
      </c>
      <c r="E140" s="34">
        <f>(B140/100000)*'Birth Pop per Year'!C140</f>
        <v>4313.124414</v>
      </c>
      <c r="F140" s="34">
        <f>(C140/100000)*'Birth Pop per Year'!C140</f>
        <v>2615.043936</v>
      </c>
      <c r="G140" s="34">
        <f>(D140/100000)*'Birth Pop per Year'!C140</f>
        <v>6690.437083</v>
      </c>
      <c r="H140" s="34">
        <f>(B140/100000)*'Birth Pop per Year'!G140</f>
        <v>4561.342264</v>
      </c>
      <c r="I140" s="34">
        <f>(C140/100000)*'Birth Pop per Year'!G140</f>
        <v>2765.538223</v>
      </c>
      <c r="J140" s="34">
        <f>(D140/100000)*'Birth Pop per Year'!K140</f>
        <v>6848.897098</v>
      </c>
      <c r="K140" s="34">
        <f>(B140/100000)*'Birth Pop per Year'!K140</f>
        <v>4415.27884</v>
      </c>
      <c r="L140" s="34">
        <f>(C140/100000)*'Birth Pop per Year'!K140</f>
        <v>2676.980084</v>
      </c>
      <c r="M140" s="34">
        <f>(D140/100000)*'Birth Pop per Year'!K140</f>
        <v>6848.897098</v>
      </c>
      <c r="N140" s="39" t="str">
        <f t="shared" si="1"/>
        <v>116 (70-179)</v>
      </c>
      <c r="O140" s="40">
        <v>3729646.0</v>
      </c>
      <c r="P140" s="39" t="str">
        <f t="shared" si="2"/>
        <v>4,313 (2,615-6,690)</v>
      </c>
      <c r="Q140" s="40">
        <v>3944285.0</v>
      </c>
      <c r="R140" s="39" t="str">
        <f t="shared" si="3"/>
        <v>4,561 (2,766-6,849)</v>
      </c>
      <c r="S140" s="40">
        <v>3817981.0</v>
      </c>
      <c r="T140" s="39" t="str">
        <f t="shared" si="4"/>
        <v>4,415 (2,677-6,849)</v>
      </c>
    </row>
    <row r="141">
      <c r="A141" s="16" t="s">
        <v>168</v>
      </c>
      <c r="B141" s="34">
        <v>152.23603252652887</v>
      </c>
      <c r="C141" s="34">
        <v>98.05032603403554</v>
      </c>
      <c r="D141" s="34">
        <v>233.08454697564594</v>
      </c>
      <c r="E141" s="34">
        <f>(B141/100000)*'Birth Pop per Year'!C141</f>
        <v>780.7744624</v>
      </c>
      <c r="F141" s="34">
        <f>(C141/100000)*'Birth Pop per Year'!C141</f>
        <v>502.8716876</v>
      </c>
      <c r="G141" s="34">
        <f>(D141/100000)*'Birth Pop per Year'!C141</f>
        <v>1195.423047</v>
      </c>
      <c r="H141" s="34">
        <f>(B141/100000)*'Birth Pop per Year'!G141</f>
        <v>786.7375478</v>
      </c>
      <c r="I141" s="34">
        <f>(C141/100000)*'Birth Pop per Year'!G141</f>
        <v>506.7123189</v>
      </c>
      <c r="J141" s="34">
        <f>(D141/100000)*'Birth Pop per Year'!K141</f>
        <v>1069.739197</v>
      </c>
      <c r="K141" s="34">
        <f>(B141/100000)*'Birth Pop per Year'!K141</f>
        <v>698.6857489</v>
      </c>
      <c r="L141" s="34">
        <f>(C141/100000)*'Birth Pop per Year'!K141</f>
        <v>450.0009908</v>
      </c>
      <c r="M141" s="34">
        <f>(D141/100000)*'Birth Pop per Year'!K141</f>
        <v>1069.739197</v>
      </c>
      <c r="N141" s="39" t="str">
        <f t="shared" si="1"/>
        <v>152 (98-233)</v>
      </c>
      <c r="O141" s="40">
        <v>512871.0</v>
      </c>
      <c r="P141" s="39" t="str">
        <f t="shared" si="2"/>
        <v>781 (503-1,195)</v>
      </c>
      <c r="Q141" s="40">
        <v>516788.0</v>
      </c>
      <c r="R141" s="39" t="str">
        <f t="shared" si="3"/>
        <v>787 (507-1,070)</v>
      </c>
      <c r="S141" s="40">
        <v>458949.0</v>
      </c>
      <c r="T141" s="39" t="str">
        <f t="shared" si="4"/>
        <v>699 (450-1,070)</v>
      </c>
    </row>
    <row r="142">
      <c r="A142" s="16" t="s">
        <v>169</v>
      </c>
      <c r="B142" s="34">
        <v>153.78185629869395</v>
      </c>
      <c r="C142" s="34">
        <v>96.24442707129145</v>
      </c>
      <c r="D142" s="34">
        <v>236.4265273707812</v>
      </c>
      <c r="E142" s="34">
        <f>(B142/100000)*'Birth Pop per Year'!C142</f>
        <v>256.8187757</v>
      </c>
      <c r="F142" s="34">
        <f>(C142/100000)*'Birth Pop per Year'!C142</f>
        <v>160.7301181</v>
      </c>
      <c r="G142" s="34">
        <f>(D142/100000)*'Birth Pop per Year'!C142</f>
        <v>394.8370292</v>
      </c>
      <c r="H142" s="34">
        <f>(B142/100000)*'Birth Pop per Year'!G142</f>
        <v>240.8100844</v>
      </c>
      <c r="I142" s="34">
        <f>(C142/100000)*'Birth Pop per Year'!G142</f>
        <v>150.7110732</v>
      </c>
      <c r="J142" s="34">
        <f>(D142/100000)*'Birth Pop per Year'!K142</f>
        <v>342.2037557</v>
      </c>
      <c r="K142" s="34">
        <f>(B142/100000)*'Birth Pop per Year'!K142</f>
        <v>222.5838588</v>
      </c>
      <c r="L142" s="34">
        <f>(C142/100000)*'Birth Pop per Year'!K142</f>
        <v>139.3041837</v>
      </c>
      <c r="M142" s="34">
        <f>(D142/100000)*'Birth Pop per Year'!K142</f>
        <v>342.2037557</v>
      </c>
      <c r="N142" s="39" t="str">
        <f t="shared" si="1"/>
        <v>154 (96-236)</v>
      </c>
      <c r="O142" s="40">
        <v>167002.0</v>
      </c>
      <c r="P142" s="39" t="str">
        <f t="shared" si="2"/>
        <v>257 (161-395)</v>
      </c>
      <c r="Q142" s="40">
        <v>156592.0</v>
      </c>
      <c r="R142" s="39" t="str">
        <f t="shared" si="3"/>
        <v>241 (151-342)</v>
      </c>
      <c r="S142" s="40">
        <v>144740.0</v>
      </c>
      <c r="T142" s="39" t="str">
        <f t="shared" si="4"/>
        <v>223 (139-342)</v>
      </c>
    </row>
    <row r="143">
      <c r="A143" s="16" t="s">
        <v>170</v>
      </c>
      <c r="B143" s="34">
        <v>92.30950013009917</v>
      </c>
      <c r="C143" s="34">
        <v>57.938941571019676</v>
      </c>
      <c r="D143" s="34">
        <v>141.41029807164128</v>
      </c>
      <c r="E143" s="34">
        <f>(B143/100000)*'Birth Pop per Year'!C143</f>
        <v>29.99689516</v>
      </c>
      <c r="F143" s="34">
        <f>(C143/100000)*'Birth Pop per Year'!C143</f>
        <v>18.82783845</v>
      </c>
      <c r="G143" s="34">
        <f>(D143/100000)*'Birth Pop per Year'!C143</f>
        <v>45.95269046</v>
      </c>
      <c r="H143" s="34">
        <f>(B143/100000)*'Birth Pop per Year'!G143</f>
        <v>28.51625078</v>
      </c>
      <c r="I143" s="34">
        <f>(C143/100000)*'Birth Pop per Year'!G143</f>
        <v>17.89849783</v>
      </c>
      <c r="J143" s="34">
        <f>(D143/100000)*'Birth Pop per Year'!K143</f>
        <v>38.26279845</v>
      </c>
      <c r="K143" s="34">
        <f>(B143/100000)*'Birth Pop per Year'!K143</f>
        <v>24.97710455</v>
      </c>
      <c r="L143" s="34">
        <f>(C143/100000)*'Birth Pop per Year'!K143</f>
        <v>15.67711881</v>
      </c>
      <c r="M143" s="34">
        <f>(D143/100000)*'Birth Pop per Year'!K143</f>
        <v>38.26279845</v>
      </c>
      <c r="N143" s="39" t="str">
        <f t="shared" si="1"/>
        <v>92 (58-141)</v>
      </c>
      <c r="O143" s="40">
        <v>32496.0</v>
      </c>
      <c r="P143" s="39" t="str">
        <f t="shared" si="2"/>
        <v>30 (19-46)</v>
      </c>
      <c r="Q143" s="40">
        <v>30892.0</v>
      </c>
      <c r="R143" s="39" t="str">
        <f t="shared" si="3"/>
        <v>29 (18-38)</v>
      </c>
      <c r="S143" s="40">
        <v>27058.0</v>
      </c>
      <c r="T143" s="39" t="str">
        <f t="shared" si="4"/>
        <v>25 (16-38)</v>
      </c>
    </row>
    <row r="144">
      <c r="A144" s="16" t="s">
        <v>171</v>
      </c>
      <c r="B144" s="34">
        <v>388.01592233009706</v>
      </c>
      <c r="C144" s="34">
        <v>230.78071197411006</v>
      </c>
      <c r="D144" s="34">
        <v>603.5803236245954</v>
      </c>
      <c r="E144" s="34">
        <f>(B144/100000)*'Birth Pop per Year'!C144</f>
        <v>2.300934419</v>
      </c>
      <c r="F144" s="34">
        <f>(C144/100000)*'Birth Pop per Year'!C144</f>
        <v>1.368529622</v>
      </c>
      <c r="G144" s="34">
        <f>(D144/100000)*'Birth Pop per Year'!C144</f>
        <v>3.579231319</v>
      </c>
      <c r="H144" s="34">
        <f>(B144/100000)*'Birth Pop per Year'!G144</f>
        <v>2.130207414</v>
      </c>
      <c r="I144" s="34">
        <f>(C144/100000)*'Birth Pop per Year'!G144</f>
        <v>1.266986109</v>
      </c>
      <c r="J144" s="34">
        <f>(D144/100000)*'Birth Pop per Year'!K144</f>
        <v>2.68593244</v>
      </c>
      <c r="K144" s="34">
        <f>(B144/100000)*'Birth Pop per Year'!K144</f>
        <v>1.726670854</v>
      </c>
      <c r="L144" s="34">
        <f>(C144/100000)*'Birth Pop per Year'!K144</f>
        <v>1.026974168</v>
      </c>
      <c r="M144" s="34">
        <f>(D144/100000)*'Birth Pop per Year'!K144</f>
        <v>2.68593244</v>
      </c>
      <c r="N144" s="39" t="str">
        <f t="shared" si="1"/>
        <v>388 (231-604)</v>
      </c>
      <c r="O144" s="40">
        <v>593.0</v>
      </c>
      <c r="P144" s="39" t="str">
        <f t="shared" si="2"/>
        <v>2 (1-4)</v>
      </c>
      <c r="Q144" s="40">
        <v>549.0</v>
      </c>
      <c r="R144" s="39" t="str">
        <f t="shared" si="3"/>
        <v>2 (1-3)</v>
      </c>
      <c r="S144" s="40">
        <v>445.0</v>
      </c>
      <c r="T144" s="39" t="str">
        <f t="shared" si="4"/>
        <v>2 (1-3)</v>
      </c>
    </row>
    <row r="145">
      <c r="A145" s="16" t="s">
        <v>172</v>
      </c>
      <c r="B145" s="34">
        <v>151.85840998074738</v>
      </c>
      <c r="C145" s="34">
        <v>93.85693394643414</v>
      </c>
      <c r="D145" s="34">
        <v>233.0604764287859</v>
      </c>
      <c r="E145" s="34">
        <f>(B145/100000)*'Birth Pop per Year'!C145</f>
        <v>108.1459667</v>
      </c>
      <c r="F145" s="34">
        <f>(C145/100000)*'Birth Pop per Year'!C145</f>
        <v>66.84021551</v>
      </c>
      <c r="G145" s="34">
        <f>(D145/100000)*'Birth Pop per Year'!C145</f>
        <v>165.9740183</v>
      </c>
      <c r="H145" s="34">
        <f>(B145/100000)*'Birth Pop per Year'!G145</f>
        <v>103.9622675</v>
      </c>
      <c r="I145" s="34">
        <f>(C145/100000)*'Birth Pop per Year'!G145</f>
        <v>64.25445698</v>
      </c>
      <c r="J145" s="34">
        <f>(D145/100000)*'Birth Pop per Year'!K145</f>
        <v>164.1002121</v>
      </c>
      <c r="K145" s="34">
        <f>(B145/100000)*'Birth Pop per Year'!K145</f>
        <v>106.9250251</v>
      </c>
      <c r="L145" s="34">
        <f>(C145/100000)*'Birth Pop per Year'!K145</f>
        <v>66.08560576</v>
      </c>
      <c r="M145" s="34">
        <f>(D145/100000)*'Birth Pop per Year'!K145</f>
        <v>164.1002121</v>
      </c>
      <c r="N145" s="39" t="str">
        <f t="shared" si="1"/>
        <v>152 (94-233)</v>
      </c>
      <c r="O145" s="40">
        <v>71215.0</v>
      </c>
      <c r="P145" s="39" t="str">
        <f t="shared" si="2"/>
        <v>108 (67-166)</v>
      </c>
      <c r="Q145" s="40">
        <v>68460.0</v>
      </c>
      <c r="R145" s="39" t="str">
        <f t="shared" si="3"/>
        <v>104 (64-164)</v>
      </c>
      <c r="S145" s="40">
        <v>70411.0</v>
      </c>
      <c r="T145" s="39" t="str">
        <f t="shared" si="4"/>
        <v>107 (66-164)</v>
      </c>
    </row>
    <row r="146">
      <c r="A146" s="16" t="s">
        <v>173</v>
      </c>
      <c r="B146" s="34">
        <v>130.69368829838075</v>
      </c>
      <c r="C146" s="34">
        <v>80.81060116159419</v>
      </c>
      <c r="D146" s="34">
        <v>199.5323485471462</v>
      </c>
      <c r="E146" s="34">
        <f>(B146/100000)*'Birth Pop per Year'!C146</f>
        <v>131.50791</v>
      </c>
      <c r="F146" s="34">
        <f>(C146/100000)*'Birth Pop per Year'!C146</f>
        <v>81.31405121</v>
      </c>
      <c r="G146" s="34">
        <f>(D146/100000)*'Birth Pop per Year'!C146</f>
        <v>200.7754351</v>
      </c>
      <c r="H146" s="34">
        <f>(B146/100000)*'Birth Pop per Year'!G146</f>
        <v>141.3713626</v>
      </c>
      <c r="I146" s="34">
        <f>(C146/100000)*'Birth Pop per Year'!G146</f>
        <v>87.41282728</v>
      </c>
      <c r="J146" s="34">
        <f>(D146/100000)*'Birth Pop per Year'!K146</f>
        <v>209.9539231</v>
      </c>
      <c r="K146" s="34">
        <f>(B146/100000)*'Birth Pop per Year'!K146</f>
        <v>137.5198196</v>
      </c>
      <c r="L146" s="34">
        <f>(C146/100000)*'Birth Pop per Year'!K146</f>
        <v>85.03133886</v>
      </c>
      <c r="M146" s="34">
        <f>(D146/100000)*'Birth Pop per Year'!K146</f>
        <v>209.9539231</v>
      </c>
      <c r="N146" s="39" t="str">
        <f t="shared" si="1"/>
        <v>131 (81-200)</v>
      </c>
      <c r="O146" s="40">
        <v>100623.0</v>
      </c>
      <c r="P146" s="39" t="str">
        <f t="shared" si="2"/>
        <v>132 (81-201)</v>
      </c>
      <c r="Q146" s="40">
        <v>108170.0</v>
      </c>
      <c r="R146" s="39" t="str">
        <f t="shared" si="3"/>
        <v>141 (87-210)</v>
      </c>
      <c r="S146" s="40">
        <v>105223.0</v>
      </c>
      <c r="T146" s="39" t="str">
        <f t="shared" si="4"/>
        <v>138 (85-210)</v>
      </c>
    </row>
    <row r="147">
      <c r="A147" s="16" t="s">
        <v>174</v>
      </c>
      <c r="B147" s="34">
        <v>242.5753489946517</v>
      </c>
      <c r="C147" s="34">
        <v>156.9605199377158</v>
      </c>
      <c r="D147" s="34">
        <v>359.4039178119288</v>
      </c>
      <c r="E147" s="34">
        <f>(B147/100000)*'Birth Pop per Year'!C147</f>
        <v>31.31890331</v>
      </c>
      <c r="F147" s="34">
        <f>(C147/100000)*'Birth Pop per Year'!C147</f>
        <v>20.26517273</v>
      </c>
      <c r="G147" s="34">
        <f>(D147/100000)*'Birth Pop per Year'!C147</f>
        <v>46.40263983</v>
      </c>
      <c r="H147" s="34">
        <f>(B147/100000)*'Birth Pop per Year'!G147</f>
        <v>28.54869282</v>
      </c>
      <c r="I147" s="34">
        <f>(C147/100000)*'Birth Pop per Year'!G147</f>
        <v>18.47268359</v>
      </c>
      <c r="J147" s="34">
        <f>(D147/100000)*'Birth Pop per Year'!K147</f>
        <v>44.52655138</v>
      </c>
      <c r="K147" s="34">
        <f>(B147/100000)*'Birth Pop per Year'!K147</f>
        <v>30.05265999</v>
      </c>
      <c r="L147" s="34">
        <f>(C147/100000)*'Birth Pop per Year'!K147</f>
        <v>19.44583882</v>
      </c>
      <c r="M147" s="34">
        <f>(D147/100000)*'Birth Pop per Year'!K147</f>
        <v>44.52655138</v>
      </c>
      <c r="N147" s="39" t="str">
        <f t="shared" si="1"/>
        <v>243 (157-359)</v>
      </c>
      <c r="O147" s="40">
        <v>12911.0</v>
      </c>
      <c r="P147" s="39" t="str">
        <f t="shared" si="2"/>
        <v>31 (20-46)</v>
      </c>
      <c r="Q147" s="40">
        <v>11769.0</v>
      </c>
      <c r="R147" s="39" t="str">
        <f t="shared" si="3"/>
        <v>29 (18-45)</v>
      </c>
      <c r="S147" s="40">
        <v>12389.0</v>
      </c>
      <c r="T147" s="39" t="str">
        <f t="shared" si="4"/>
        <v>30 (19-45)</v>
      </c>
    </row>
    <row r="148">
      <c r="A148" s="16" t="s">
        <v>175</v>
      </c>
      <c r="B148" s="34">
        <v>162.38848119625928</v>
      </c>
      <c r="C148" s="34">
        <v>102.31412977105354</v>
      </c>
      <c r="D148" s="34">
        <v>254.37733181610557</v>
      </c>
      <c r="E148" s="34">
        <f>(B148/100000)*'Birth Pop per Year'!C148</f>
        <v>97.76273733</v>
      </c>
      <c r="F148" s="34">
        <f>(C148/100000)*'Birth Pop per Year'!C148</f>
        <v>61.59617555</v>
      </c>
      <c r="G148" s="34">
        <f>(D148/100000)*'Birth Pop per Year'!C148</f>
        <v>153.1427851</v>
      </c>
      <c r="H148" s="34">
        <f>(B148/100000)*'Birth Pop per Year'!G148</f>
        <v>95.24571588</v>
      </c>
      <c r="I148" s="34">
        <f>(C148/100000)*'Birth Pop per Year'!G148</f>
        <v>60.01030653</v>
      </c>
      <c r="J148" s="34">
        <f>(D148/100000)*'Birth Pop per Year'!K148</f>
        <v>143.8580125</v>
      </c>
      <c r="K148" s="34">
        <f>(B148/100000)*'Birth Pop per Year'!K148</f>
        <v>91.83555777</v>
      </c>
      <c r="L148" s="34">
        <f>(C148/100000)*'Birth Pop per Year'!K148</f>
        <v>57.86170981</v>
      </c>
      <c r="M148" s="34">
        <f>(D148/100000)*'Birth Pop per Year'!K148</f>
        <v>143.8580125</v>
      </c>
      <c r="N148" s="39" t="str">
        <f t="shared" si="1"/>
        <v>162 (102-254)</v>
      </c>
      <c r="O148" s="40">
        <v>60203.0</v>
      </c>
      <c r="P148" s="39" t="str">
        <f t="shared" si="2"/>
        <v>98 (62-153)</v>
      </c>
      <c r="Q148" s="40">
        <v>58653.0</v>
      </c>
      <c r="R148" s="39" t="str">
        <f t="shared" si="3"/>
        <v>95 (60-144)</v>
      </c>
      <c r="S148" s="40">
        <v>56553.0</v>
      </c>
      <c r="T148" s="39" t="str">
        <f t="shared" si="4"/>
        <v>92 (58-144)</v>
      </c>
    </row>
    <row r="149">
      <c r="A149" s="16" t="s">
        <v>176</v>
      </c>
      <c r="B149" s="34">
        <v>234.05602625993592</v>
      </c>
      <c r="C149" s="34">
        <v>139.51122747513418</v>
      </c>
      <c r="D149" s="34">
        <v>366.6493416288651</v>
      </c>
      <c r="E149" s="34">
        <f>(B149/100000)*'Birth Pop per Year'!C149</f>
        <v>102.0367246</v>
      </c>
      <c r="F149" s="34">
        <f>(C149/100000)*'Birth Pop per Year'!C149</f>
        <v>60.81991962</v>
      </c>
      <c r="G149" s="34">
        <f>(D149/100000)*'Birth Pop per Year'!C149</f>
        <v>159.8407805</v>
      </c>
      <c r="H149" s="34">
        <f>(B149/100000)*'Birth Pop per Year'!G149</f>
        <v>108.379643</v>
      </c>
      <c r="I149" s="34">
        <f>(C149/100000)*'Birth Pop per Year'!G149</f>
        <v>64.60067388</v>
      </c>
      <c r="J149" s="34">
        <f>(D149/100000)*'Birth Pop per Year'!K149</f>
        <v>158.6015057</v>
      </c>
      <c r="K149" s="34">
        <f>(B149/100000)*'Birth Pop per Year'!K149</f>
        <v>101.2456153</v>
      </c>
      <c r="L149" s="34">
        <f>(C149/100000)*'Birth Pop per Year'!K149</f>
        <v>60.34837167</v>
      </c>
      <c r="M149" s="34">
        <f>(D149/100000)*'Birth Pop per Year'!K149</f>
        <v>158.6015057</v>
      </c>
      <c r="N149" s="39" t="str">
        <f t="shared" si="1"/>
        <v>234 (140-367)</v>
      </c>
      <c r="O149" s="40">
        <v>43595.0</v>
      </c>
      <c r="P149" s="39" t="str">
        <f t="shared" si="2"/>
        <v>102 (61-160)</v>
      </c>
      <c r="Q149" s="40">
        <v>46305.0</v>
      </c>
      <c r="R149" s="39" t="str">
        <f t="shared" si="3"/>
        <v>108 (65-159)</v>
      </c>
      <c r="S149" s="40">
        <v>43257.0</v>
      </c>
      <c r="T149" s="39" t="str">
        <f t="shared" si="4"/>
        <v>101 (60-159)</v>
      </c>
    </row>
    <row r="150">
      <c r="A150" s="16" t="s">
        <v>177</v>
      </c>
      <c r="B150" s="34">
        <v>123.58396155789819</v>
      </c>
      <c r="C150" s="34">
        <v>77.73829839932306</v>
      </c>
      <c r="D150" s="34">
        <v>187.36923203939403</v>
      </c>
      <c r="E150" s="34">
        <f>(B150/100000)*'Birth Pop per Year'!C150</f>
        <v>793.8662939</v>
      </c>
      <c r="F150" s="34">
        <f>(C150/100000)*'Birth Pop per Year'!C150</f>
        <v>499.3675074</v>
      </c>
      <c r="G150" s="34">
        <f>(D150/100000)*'Birth Pop per Year'!C150</f>
        <v>1203.603736</v>
      </c>
      <c r="H150" s="34">
        <f>(B150/100000)*'Birth Pop per Year'!G150</f>
        <v>871.2570423</v>
      </c>
      <c r="I150" s="34">
        <f>(C150/100000)*'Birth Pop per Year'!G150</f>
        <v>548.0487847</v>
      </c>
      <c r="J150" s="34">
        <f>(D150/100000)*'Birth Pop per Year'!K150</f>
        <v>1262.478896</v>
      </c>
      <c r="K150" s="34">
        <f>(B150/100000)*'Birth Pop per Year'!K150</f>
        <v>832.6988463</v>
      </c>
      <c r="L150" s="34">
        <f>(C150/100000)*'Birth Pop per Year'!K150</f>
        <v>523.7944356</v>
      </c>
      <c r="M150" s="34">
        <f>(D150/100000)*'Birth Pop per Year'!K150</f>
        <v>1262.478896</v>
      </c>
      <c r="N150" s="39" t="str">
        <f t="shared" si="1"/>
        <v>124 (78-187)</v>
      </c>
      <c r="O150" s="40">
        <v>642370.0</v>
      </c>
      <c r="P150" s="39" t="str">
        <f t="shared" si="2"/>
        <v>794 (499-1,204)</v>
      </c>
      <c r="Q150" s="40">
        <v>704992.0</v>
      </c>
      <c r="R150" s="39" t="str">
        <f t="shared" si="3"/>
        <v>871 (548-1,262)</v>
      </c>
      <c r="S150" s="40">
        <v>673792.0</v>
      </c>
      <c r="T150" s="39" t="str">
        <f t="shared" si="4"/>
        <v>833 (524-1,262)</v>
      </c>
    </row>
    <row r="151">
      <c r="A151" s="16" t="s">
        <v>178</v>
      </c>
      <c r="B151" s="34">
        <v>183.317442177252</v>
      </c>
      <c r="C151" s="34">
        <v>112.32166977334515</v>
      </c>
      <c r="D151" s="34">
        <v>286.1023664038037</v>
      </c>
      <c r="E151" s="34">
        <f>(B151/100000)*'Birth Pop per Year'!C151</f>
        <v>1214.21591</v>
      </c>
      <c r="F151" s="34">
        <f>(C151/100000)*'Birth Pop per Year'!C151</f>
        <v>743.9704423</v>
      </c>
      <c r="G151" s="34">
        <f>(D151/100000)*'Birth Pop per Year'!C151</f>
        <v>1895.019051</v>
      </c>
      <c r="H151" s="34">
        <f>(B151/100000)*'Birth Pop per Year'!G151</f>
        <v>1192.371804</v>
      </c>
      <c r="I151" s="34">
        <f>(C151/100000)*'Birth Pop per Year'!G151</f>
        <v>730.5861921</v>
      </c>
      <c r="J151" s="34">
        <f>(D151/100000)*'Birth Pop per Year'!K151</f>
        <v>1985.126991</v>
      </c>
      <c r="K151" s="34">
        <f>(B151/100000)*'Birth Pop per Year'!K151</f>
        <v>1271.951739</v>
      </c>
      <c r="L151" s="34">
        <f>(C151/100000)*'Birth Pop per Year'!K151</f>
        <v>779.3461522</v>
      </c>
      <c r="M151" s="34">
        <f>(D151/100000)*'Birth Pop per Year'!K151</f>
        <v>1985.126991</v>
      </c>
      <c r="N151" s="39" t="str">
        <f t="shared" si="1"/>
        <v>183 (112-286)</v>
      </c>
      <c r="O151" s="40">
        <v>662357.0</v>
      </c>
      <c r="P151" s="39" t="str">
        <f t="shared" si="2"/>
        <v>1,214 (744-1,895)</v>
      </c>
      <c r="Q151" s="40">
        <v>650441.0</v>
      </c>
      <c r="R151" s="39" t="str">
        <f t="shared" si="3"/>
        <v>1,192 (731-1,985)</v>
      </c>
      <c r="S151" s="40">
        <v>693852.0</v>
      </c>
      <c r="T151" s="39" t="str">
        <f t="shared" si="4"/>
        <v>1,272 (779-1,985)</v>
      </c>
    </row>
    <row r="152">
      <c r="A152" s="16" t="s">
        <v>179</v>
      </c>
      <c r="B152" s="34">
        <v>294.5067950343842</v>
      </c>
      <c r="C152" s="34">
        <v>178.7177986960793</v>
      </c>
      <c r="D152" s="34">
        <v>456.8631051174422</v>
      </c>
      <c r="E152" s="34">
        <f>(B152/100000)*'Birth Pop per Year'!C152</f>
        <v>194.6189254</v>
      </c>
      <c r="F152" s="34">
        <f>(C152/100000)*'Birth Pop per Year'!C152</f>
        <v>118.1020829</v>
      </c>
      <c r="G152" s="34">
        <f>(D152/100000)*'Birth Pop per Year'!C152</f>
        <v>301.9088458</v>
      </c>
      <c r="H152" s="34">
        <f>(B152/100000)*'Birth Pop per Year'!G152</f>
        <v>209.7389042</v>
      </c>
      <c r="I152" s="34">
        <f>(C152/100000)*'Birth Pop per Year'!G152</f>
        <v>127.2774547</v>
      </c>
      <c r="J152" s="34">
        <f>(D152/100000)*'Birth Pop per Year'!K152</f>
        <v>310.1049699</v>
      </c>
      <c r="K152" s="34">
        <f>(B152/100000)*'Birth Pop per Year'!K152</f>
        <v>199.9023773</v>
      </c>
      <c r="L152" s="34">
        <f>(C152/100000)*'Birth Pop per Year'!K152</f>
        <v>121.3082802</v>
      </c>
      <c r="M152" s="34">
        <f>(D152/100000)*'Birth Pop per Year'!K152</f>
        <v>310.1049699</v>
      </c>
      <c r="N152" s="39" t="str">
        <f t="shared" si="1"/>
        <v>295 (179-457)</v>
      </c>
      <c r="O152" s="40">
        <v>66083.0</v>
      </c>
      <c r="P152" s="39" t="str">
        <f t="shared" si="2"/>
        <v>195 (118-302)</v>
      </c>
      <c r="Q152" s="40">
        <v>71217.0</v>
      </c>
      <c r="R152" s="39" t="str">
        <f t="shared" si="3"/>
        <v>210 (127-310)</v>
      </c>
      <c r="S152" s="40">
        <v>67877.0</v>
      </c>
      <c r="T152" s="39" t="str">
        <f t="shared" si="4"/>
        <v>200 (121-310)</v>
      </c>
    </row>
    <row r="153">
      <c r="A153" s="16" t="s">
        <v>180</v>
      </c>
      <c r="B153" s="34">
        <v>131.37522838325896</v>
      </c>
      <c r="C153" s="34">
        <v>82.3073719991502</v>
      </c>
      <c r="D153" s="34">
        <v>201.81134480560868</v>
      </c>
      <c r="E153" s="34">
        <f>(B153/100000)*'Birth Pop per Year'!C153</f>
        <v>5.604467243</v>
      </c>
      <c r="F153" s="34">
        <f>(C153/100000)*'Birth Pop per Year'!C153</f>
        <v>3.511232489</v>
      </c>
      <c r="G153" s="34">
        <f>(D153/100000)*'Birth Pop per Year'!C153</f>
        <v>8.609271969</v>
      </c>
      <c r="H153" s="34">
        <f>(B153/100000)*'Birth Pop per Year'!G153</f>
        <v>5.21165531</v>
      </c>
      <c r="I153" s="34">
        <f>(C153/100000)*'Birth Pop per Year'!G153</f>
        <v>3.265133447</v>
      </c>
      <c r="J153" s="34">
        <f>(D153/100000)*'Birth Pop per Year'!K153</f>
        <v>7.559852976</v>
      </c>
      <c r="K153" s="34">
        <f>(B153/100000)*'Birth Pop per Year'!K153</f>
        <v>4.921316055</v>
      </c>
      <c r="L153" s="34">
        <f>(C153/100000)*'Birth Pop per Year'!K153</f>
        <v>3.083234155</v>
      </c>
      <c r="M153" s="34">
        <f>(D153/100000)*'Birth Pop per Year'!K153</f>
        <v>7.559852976</v>
      </c>
      <c r="N153" s="39" t="str">
        <f t="shared" si="1"/>
        <v>131 (82-202)</v>
      </c>
      <c r="O153" s="40">
        <v>4266.0</v>
      </c>
      <c r="P153" s="39" t="str">
        <f t="shared" si="2"/>
        <v>6 (4-9)</v>
      </c>
      <c r="Q153" s="40">
        <v>3967.0</v>
      </c>
      <c r="R153" s="39" t="str">
        <f t="shared" si="3"/>
        <v>5 (3-8)</v>
      </c>
      <c r="S153" s="40">
        <v>3746.0</v>
      </c>
      <c r="T153" s="39" t="str">
        <f t="shared" si="4"/>
        <v>5 (3-8)</v>
      </c>
    </row>
    <row r="154">
      <c r="A154" s="16" t="s">
        <v>181</v>
      </c>
      <c r="B154" s="34">
        <v>118.29652189568262</v>
      </c>
      <c r="C154" s="34">
        <v>72.73045420253078</v>
      </c>
      <c r="D154" s="34">
        <v>184.01681183772848</v>
      </c>
      <c r="E154" s="34">
        <f>(B154/100000)*'Birth Pop per Year'!C154</f>
        <v>64.67270852</v>
      </c>
      <c r="F154" s="34">
        <f>(C154/100000)*'Birth Pop per Year'!C154</f>
        <v>39.76173931</v>
      </c>
      <c r="G154" s="34">
        <f>(D154/100000)*'Birth Pop per Year'!C154</f>
        <v>100.601991</v>
      </c>
      <c r="H154" s="34">
        <f>(B154/100000)*'Birth Pop per Year'!G154</f>
        <v>74.02168265</v>
      </c>
      <c r="I154" s="34">
        <f>(C154/100000)*'Birth Pop per Year'!G154</f>
        <v>45.50962711</v>
      </c>
      <c r="J154" s="34">
        <f>(D154/100000)*'Birth Pop per Year'!K154</f>
        <v>108.2460494</v>
      </c>
      <c r="K154" s="34">
        <f>(B154/100000)*'Birth Pop per Year'!K154</f>
        <v>69.58674604</v>
      </c>
      <c r="L154" s="34">
        <f>(C154/100000)*'Birth Pop per Year'!K154</f>
        <v>42.78296238</v>
      </c>
      <c r="M154" s="34">
        <f>(D154/100000)*'Birth Pop per Year'!K154</f>
        <v>108.2460494</v>
      </c>
      <c r="N154" s="39" t="str">
        <f t="shared" si="1"/>
        <v>118 (73-184)</v>
      </c>
      <c r="O154" s="40">
        <v>54670.0</v>
      </c>
      <c r="P154" s="39" t="str">
        <f t="shared" si="2"/>
        <v>65 (40-101)</v>
      </c>
      <c r="Q154" s="40">
        <v>62573.0</v>
      </c>
      <c r="R154" s="39" t="str">
        <f t="shared" si="3"/>
        <v>74 (46-108)</v>
      </c>
      <c r="S154" s="40">
        <v>58824.0</v>
      </c>
      <c r="T154" s="39" t="str">
        <f t="shared" si="4"/>
        <v>70 (43-108)</v>
      </c>
    </row>
    <row r="155">
      <c r="A155" s="16" t="s">
        <v>182</v>
      </c>
      <c r="B155" s="34">
        <v>55.39335856462817</v>
      </c>
      <c r="C155" s="34">
        <v>33.88137465603471</v>
      </c>
      <c r="D155" s="34">
        <v>84.43453684122936</v>
      </c>
      <c r="E155" s="34">
        <f>(B155/100000)*'Birth Pop per Year'!C155</f>
        <v>97.37099962</v>
      </c>
      <c r="F155" s="34">
        <f>(C155/100000)*'Birth Pop per Year'!C155</f>
        <v>59.55701918</v>
      </c>
      <c r="G155" s="34">
        <f>(D155/100000)*'Birth Pop per Year'!C155</f>
        <v>148.4198732</v>
      </c>
      <c r="H155" s="34">
        <f>(B155/100000)*'Birth Pop per Year'!G155</f>
        <v>110.4244446</v>
      </c>
      <c r="I155" s="34">
        <f>(C155/100000)*'Birth Pop per Year'!G155</f>
        <v>67.54116512</v>
      </c>
      <c r="J155" s="34">
        <f>(D155/100000)*'Birth Pop per Year'!K155</f>
        <v>179.0214824</v>
      </c>
      <c r="K155" s="34">
        <f>(B155/100000)*'Birth Pop per Year'!K155</f>
        <v>117.4472146</v>
      </c>
      <c r="L155" s="34">
        <f>(C155/100000)*'Birth Pop per Year'!K155</f>
        <v>71.8366458</v>
      </c>
      <c r="M155" s="34">
        <f>(D155/100000)*'Birth Pop per Year'!K155</f>
        <v>179.0214824</v>
      </c>
      <c r="N155" s="39" t="str">
        <f t="shared" si="1"/>
        <v>55 (34-84)</v>
      </c>
      <c r="O155" s="40">
        <v>175781.0</v>
      </c>
      <c r="P155" s="39" t="str">
        <f t="shared" si="2"/>
        <v>97 (60-148)</v>
      </c>
      <c r="Q155" s="40">
        <v>199346.0</v>
      </c>
      <c r="R155" s="39" t="str">
        <f t="shared" si="3"/>
        <v>110 (68-179)</v>
      </c>
      <c r="S155" s="40">
        <v>212024.0</v>
      </c>
      <c r="T155" s="39" t="str">
        <f t="shared" si="4"/>
        <v>117 (72-179)</v>
      </c>
    </row>
    <row r="156">
      <c r="A156" s="16" t="s">
        <v>183</v>
      </c>
      <c r="B156" s="34">
        <v>172.19341742942473</v>
      </c>
      <c r="C156" s="34">
        <v>104.18425256234102</v>
      </c>
      <c r="D156" s="34">
        <v>259.0136278980423</v>
      </c>
      <c r="E156" s="34">
        <f>(B156/100000)*'Birth Pop per Year'!C156</f>
        <v>646.4037574</v>
      </c>
      <c r="F156" s="34">
        <f>(C156/100000)*'Birth Pop per Year'!C156</f>
        <v>391.1014331</v>
      </c>
      <c r="G156" s="34">
        <f>(D156/100000)*'Birth Pop per Year'!C156</f>
        <v>972.3216183</v>
      </c>
      <c r="H156" s="34">
        <f>(B156/100000)*'Birth Pop per Year'!G156</f>
        <v>658.9738769</v>
      </c>
      <c r="I156" s="34">
        <f>(C156/100000)*'Birth Pop per Year'!G156</f>
        <v>398.7068835</v>
      </c>
      <c r="J156" s="34">
        <f>(D156/100000)*'Birth Pop per Year'!K156</f>
        <v>894.9620181</v>
      </c>
      <c r="K156" s="34">
        <f>(B156/100000)*'Birth Pop per Year'!K156</f>
        <v>594.9747494</v>
      </c>
      <c r="L156" s="34">
        <f>(C156/100000)*'Birth Pop per Year'!K156</f>
        <v>359.9847224</v>
      </c>
      <c r="M156" s="34">
        <f>(D156/100000)*'Birth Pop per Year'!K156</f>
        <v>894.9620181</v>
      </c>
      <c r="N156" s="39" t="str">
        <f t="shared" si="1"/>
        <v>172 (104-259)</v>
      </c>
      <c r="O156" s="40">
        <v>375394.0</v>
      </c>
      <c r="P156" s="39" t="str">
        <f t="shared" si="2"/>
        <v>646 (391-972)</v>
      </c>
      <c r="Q156" s="40">
        <v>382694.0</v>
      </c>
      <c r="R156" s="39" t="str">
        <f t="shared" si="3"/>
        <v>659 (399-895)</v>
      </c>
      <c r="S156" s="40">
        <v>345527.0</v>
      </c>
      <c r="T156" s="39" t="str">
        <f t="shared" si="4"/>
        <v>595 (360-895)</v>
      </c>
    </row>
    <row r="157">
      <c r="A157" s="16" t="s">
        <v>184</v>
      </c>
      <c r="B157" s="34">
        <v>183.86214150011398</v>
      </c>
      <c r="C157" s="34">
        <v>109.92815867467132</v>
      </c>
      <c r="D157" s="34">
        <v>284.06214453985865</v>
      </c>
      <c r="E157" s="34">
        <f>(B157/100000)*'Birth Pop per Year'!C157</f>
        <v>12.64236085</v>
      </c>
      <c r="F157" s="34">
        <f>(C157/100000)*'Birth Pop per Year'!C157</f>
        <v>7.55866019</v>
      </c>
      <c r="G157" s="34">
        <f>(D157/100000)*'Birth Pop per Year'!C157</f>
        <v>19.53211306</v>
      </c>
      <c r="H157" s="34">
        <f>(B157/100000)*'Birth Pop per Year'!G157</f>
        <v>12.14777169</v>
      </c>
      <c r="I157" s="34">
        <f>(C157/100000)*'Birth Pop per Year'!G157</f>
        <v>7.262953444</v>
      </c>
      <c r="J157" s="34">
        <f>(D157/100000)*'Birth Pop per Year'!K157</f>
        <v>19.73947842</v>
      </c>
      <c r="K157" s="34">
        <f>(B157/100000)*'Birth Pop per Year'!K157</f>
        <v>12.77658021</v>
      </c>
      <c r="L157" s="34">
        <f>(C157/100000)*'Birth Pop per Year'!K157</f>
        <v>7.638907746</v>
      </c>
      <c r="M157" s="34">
        <f>(D157/100000)*'Birth Pop per Year'!K157</f>
        <v>19.73947842</v>
      </c>
      <c r="N157" s="39" t="str">
        <f t="shared" si="1"/>
        <v>184 (110-284)</v>
      </c>
      <c r="O157" s="40">
        <v>6876.0</v>
      </c>
      <c r="P157" s="39" t="str">
        <f t="shared" si="2"/>
        <v>13 (8-20)</v>
      </c>
      <c r="Q157" s="40">
        <v>6607.0</v>
      </c>
      <c r="R157" s="39" t="str">
        <f t="shared" si="3"/>
        <v>12 (7-20)</v>
      </c>
      <c r="S157" s="40">
        <v>6949.0</v>
      </c>
      <c r="T157" s="39" t="str">
        <f t="shared" si="4"/>
        <v>13 (8-20)</v>
      </c>
    </row>
    <row r="158">
      <c r="A158" s="16" t="s">
        <v>185</v>
      </c>
      <c r="B158" s="34">
        <v>200.3927400203551</v>
      </c>
      <c r="C158" s="34">
        <v>121.87628632816917</v>
      </c>
      <c r="D158" s="34">
        <v>310.5501526631234</v>
      </c>
      <c r="E158" s="34">
        <f>(B158/100000)*'Birth Pop per Year'!C158</f>
        <v>7.927536795</v>
      </c>
      <c r="F158" s="34">
        <f>(C158/100000)*'Birth Pop per Year'!C158</f>
        <v>4.821425887</v>
      </c>
      <c r="G158" s="34">
        <f>(D158/100000)*'Birth Pop per Year'!C158</f>
        <v>12.28536404</v>
      </c>
      <c r="H158" s="34">
        <f>(B158/100000)*'Birth Pop per Year'!G158</f>
        <v>6.637007549</v>
      </c>
      <c r="I158" s="34">
        <f>(C158/100000)*'Birth Pop per Year'!G158</f>
        <v>4.036542603</v>
      </c>
      <c r="J158" s="34">
        <f>(D158/100000)*'Birth Pop per Year'!K158</f>
        <v>10.47796215</v>
      </c>
      <c r="K158" s="34">
        <f>(B158/100000)*'Birth Pop per Year'!K158</f>
        <v>6.761251048</v>
      </c>
      <c r="L158" s="34">
        <f>(C158/100000)*'Birth Pop per Year'!K158</f>
        <v>4.112105901</v>
      </c>
      <c r="M158" s="34">
        <f>(D158/100000)*'Birth Pop per Year'!K158</f>
        <v>10.47796215</v>
      </c>
      <c r="N158" s="39" t="str">
        <f t="shared" si="1"/>
        <v>200 (122-311)</v>
      </c>
      <c r="O158" s="40">
        <v>3956.0</v>
      </c>
      <c r="P158" s="39" t="str">
        <f t="shared" si="2"/>
        <v>8 (5-12)</v>
      </c>
      <c r="Q158" s="40">
        <v>3312.0</v>
      </c>
      <c r="R158" s="39" t="str">
        <f t="shared" si="3"/>
        <v>7 (4-10)</v>
      </c>
      <c r="S158" s="40">
        <v>3374.0</v>
      </c>
      <c r="T158" s="39" t="str">
        <f t="shared" si="4"/>
        <v>7 (4-10)</v>
      </c>
    </row>
    <row r="159">
      <c r="A159" s="16" t="s">
        <v>186</v>
      </c>
      <c r="B159" s="34">
        <v>169.89146514935987</v>
      </c>
      <c r="C159" s="34">
        <v>101.93487908961593</v>
      </c>
      <c r="D159" s="34">
        <v>265.24990042674256</v>
      </c>
      <c r="E159" s="34">
        <f>(B159/100000)*'Birth Pop per Year'!C159</f>
        <v>0.6353940797</v>
      </c>
      <c r="F159" s="34">
        <f>(C159/100000)*'Birth Pop per Year'!C159</f>
        <v>0.3812364478</v>
      </c>
      <c r="G159" s="34">
        <f>(D159/100000)*'Birth Pop per Year'!C159</f>
        <v>0.9920346276</v>
      </c>
      <c r="H159" s="34">
        <f>(B159/100000)*'Birth Pop per Year'!G159</f>
        <v>0.6540821408</v>
      </c>
      <c r="I159" s="34">
        <f>(C159/100000)*'Birth Pop per Year'!G159</f>
        <v>0.3924492845</v>
      </c>
      <c r="J159" s="34">
        <f>(D159/100000)*'Birth Pop per Year'!K159</f>
        <v>1.124659578</v>
      </c>
      <c r="K159" s="34">
        <f>(B159/100000)*'Birth Pop per Year'!K159</f>
        <v>0.7203398122</v>
      </c>
      <c r="L159" s="34">
        <f>(C159/100000)*'Birth Pop per Year'!K159</f>
        <v>0.4322038873</v>
      </c>
      <c r="M159" s="34">
        <f>(D159/100000)*'Birth Pop per Year'!K159</f>
        <v>1.124659578</v>
      </c>
      <c r="N159" s="39" t="str">
        <f t="shared" si="1"/>
        <v>170 (102-265)</v>
      </c>
      <c r="O159" s="40">
        <v>374.0</v>
      </c>
      <c r="P159" s="39" t="str">
        <f t="shared" si="2"/>
        <v>1 (0-1)</v>
      </c>
      <c r="Q159" s="40">
        <v>385.0</v>
      </c>
      <c r="R159" s="39" t="str">
        <f t="shared" si="3"/>
        <v>1 (0-1)</v>
      </c>
      <c r="S159" s="40">
        <v>424.0</v>
      </c>
      <c r="T159" s="39" t="str">
        <f t="shared" si="4"/>
        <v>1 (0-1)</v>
      </c>
    </row>
    <row r="160">
      <c r="A160" s="16" t="s">
        <v>187</v>
      </c>
      <c r="B160" s="34">
        <v>168.98414649817946</v>
      </c>
      <c r="C160" s="34">
        <v>103.7621952181804</v>
      </c>
      <c r="D160" s="34">
        <v>256.93495958787526</v>
      </c>
      <c r="E160" s="34">
        <f>(B160/100000)*'Birth Pop per Year'!C160</f>
        <v>306.8431031</v>
      </c>
      <c r="F160" s="34">
        <f>(C160/100000)*'Birth Pop per Year'!C160</f>
        <v>188.4124317</v>
      </c>
      <c r="G160" s="34">
        <f>(D160/100000)*'Birth Pop per Year'!C160</f>
        <v>466.545069</v>
      </c>
      <c r="H160" s="34">
        <f>(B160/100000)*'Birth Pop per Year'!G160</f>
        <v>293.6522006</v>
      </c>
      <c r="I160" s="34">
        <f>(C160/100000)*'Birth Pop per Year'!G160</f>
        <v>180.3127547</v>
      </c>
      <c r="J160" s="34">
        <f>(D160/100000)*'Birth Pop per Year'!K160</f>
        <v>423.1847252</v>
      </c>
      <c r="K160" s="34">
        <f>(B160/100000)*'Birth Pop per Year'!K160</f>
        <v>278.3253385</v>
      </c>
      <c r="L160" s="34">
        <f>(C160/100000)*'Birth Pop per Year'!K160</f>
        <v>170.9015236</v>
      </c>
      <c r="M160" s="34">
        <f>(D160/100000)*'Birth Pop per Year'!K160</f>
        <v>423.1847252</v>
      </c>
      <c r="N160" s="39" t="str">
        <f t="shared" si="1"/>
        <v>169 (104-257)</v>
      </c>
      <c r="O160" s="40">
        <v>181581.0</v>
      </c>
      <c r="P160" s="39" t="str">
        <f t="shared" si="2"/>
        <v>307 (188-467)</v>
      </c>
      <c r="Q160" s="40">
        <v>173775.0</v>
      </c>
      <c r="R160" s="39" t="str">
        <f t="shared" si="3"/>
        <v>294 (180-423)</v>
      </c>
      <c r="S160" s="40">
        <v>164705.0</v>
      </c>
      <c r="T160" s="39" t="str">
        <f t="shared" si="4"/>
        <v>278 (171-423)</v>
      </c>
    </row>
    <row r="161">
      <c r="A161" s="16" t="s">
        <v>188</v>
      </c>
      <c r="B161" s="34">
        <v>477.71708474390675</v>
      </c>
      <c r="C161" s="34">
        <v>289.19649964868734</v>
      </c>
      <c r="D161" s="34">
        <v>734.341964978237</v>
      </c>
      <c r="E161" s="34">
        <f>(B161/100000)*'Birth Pop per Year'!C161</f>
        <v>251.5371538</v>
      </c>
      <c r="F161" s="34">
        <f>(C161/100000)*'Birth Pop per Year'!C161</f>
        <v>152.2735249</v>
      </c>
      <c r="G161" s="34">
        <f>(D161/100000)*'Birth Pop per Year'!C161</f>
        <v>386.6604182</v>
      </c>
      <c r="H161" s="34">
        <f>(B161/100000)*'Birth Pop per Year'!G161</f>
        <v>257.7570302</v>
      </c>
      <c r="I161" s="34">
        <f>(C161/100000)*'Birth Pop per Year'!G161</f>
        <v>156.0388634</v>
      </c>
      <c r="J161" s="34">
        <f>(D161/100000)*'Birth Pop per Year'!K161</f>
        <v>378.6340606</v>
      </c>
      <c r="K161" s="34">
        <f>(B161/100000)*'Birth Pop per Year'!K161</f>
        <v>246.3157061</v>
      </c>
      <c r="L161" s="34">
        <f>(C161/100000)*'Birth Pop per Year'!K161</f>
        <v>149.1126072</v>
      </c>
      <c r="M161" s="34">
        <f>(D161/100000)*'Birth Pop per Year'!K161</f>
        <v>378.6340606</v>
      </c>
      <c r="N161" s="39" t="str">
        <f t="shared" si="1"/>
        <v>478 (289-734)</v>
      </c>
      <c r="O161" s="40">
        <v>52654.0</v>
      </c>
      <c r="P161" s="39" t="str">
        <f t="shared" si="2"/>
        <v>252 (152-387)</v>
      </c>
      <c r="Q161" s="40">
        <v>53956.0</v>
      </c>
      <c r="R161" s="39" t="str">
        <f t="shared" si="3"/>
        <v>258 (156-379)</v>
      </c>
      <c r="S161" s="40">
        <v>51561.0</v>
      </c>
      <c r="T161" s="39" t="str">
        <f t="shared" si="4"/>
        <v>246 (149-379)</v>
      </c>
    </row>
    <row r="162">
      <c r="A162" s="16" t="s">
        <v>189</v>
      </c>
      <c r="B162" s="34">
        <v>119.91618131650594</v>
      </c>
      <c r="C162" s="34">
        <v>74.47425997551423</v>
      </c>
      <c r="D162" s="34">
        <v>185.5545121423829</v>
      </c>
      <c r="E162" s="34">
        <f>(B162/100000)*'Birth Pop per Year'!C162</f>
        <v>101.9515382</v>
      </c>
      <c r="F162" s="34">
        <f>(C162/100000)*'Birth Pop per Year'!C162</f>
        <v>63.31727109</v>
      </c>
      <c r="G162" s="34">
        <f>(D162/100000)*'Birth Pop per Year'!C162</f>
        <v>157.7565907</v>
      </c>
      <c r="H162" s="34">
        <f>(B162/100000)*'Birth Pop per Year'!G162</f>
        <v>104.7503819</v>
      </c>
      <c r="I162" s="34">
        <f>(C162/100000)*'Birth Pop per Year'!G162</f>
        <v>65.05550032</v>
      </c>
      <c r="J162" s="34">
        <f>(D162/100000)*'Birth Pop per Year'!K162</f>
        <v>154.2366216</v>
      </c>
      <c r="K162" s="34">
        <f>(B162/100000)*'Birth Pop per Year'!K162</f>
        <v>99.67672823</v>
      </c>
      <c r="L162" s="34">
        <f>(C162/100000)*'Birth Pop per Year'!K162</f>
        <v>61.90449438</v>
      </c>
      <c r="M162" s="34">
        <f>(D162/100000)*'Birth Pop per Year'!K162</f>
        <v>154.2366216</v>
      </c>
      <c r="N162" s="39" t="str">
        <f t="shared" si="1"/>
        <v>120 (74-186)</v>
      </c>
      <c r="O162" s="40">
        <v>85019.0</v>
      </c>
      <c r="P162" s="39" t="str">
        <f t="shared" si="2"/>
        <v>102 (63-158)</v>
      </c>
      <c r="Q162" s="40">
        <v>87353.0</v>
      </c>
      <c r="R162" s="39" t="str">
        <f t="shared" si="3"/>
        <v>105 (65-154)</v>
      </c>
      <c r="S162" s="40">
        <v>83122.0</v>
      </c>
      <c r="T162" s="39" t="str">
        <f t="shared" si="4"/>
        <v>100 (62-154)</v>
      </c>
    </row>
    <row r="163">
      <c r="A163" s="16" t="s">
        <v>190</v>
      </c>
      <c r="B163" s="34">
        <v>386.6670222222222</v>
      </c>
      <c r="C163" s="34">
        <v>248.1367111111111</v>
      </c>
      <c r="D163" s="34">
        <v>576.9559111111112</v>
      </c>
      <c r="E163" s="34">
        <f>(B163/100000)*'Birth Pop per Year'!C163</f>
        <v>0.7965340658</v>
      </c>
      <c r="F163" s="34">
        <f>(C163/100000)*'Birth Pop per Year'!C163</f>
        <v>0.5111616249</v>
      </c>
      <c r="G163" s="34">
        <f>(D163/100000)*'Birth Pop per Year'!C163</f>
        <v>1.188529177</v>
      </c>
      <c r="H163" s="34">
        <f>(B163/100000)*'Birth Pop per Year'!G163</f>
        <v>0.9589342151</v>
      </c>
      <c r="I163" s="34">
        <f>(C163/100000)*'Birth Pop per Year'!G163</f>
        <v>0.6153790436</v>
      </c>
      <c r="J163" s="34">
        <f>(D163/100000)*'Birth Pop per Year'!K163</f>
        <v>1.384694187</v>
      </c>
      <c r="K163" s="34">
        <f>(B163/100000)*'Birth Pop per Year'!K163</f>
        <v>0.9280008533</v>
      </c>
      <c r="L163" s="34">
        <f>(C163/100000)*'Birth Pop per Year'!K163</f>
        <v>0.5955281067</v>
      </c>
      <c r="M163" s="34">
        <f>(D163/100000)*'Birth Pop per Year'!K163</f>
        <v>1.384694187</v>
      </c>
      <c r="N163" s="39" t="str">
        <f t="shared" si="1"/>
        <v>387 (248-577)</v>
      </c>
      <c r="O163" s="40">
        <v>206.0</v>
      </c>
      <c r="P163" s="39" t="str">
        <f t="shared" si="2"/>
        <v>1 (1-1)</v>
      </c>
      <c r="Q163" s="40">
        <v>248.0</v>
      </c>
      <c r="R163" s="39" t="str">
        <f t="shared" si="3"/>
        <v>1 (1-1)</v>
      </c>
      <c r="S163" s="40">
        <v>240.0</v>
      </c>
      <c r="T163" s="39" t="str">
        <f t="shared" si="4"/>
        <v>1 (1-1)</v>
      </c>
    </row>
    <row r="164">
      <c r="A164" s="16" t="s">
        <v>191</v>
      </c>
      <c r="B164" s="34">
        <v>124.87443345158054</v>
      </c>
      <c r="C164" s="34">
        <v>77.69964748098346</v>
      </c>
      <c r="D164" s="34">
        <v>188.69914388238837</v>
      </c>
      <c r="E164" s="34">
        <f>(B164/100000)*'Birth Pop per Year'!C164</f>
        <v>402.8149525</v>
      </c>
      <c r="F164" s="34">
        <f>(C164/100000)*'Birth Pop per Year'!C164</f>
        <v>250.6404149</v>
      </c>
      <c r="G164" s="34">
        <f>(D164/100000)*'Birth Pop per Year'!C164</f>
        <v>608.6981504</v>
      </c>
      <c r="H164" s="34">
        <f>(B164/100000)*'Birth Pop per Year'!G164</f>
        <v>428.586538</v>
      </c>
      <c r="I164" s="34">
        <f>(C164/100000)*'Birth Pop per Year'!G164</f>
        <v>266.6760681</v>
      </c>
      <c r="J164" s="34">
        <f>(D164/100000)*'Birth Pop per Year'!K164</f>
        <v>606.7375663</v>
      </c>
      <c r="K164" s="34">
        <f>(B164/100000)*'Birth Pop per Year'!K164</f>
        <v>401.5175071</v>
      </c>
      <c r="L164" s="34">
        <f>(C164/100000)*'Birth Pop per Year'!K164</f>
        <v>249.8331155</v>
      </c>
      <c r="M164" s="34">
        <f>(D164/100000)*'Birth Pop per Year'!K164</f>
        <v>606.7375663</v>
      </c>
      <c r="N164" s="39" t="str">
        <f t="shared" si="1"/>
        <v>125 (78-189)</v>
      </c>
      <c r="O164" s="40">
        <v>322576.0</v>
      </c>
      <c r="P164" s="39" t="str">
        <f t="shared" si="2"/>
        <v>403 (251-609)</v>
      </c>
      <c r="Q164" s="40">
        <v>343214.0</v>
      </c>
      <c r="R164" s="39" t="str">
        <f t="shared" si="3"/>
        <v>429 (267-607)</v>
      </c>
      <c r="S164" s="40">
        <v>321537.0</v>
      </c>
      <c r="T164" s="39" t="str">
        <f t="shared" si="4"/>
        <v>402 (250-607)</v>
      </c>
    </row>
    <row r="165">
      <c r="A165" s="16" t="s">
        <v>192</v>
      </c>
      <c r="B165" s="34">
        <v>139.63558868628806</v>
      </c>
      <c r="C165" s="34">
        <v>84.87653429950845</v>
      </c>
      <c r="D165" s="34">
        <v>127.77112690248582</v>
      </c>
      <c r="E165" s="34">
        <f>(B165/100000)*'Birth Pop per Year'!C165</f>
        <v>132.6956999</v>
      </c>
      <c r="F165" s="34">
        <f>(C165/100000)*'Birth Pop per Year'!C165</f>
        <v>80.65817054</v>
      </c>
      <c r="G165" s="34">
        <f>(D165/100000)*'Birth Pop per Year'!C165</f>
        <v>121.4209019</v>
      </c>
      <c r="H165" s="34">
        <f>(B165/100000)*'Birth Pop per Year'!G165</f>
        <v>145.3857822</v>
      </c>
      <c r="I165" s="34">
        <f>(C165/100000)*'Birth Pop per Year'!G165</f>
        <v>88.37174998</v>
      </c>
      <c r="J165" s="34">
        <f>(D165/100000)*'Birth Pop per Year'!K165</f>
        <v>135.2751252</v>
      </c>
      <c r="K165" s="34">
        <f>(B165/100000)*'Birth Pop per Year'!K165</f>
        <v>147.8363868</v>
      </c>
      <c r="L165" s="34">
        <f>(C165/100000)*'Birth Pop per Year'!K165</f>
        <v>89.86133316</v>
      </c>
      <c r="M165" s="34">
        <f>(D165/100000)*'Birth Pop per Year'!K165</f>
        <v>135.2751252</v>
      </c>
      <c r="N165" s="39" t="str">
        <f t="shared" si="1"/>
        <v>140 (85-128)</v>
      </c>
      <c r="O165" s="40">
        <v>95030.0</v>
      </c>
      <c r="P165" s="39" t="str">
        <f t="shared" si="2"/>
        <v>133 (81-121)</v>
      </c>
      <c r="Q165" s="40">
        <v>104118.0</v>
      </c>
      <c r="R165" s="39" t="str">
        <f t="shared" si="3"/>
        <v>145 (88-135)</v>
      </c>
      <c r="S165" s="40">
        <v>105873.0</v>
      </c>
      <c r="T165" s="39" t="str">
        <f t="shared" si="4"/>
        <v>148 (90-135)</v>
      </c>
    </row>
    <row r="166">
      <c r="A166" s="16" t="s">
        <v>193</v>
      </c>
      <c r="B166" s="34">
        <v>182.59521654980585</v>
      </c>
      <c r="C166" s="34">
        <v>115.00472202584457</v>
      </c>
      <c r="D166" s="34">
        <v>270.3619780958452</v>
      </c>
      <c r="E166" s="34">
        <f>(B166/100000)*'Birth Pop per Year'!C166</f>
        <v>140.2148668</v>
      </c>
      <c r="F166" s="34">
        <f>(C166/100000)*'Birth Pop per Year'!C166</f>
        <v>88.31212604</v>
      </c>
      <c r="G166" s="34">
        <f>(D166/100000)*'Birth Pop per Year'!C166</f>
        <v>207.610963</v>
      </c>
      <c r="H166" s="34">
        <f>(B166/100000)*'Birth Pop per Year'!G166</f>
        <v>139.9866228</v>
      </c>
      <c r="I166" s="34">
        <f>(C166/100000)*'Birth Pop per Year'!G166</f>
        <v>88.16837014</v>
      </c>
      <c r="J166" s="34">
        <f>(D166/100000)*'Birth Pop per Year'!K166</f>
        <v>221.9861094</v>
      </c>
      <c r="K166" s="34">
        <f>(B166/100000)*'Birth Pop per Year'!K166</f>
        <v>149.9234545</v>
      </c>
      <c r="L166" s="34">
        <f>(C166/100000)*'Birth Pop per Year'!K166</f>
        <v>94.42692711</v>
      </c>
      <c r="M166" s="34">
        <f>(D166/100000)*'Birth Pop per Year'!K166</f>
        <v>221.9861094</v>
      </c>
      <c r="N166" s="39" t="str">
        <f t="shared" si="1"/>
        <v>183 (115-270)</v>
      </c>
      <c r="O166" s="40">
        <v>76790.0</v>
      </c>
      <c r="P166" s="39" t="str">
        <f t="shared" si="2"/>
        <v>140 (88-208)</v>
      </c>
      <c r="Q166" s="40">
        <v>76665.0</v>
      </c>
      <c r="R166" s="39" t="str">
        <f t="shared" si="3"/>
        <v>140 (88-222)</v>
      </c>
      <c r="S166" s="40">
        <v>82107.0</v>
      </c>
      <c r="T166" s="39" t="str">
        <f t="shared" si="4"/>
        <v>150 (94-222)</v>
      </c>
    </row>
    <row r="167">
      <c r="A167" s="16" t="s">
        <v>194</v>
      </c>
      <c r="B167" s="34">
        <v>207.45524388842782</v>
      </c>
      <c r="C167" s="34">
        <v>126.19397324088698</v>
      </c>
      <c r="D167" s="34">
        <v>317.39696299980665</v>
      </c>
      <c r="E167" s="34">
        <f>(B167/100000)*'Birth Pop per Year'!C167</f>
        <v>1419.692992</v>
      </c>
      <c r="F167" s="34">
        <f>(C167/100000)*'Birth Pop per Year'!C167</f>
        <v>863.5920507</v>
      </c>
      <c r="G167" s="34">
        <f>(D167/100000)*'Birth Pop per Year'!C167</f>
        <v>2172.064855</v>
      </c>
      <c r="H167" s="34">
        <f>(B167/100000)*'Birth Pop per Year'!G167</f>
        <v>1513.693038</v>
      </c>
      <c r="I167" s="34">
        <f>(C167/100000)*'Birth Pop per Year'!G167</f>
        <v>920.7718019</v>
      </c>
      <c r="J167" s="34">
        <f>(D167/100000)*'Birth Pop per Year'!K167</f>
        <v>2327.275144</v>
      </c>
      <c r="K167" s="34">
        <f>(B167/100000)*'Birth Pop per Year'!K167</f>
        <v>1521.140681</v>
      </c>
      <c r="L167" s="34">
        <f>(C167/100000)*'Birth Pop per Year'!K167</f>
        <v>925.3021655</v>
      </c>
      <c r="M167" s="34">
        <f>(D167/100000)*'Birth Pop per Year'!K167</f>
        <v>2327.275144</v>
      </c>
      <c r="N167" s="39" t="str">
        <f t="shared" si="1"/>
        <v>207 (126-317)</v>
      </c>
      <c r="O167" s="40">
        <v>684337.0</v>
      </c>
      <c r="P167" s="39" t="str">
        <f t="shared" si="2"/>
        <v>1,420 (864-2,172)</v>
      </c>
      <c r="Q167" s="40">
        <v>729648.0</v>
      </c>
      <c r="R167" s="39" t="str">
        <f t="shared" si="3"/>
        <v>1,514 (921-2,327)</v>
      </c>
      <c r="S167" s="40">
        <v>733238.0</v>
      </c>
      <c r="T167" s="39" t="str">
        <f t="shared" si="4"/>
        <v>1,521 (925-2,327)</v>
      </c>
    </row>
    <row r="168">
      <c r="A168" s="16" t="s">
        <v>195</v>
      </c>
      <c r="B168" s="34">
        <v>335.22148468675425</v>
      </c>
      <c r="C168" s="34">
        <v>207.563091364577</v>
      </c>
      <c r="D168" s="34">
        <v>534.7468253606758</v>
      </c>
      <c r="E168" s="34">
        <f>(B168/100000)*'Birth Pop per Year'!C168</f>
        <v>855.4148324</v>
      </c>
      <c r="F168" s="34">
        <f>(C168/100000)*'Birth Pop per Year'!C168</f>
        <v>529.6574209</v>
      </c>
      <c r="G168" s="34">
        <f>(D168/100000)*'Birth Pop per Year'!C168</f>
        <v>1364.561601</v>
      </c>
      <c r="H168" s="34">
        <f>(B168/100000)*'Birth Pop per Year'!G168</f>
        <v>838.6068272</v>
      </c>
      <c r="I168" s="34">
        <f>(C168/100000)*'Birth Pop per Year'!G168</f>
        <v>519.2502075</v>
      </c>
      <c r="J168" s="34">
        <f>(D168/100000)*'Birth Pop per Year'!K168</f>
        <v>1297.536434</v>
      </c>
      <c r="K168" s="34">
        <f>(B168/100000)*'Birth Pop per Year'!K168</f>
        <v>813.3981715</v>
      </c>
      <c r="L168" s="34">
        <f>(C168/100000)*'Birth Pop per Year'!K168</f>
        <v>503.641463</v>
      </c>
      <c r="M168" s="34">
        <f>(D168/100000)*'Birth Pop per Year'!K168</f>
        <v>1297.536434</v>
      </c>
      <c r="N168" s="39" t="str">
        <f t="shared" si="1"/>
        <v>335 (208-535)</v>
      </c>
      <c r="O168" s="40">
        <v>255179.0</v>
      </c>
      <c r="P168" s="39" t="str">
        <f t="shared" si="2"/>
        <v>855 (530-1,365)</v>
      </c>
      <c r="Q168" s="40">
        <v>250165.0</v>
      </c>
      <c r="R168" s="39" t="str">
        <f t="shared" si="3"/>
        <v>839 (519-1,298)</v>
      </c>
      <c r="S168" s="40">
        <v>242645.0</v>
      </c>
      <c r="T168" s="39" t="str">
        <f t="shared" si="4"/>
        <v>813 (504-1,298)</v>
      </c>
    </row>
    <row r="169">
      <c r="A169" s="16" t="s">
        <v>196</v>
      </c>
      <c r="B169" s="34">
        <v>146.4619682370402</v>
      </c>
      <c r="C169" s="34">
        <v>98.06037358359772</v>
      </c>
      <c r="D169" s="34">
        <v>219.37865628638212</v>
      </c>
      <c r="E169" s="34">
        <f>(B169/100000)*'Birth Pop per Year'!C169</f>
        <v>385.3487615</v>
      </c>
      <c r="F169" s="34">
        <f>(C169/100000)*'Birth Pop per Year'!C169</f>
        <v>258.0017459</v>
      </c>
      <c r="G169" s="34">
        <f>(D169/100000)*'Birth Pop per Year'!C169</f>
        <v>577.1962136</v>
      </c>
      <c r="H169" s="34">
        <f>(B169/100000)*'Birth Pop per Year'!G169</f>
        <v>366.1021943</v>
      </c>
      <c r="I169" s="34">
        <f>(C169/100000)*'Birth Pop per Year'!G169</f>
        <v>245.1156322</v>
      </c>
      <c r="J169" s="34">
        <f>(D169/100000)*'Birth Pop per Year'!K169</f>
        <v>499.5076501</v>
      </c>
      <c r="K169" s="34">
        <f>(B169/100000)*'Birth Pop per Year'!K169</f>
        <v>333.4821847</v>
      </c>
      <c r="L169" s="34">
        <f>(C169/100000)*'Birth Pop per Year'!K169</f>
        <v>223.2756258</v>
      </c>
      <c r="M169" s="34">
        <f>(D169/100000)*'Birth Pop per Year'!K169</f>
        <v>499.5076501</v>
      </c>
      <c r="N169" s="39" t="str">
        <f t="shared" si="1"/>
        <v>146 (98-219)</v>
      </c>
      <c r="O169" s="40">
        <v>263105.0</v>
      </c>
      <c r="P169" s="39" t="str">
        <f t="shared" si="2"/>
        <v>385 (258-577)</v>
      </c>
      <c r="Q169" s="40">
        <v>249964.0</v>
      </c>
      <c r="R169" s="39" t="str">
        <f t="shared" si="3"/>
        <v>366 (245-500)</v>
      </c>
      <c r="S169" s="40">
        <v>227692.0</v>
      </c>
      <c r="T169" s="39" t="str">
        <f t="shared" si="4"/>
        <v>333 (223-500)</v>
      </c>
    </row>
    <row r="170">
      <c r="A170" s="16" t="s">
        <v>197</v>
      </c>
      <c r="B170" s="34">
        <v>331.24263384950723</v>
      </c>
      <c r="C170" s="34">
        <v>226.15452552248368</v>
      </c>
      <c r="D170" s="34">
        <v>490.41117219277703</v>
      </c>
      <c r="E170" s="34">
        <f>(B170/100000)*'Birth Pop per Year'!C170</f>
        <v>1717.648741</v>
      </c>
      <c r="F170" s="34">
        <f>(C170/100000)*'Birth Pop per Year'!C170</f>
        <v>1172.717507</v>
      </c>
      <c r="G170" s="34">
        <f>(D170/100000)*'Birth Pop per Year'!C170</f>
        <v>2543.012421</v>
      </c>
      <c r="H170" s="34">
        <f>(B170/100000)*'Birth Pop per Year'!G170</f>
        <v>1614.244728</v>
      </c>
      <c r="I170" s="34">
        <f>(C170/100000)*'Birth Pop per Year'!G170</f>
        <v>1102.118849</v>
      </c>
      <c r="J170" s="34">
        <f>(D170/100000)*'Birth Pop per Year'!K170</f>
        <v>2228.124312</v>
      </c>
      <c r="K170" s="34">
        <f>(B170/100000)*'Birth Pop per Year'!K170</f>
        <v>1504.961158</v>
      </c>
      <c r="L170" s="34">
        <f>(C170/100000)*'Birth Pop per Year'!K170</f>
        <v>1027.505948</v>
      </c>
      <c r="M170" s="34">
        <f>(D170/100000)*'Birth Pop per Year'!K170</f>
        <v>2228.124312</v>
      </c>
      <c r="N170" s="39" t="str">
        <f t="shared" si="1"/>
        <v>331 (226-490)</v>
      </c>
      <c r="O170" s="40">
        <v>518547.0</v>
      </c>
      <c r="P170" s="39" t="str">
        <f t="shared" si="2"/>
        <v>1,718 (1,173-2,543)</v>
      </c>
      <c r="Q170" s="40">
        <v>487330.0</v>
      </c>
      <c r="R170" s="39" t="str">
        <f t="shared" si="3"/>
        <v>1,614 (1,102-2,228)</v>
      </c>
      <c r="S170" s="40">
        <v>454338.0</v>
      </c>
      <c r="T170" s="39" t="str">
        <f t="shared" si="4"/>
        <v>1,505 (1,028-2,228)</v>
      </c>
    </row>
    <row r="171">
      <c r="A171" s="16" t="s">
        <v>198</v>
      </c>
      <c r="B171" s="34">
        <v>276.548714028777</v>
      </c>
      <c r="C171" s="34">
        <v>172.73913669064748</v>
      </c>
      <c r="D171" s="34">
        <v>402.78116007194245</v>
      </c>
      <c r="E171" s="34">
        <f>(B171/100000)*'Birth Pop per Year'!C171</f>
        <v>2.8816376</v>
      </c>
      <c r="F171" s="34">
        <f>(C171/100000)*'Birth Pop per Year'!C171</f>
        <v>1.799941804</v>
      </c>
      <c r="G171" s="34">
        <f>(D171/100000)*'Birth Pop per Year'!C171</f>
        <v>4.196979688</v>
      </c>
      <c r="H171" s="34">
        <f>(B171/100000)*'Birth Pop per Year'!G171</f>
        <v>2.519358785</v>
      </c>
      <c r="I171" s="34">
        <f>(C171/100000)*'Birth Pop per Year'!G171</f>
        <v>1.573653535</v>
      </c>
      <c r="J171" s="34">
        <f>(D171/100000)*'Birth Pop per Year'!K171</f>
        <v>3.306833324</v>
      </c>
      <c r="K171" s="34">
        <f>(B171/100000)*'Birth Pop per Year'!K171</f>
        <v>2.270464942</v>
      </c>
      <c r="L171" s="34">
        <f>(C171/100000)*'Birth Pop per Year'!K171</f>
        <v>1.418188312</v>
      </c>
      <c r="M171" s="34">
        <f>(D171/100000)*'Birth Pop per Year'!K171</f>
        <v>3.306833324</v>
      </c>
      <c r="N171" s="39" t="str">
        <f t="shared" si="1"/>
        <v>277 (173-403)</v>
      </c>
      <c r="O171" s="40">
        <v>1042.0</v>
      </c>
      <c r="P171" s="39" t="str">
        <f t="shared" si="2"/>
        <v>3 (2-4)</v>
      </c>
      <c r="Q171" s="40">
        <v>911.0</v>
      </c>
      <c r="R171" s="39" t="str">
        <f t="shared" si="3"/>
        <v>3 (2-3)</v>
      </c>
      <c r="S171" s="40">
        <v>821.0</v>
      </c>
      <c r="T171" s="39" t="str">
        <f t="shared" si="4"/>
        <v>2 (1-3)</v>
      </c>
    </row>
    <row r="172">
      <c r="A172" s="16" t="s">
        <v>199</v>
      </c>
      <c r="B172" s="34">
        <v>261.7557547169812</v>
      </c>
      <c r="C172" s="34">
        <v>155.04696272434424</v>
      </c>
      <c r="D172" s="34">
        <v>401.29802116889095</v>
      </c>
      <c r="E172" s="34">
        <f>(B172/100000)*'Birth Pop per Year'!C172</f>
        <v>10.97280124</v>
      </c>
      <c r="F172" s="34">
        <f>(C172/100000)*'Birth Pop per Year'!C172</f>
        <v>6.499568677</v>
      </c>
      <c r="G172" s="34">
        <f>(D172/100000)*'Birth Pop per Year'!C172</f>
        <v>16.82241305</v>
      </c>
      <c r="H172" s="34">
        <f>(B172/100000)*'Birth Pop per Year'!G172</f>
        <v>10.54613936</v>
      </c>
      <c r="I172" s="34">
        <f>(C172/100000)*'Birth Pop per Year'!G172</f>
        <v>6.246842128</v>
      </c>
      <c r="J172" s="34">
        <f>(D172/100000)*'Birth Pop per Year'!K172</f>
        <v>15.22524692</v>
      </c>
      <c r="K172" s="34">
        <f>(B172/100000)*'Birth Pop per Year'!K172</f>
        <v>9.931013334</v>
      </c>
      <c r="L172" s="34">
        <f>(C172/100000)*'Birth Pop per Year'!K172</f>
        <v>5.882481766</v>
      </c>
      <c r="M172" s="34">
        <f>(D172/100000)*'Birth Pop per Year'!K172</f>
        <v>15.22524692</v>
      </c>
      <c r="N172" s="39" t="str">
        <f t="shared" si="1"/>
        <v>262 (155-401)</v>
      </c>
      <c r="O172" s="40">
        <v>4192.0</v>
      </c>
      <c r="P172" s="39" t="str">
        <f t="shared" si="2"/>
        <v>11 (6-17)</v>
      </c>
      <c r="Q172" s="40">
        <v>4029.0</v>
      </c>
      <c r="R172" s="39" t="str">
        <f t="shared" si="3"/>
        <v>11 (6-15)</v>
      </c>
      <c r="S172" s="40">
        <v>3794.0</v>
      </c>
      <c r="T172" s="39" t="str">
        <f t="shared" si="4"/>
        <v>10 (6-15)</v>
      </c>
    </row>
    <row r="173">
      <c r="A173" s="16" t="s">
        <v>200</v>
      </c>
      <c r="B173" s="34">
        <v>241.96783860759493</v>
      </c>
      <c r="C173" s="34">
        <v>146.43072151898733</v>
      </c>
      <c r="D173" s="34">
        <v>383.0413386075949</v>
      </c>
      <c r="E173" s="34">
        <f>(B173/100000)*'Birth Pop per Year'!C173</f>
        <v>7.251776123</v>
      </c>
      <c r="F173" s="34">
        <f>(C173/100000)*'Birth Pop per Year'!C173</f>
        <v>4.388528724</v>
      </c>
      <c r="G173" s="34">
        <f>(D173/100000)*'Birth Pop per Year'!C173</f>
        <v>11.47974892</v>
      </c>
      <c r="H173" s="34">
        <f>(B173/100000)*'Birth Pop per Year'!G173</f>
        <v>6.588784245</v>
      </c>
      <c r="I173" s="34">
        <f>(C173/100000)*'Birth Pop per Year'!G173</f>
        <v>3.987308547</v>
      </c>
      <c r="J173" s="34">
        <f>(D173/100000)*'Birth Pop per Year'!K173</f>
        <v>9.472612304</v>
      </c>
      <c r="K173" s="34">
        <f>(B173/100000)*'Birth Pop per Year'!K173</f>
        <v>5.983864649</v>
      </c>
      <c r="L173" s="34">
        <f>(C173/100000)*'Birth Pop per Year'!K173</f>
        <v>3.621231743</v>
      </c>
      <c r="M173" s="34">
        <f>(D173/100000)*'Birth Pop per Year'!K173</f>
        <v>9.472612304</v>
      </c>
      <c r="N173" s="39" t="str">
        <f t="shared" si="1"/>
        <v>242 (146-383)</v>
      </c>
      <c r="O173" s="40">
        <v>2997.0</v>
      </c>
      <c r="P173" s="39" t="str">
        <f t="shared" si="2"/>
        <v>7 (4-11)</v>
      </c>
      <c r="Q173" s="40">
        <v>2723.0</v>
      </c>
      <c r="R173" s="39" t="str">
        <f t="shared" si="3"/>
        <v>7 (4-9)</v>
      </c>
      <c r="S173" s="40">
        <v>2473.0</v>
      </c>
      <c r="T173" s="39" t="str">
        <f t="shared" si="4"/>
        <v>6 (4-9)</v>
      </c>
    </row>
    <row r="174">
      <c r="A174" s="16" t="s">
        <v>201</v>
      </c>
      <c r="B174" s="34">
        <v>186.1957759952903</v>
      </c>
      <c r="C174" s="34">
        <v>118.69980719699757</v>
      </c>
      <c r="D174" s="34">
        <v>272.31132239311205</v>
      </c>
      <c r="E174" s="34">
        <f>(B174/100000)*'Birth Pop per Year'!C174</f>
        <v>13.35396105</v>
      </c>
      <c r="F174" s="34">
        <f>(C174/100000)*'Birth Pop per Year'!C174</f>
        <v>8.513150172</v>
      </c>
      <c r="G174" s="34">
        <f>(D174/100000)*'Birth Pop per Year'!C174</f>
        <v>19.53016804</v>
      </c>
      <c r="H174" s="34">
        <f>(B174/100000)*'Birth Pop per Year'!G174</f>
        <v>11.99473189</v>
      </c>
      <c r="I174" s="34">
        <f>(C174/100000)*'Birth Pop per Year'!G174</f>
        <v>7.64664158</v>
      </c>
      <c r="J174" s="34">
        <f>(D174/100000)*'Birth Pop per Year'!K174</f>
        <v>16.07998359</v>
      </c>
      <c r="K174" s="34">
        <f>(B174/100000)*'Birth Pop per Year'!K174</f>
        <v>10.99486057</v>
      </c>
      <c r="L174" s="34">
        <f>(C174/100000)*'Birth Pop per Year'!K174</f>
        <v>7.009223615</v>
      </c>
      <c r="M174" s="34">
        <f>(D174/100000)*'Birth Pop per Year'!K174</f>
        <v>16.07998359</v>
      </c>
      <c r="N174" s="39" t="str">
        <f t="shared" si="1"/>
        <v>186 (119-272)</v>
      </c>
      <c r="O174" s="40">
        <v>7172.0</v>
      </c>
      <c r="P174" s="39" t="str">
        <f t="shared" si="2"/>
        <v>13 (9-20)</v>
      </c>
      <c r="Q174" s="40">
        <v>6442.0</v>
      </c>
      <c r="R174" s="39" t="str">
        <f t="shared" si="3"/>
        <v>12 (8-16)</v>
      </c>
      <c r="S174" s="40">
        <v>5905.0</v>
      </c>
      <c r="T174" s="39" t="str">
        <f t="shared" si="4"/>
        <v>11 (7-16)</v>
      </c>
    </row>
    <row r="175">
      <c r="A175" s="16" t="s">
        <v>202</v>
      </c>
      <c r="B175" s="34">
        <v>317.3629090909091</v>
      </c>
      <c r="C175" s="34">
        <v>193.944</v>
      </c>
      <c r="D175" s="34">
        <v>490.14938181818184</v>
      </c>
      <c r="E175" s="34">
        <f>(B175/100000)*'Birth Pop per Year'!C175</f>
        <v>1.539210109</v>
      </c>
      <c r="F175" s="34">
        <f>(C175/100000)*'Birth Pop per Year'!C175</f>
        <v>0.9406284</v>
      </c>
      <c r="G175" s="34">
        <f>(D175/100000)*'Birth Pop per Year'!C175</f>
        <v>2.377224502</v>
      </c>
      <c r="H175" s="34">
        <f>(B175/100000)*'Birth Pop per Year'!G175</f>
        <v>1.424959462</v>
      </c>
      <c r="I175" s="34">
        <f>(C175/100000)*'Birth Pop per Year'!G175</f>
        <v>0.87080856</v>
      </c>
      <c r="J175" s="34">
        <f>(D175/100000)*'Birth Pop per Year'!K175</f>
        <v>1.970400515</v>
      </c>
      <c r="K175" s="34">
        <f>(B175/100000)*'Birth Pop per Year'!K175</f>
        <v>1.275798895</v>
      </c>
      <c r="L175" s="34">
        <f>(C175/100000)*'Birth Pop per Year'!K175</f>
        <v>0.77965488</v>
      </c>
      <c r="M175" s="34">
        <f>(D175/100000)*'Birth Pop per Year'!K175</f>
        <v>1.970400515</v>
      </c>
      <c r="N175" s="39" t="str">
        <f t="shared" si="1"/>
        <v>317 (194-490)</v>
      </c>
      <c r="O175" s="40">
        <v>485.0</v>
      </c>
      <c r="P175" s="39" t="str">
        <f t="shared" si="2"/>
        <v>2 (1-2)</v>
      </c>
      <c r="Q175" s="40">
        <v>449.0</v>
      </c>
      <c r="R175" s="39" t="str">
        <f t="shared" si="3"/>
        <v>1 (1-2)</v>
      </c>
      <c r="S175" s="40">
        <v>402.0</v>
      </c>
      <c r="T175" s="39" t="str">
        <f t="shared" si="4"/>
        <v>1 (1-2)</v>
      </c>
    </row>
    <row r="176">
      <c r="A176" s="16" t="s">
        <v>203</v>
      </c>
      <c r="B176" s="34">
        <v>243.49025760983656</v>
      </c>
      <c r="C176" s="34">
        <v>144.5375958414555</v>
      </c>
      <c r="D176" s="34">
        <v>383.58054281001654</v>
      </c>
      <c r="E176" s="34">
        <f>(B176/100000)*'Birth Pop per Year'!C176</f>
        <v>214.863108</v>
      </c>
      <c r="F176" s="34">
        <f>(C176/100000)*'Birth Pop per Year'!C176</f>
        <v>127.5443107</v>
      </c>
      <c r="G176" s="34">
        <f>(D176/100000)*'Birth Pop per Year'!C176</f>
        <v>338.4829784</v>
      </c>
      <c r="H176" s="34">
        <f>(B176/100000)*'Birth Pop per Year'!G176</f>
        <v>191.9068465</v>
      </c>
      <c r="I176" s="34">
        <f>(C176/100000)*'Birth Pop per Year'!G176</f>
        <v>113.9173062</v>
      </c>
      <c r="J176" s="34">
        <f>(D176/100000)*'Birth Pop per Year'!K176</f>
        <v>259.0741344</v>
      </c>
      <c r="K176" s="34">
        <f>(B176/100000)*'Birth Pop per Year'!K176</f>
        <v>164.4557549</v>
      </c>
      <c r="L176" s="34">
        <f>(C176/100000)*'Birth Pop per Year'!K176</f>
        <v>97.62213761</v>
      </c>
      <c r="M176" s="34">
        <f>(D176/100000)*'Birth Pop per Year'!K176</f>
        <v>259.0741344</v>
      </c>
      <c r="N176" s="39" t="str">
        <f t="shared" si="1"/>
        <v>243 (145-384)</v>
      </c>
      <c r="O176" s="40">
        <v>88243.0</v>
      </c>
      <c r="P176" s="39" t="str">
        <f t="shared" si="2"/>
        <v>215 (128-338)</v>
      </c>
      <c r="Q176" s="40">
        <v>78815.0</v>
      </c>
      <c r="R176" s="39" t="str">
        <f t="shared" si="3"/>
        <v>192 (114-259)</v>
      </c>
      <c r="S176" s="40">
        <v>67541.0</v>
      </c>
      <c r="T176" s="39" t="str">
        <f t="shared" si="4"/>
        <v>164 (98-259)</v>
      </c>
    </row>
    <row r="177">
      <c r="A177" s="16" t="s">
        <v>204</v>
      </c>
      <c r="B177" s="34">
        <v>482.40627609427605</v>
      </c>
      <c r="C177" s="34">
        <v>305.01109764309757</v>
      </c>
      <c r="D177" s="34">
        <v>762.0752053872054</v>
      </c>
      <c r="E177" s="34">
        <f>(B177/100000)*'Birth Pop per Year'!C177</f>
        <v>3.09222423</v>
      </c>
      <c r="F177" s="34">
        <f>(C177/100000)*'Birth Pop per Year'!C177</f>
        <v>1.955121136</v>
      </c>
      <c r="G177" s="34">
        <f>(D177/100000)*'Birth Pop per Year'!C177</f>
        <v>4.884902067</v>
      </c>
      <c r="H177" s="34">
        <f>(B177/100000)*'Birth Pop per Year'!G177</f>
        <v>2.990918912</v>
      </c>
      <c r="I177" s="34">
        <f>(C177/100000)*'Birth Pop per Year'!G177</f>
        <v>1.891068805</v>
      </c>
      <c r="J177" s="34">
        <f>(D177/100000)*'Birth Pop per Year'!K177</f>
        <v>4.458139952</v>
      </c>
      <c r="K177" s="34">
        <f>(B177/100000)*'Birth Pop per Year'!K177</f>
        <v>2.822076715</v>
      </c>
      <c r="L177" s="34">
        <f>(C177/100000)*'Birth Pop per Year'!K177</f>
        <v>1.784314921</v>
      </c>
      <c r="M177" s="34">
        <f>(D177/100000)*'Birth Pop per Year'!K177</f>
        <v>4.458139952</v>
      </c>
      <c r="N177" s="39" t="str">
        <f t="shared" si="1"/>
        <v>482 (305-762)</v>
      </c>
      <c r="O177" s="40">
        <v>641.0</v>
      </c>
      <c r="P177" s="39" t="str">
        <f t="shared" si="2"/>
        <v>3 (2-5)</v>
      </c>
      <c r="Q177" s="40">
        <v>620.0</v>
      </c>
      <c r="R177" s="39" t="str">
        <f t="shared" si="3"/>
        <v>3 (2-4)</v>
      </c>
      <c r="S177" s="40">
        <v>585.0</v>
      </c>
      <c r="T177" s="39" t="str">
        <f t="shared" si="4"/>
        <v>3 (2-4)</v>
      </c>
    </row>
    <row r="178">
      <c r="A178" s="16" t="s">
        <v>205</v>
      </c>
      <c r="B178" s="34">
        <v>180.1759599795552</v>
      </c>
      <c r="C178" s="34">
        <v>117.55382754763664</v>
      </c>
      <c r="D178" s="34">
        <v>273.0105247251187</v>
      </c>
      <c r="E178" s="34">
        <f>(B178/100000)*'Birth Pop per Year'!C178</f>
        <v>335.5020516</v>
      </c>
      <c r="F178" s="34">
        <f>(C178/100000)*'Birth Pop per Year'!C178</f>
        <v>218.8946312</v>
      </c>
      <c r="G178" s="34">
        <f>(D178/100000)*'Birth Pop per Year'!C178</f>
        <v>508.3674379</v>
      </c>
      <c r="H178" s="34">
        <f>(B178/100000)*'Birth Pop per Year'!G178</f>
        <v>315.120547</v>
      </c>
      <c r="I178" s="34">
        <f>(C178/100000)*'Birth Pop per Year'!G178</f>
        <v>205.5969422</v>
      </c>
      <c r="J178" s="34">
        <f>(D178/100000)*'Birth Pop per Year'!K178</f>
        <v>448.3351536</v>
      </c>
      <c r="K178" s="34">
        <f>(B178/100000)*'Birth Pop per Year'!K178</f>
        <v>295.8831597</v>
      </c>
      <c r="L178" s="34">
        <f>(C178/100000)*'Birth Pop per Year'!K178</f>
        <v>193.0457201</v>
      </c>
      <c r="M178" s="34">
        <f>(D178/100000)*'Birth Pop per Year'!K178</f>
        <v>448.3351536</v>
      </c>
      <c r="N178" s="39" t="str">
        <f t="shared" si="1"/>
        <v>180 (118-273)</v>
      </c>
      <c r="O178" s="40">
        <v>186208.0</v>
      </c>
      <c r="P178" s="39" t="str">
        <f t="shared" si="2"/>
        <v>336 (219-508)</v>
      </c>
      <c r="Q178" s="40">
        <v>174896.0</v>
      </c>
      <c r="R178" s="39" t="str">
        <f t="shared" si="3"/>
        <v>315 (206-448)</v>
      </c>
      <c r="S178" s="40">
        <v>164219.0</v>
      </c>
      <c r="T178" s="39" t="str">
        <f t="shared" si="4"/>
        <v>296 (193-448)</v>
      </c>
    </row>
    <row r="179">
      <c r="A179" s="16" t="s">
        <v>206</v>
      </c>
      <c r="B179" s="34">
        <v>231.96762513312035</v>
      </c>
      <c r="C179" s="34">
        <v>135.86675186368478</v>
      </c>
      <c r="D179" s="34">
        <v>357.8929073482428</v>
      </c>
      <c r="E179" s="34">
        <f>(B179/100000)*'Birth Pop per Year'!C179</f>
        <v>2.843923084</v>
      </c>
      <c r="F179" s="34">
        <f>(C179/100000)*'Birth Pop per Year'!C179</f>
        <v>1.665726378</v>
      </c>
      <c r="G179" s="34">
        <f>(D179/100000)*'Birth Pop per Year'!C179</f>
        <v>4.387767044</v>
      </c>
      <c r="H179" s="34">
        <f>(B179/100000)*'Birth Pop per Year'!G179</f>
        <v>2.533086466</v>
      </c>
      <c r="I179" s="34">
        <f>(C179/100000)*'Birth Pop per Year'!G179</f>
        <v>1.48366493</v>
      </c>
      <c r="J179" s="34">
        <f>(D179/100000)*'Birth Pop per Year'!K179</f>
        <v>3.450087627</v>
      </c>
      <c r="K179" s="34">
        <f>(B179/100000)*'Birth Pop per Year'!K179</f>
        <v>2.236167906</v>
      </c>
      <c r="L179" s="34">
        <f>(C179/100000)*'Birth Pop per Year'!K179</f>
        <v>1.309755488</v>
      </c>
      <c r="M179" s="34">
        <f>(D179/100000)*'Birth Pop per Year'!K179</f>
        <v>3.450087627</v>
      </c>
      <c r="N179" s="39" t="str">
        <f t="shared" si="1"/>
        <v>232 (136-358)</v>
      </c>
      <c r="O179" s="40">
        <v>1226.0</v>
      </c>
      <c r="P179" s="39" t="str">
        <f t="shared" si="2"/>
        <v>3 (2-4)</v>
      </c>
      <c r="Q179" s="40">
        <v>1092.0</v>
      </c>
      <c r="R179" s="39" t="str">
        <f t="shared" si="3"/>
        <v>3 (1-3)</v>
      </c>
      <c r="S179" s="40">
        <v>964.0</v>
      </c>
      <c r="T179" s="39" t="str">
        <f t="shared" si="4"/>
        <v>2 (1-3)</v>
      </c>
    </row>
    <row r="180">
      <c r="A180" s="16" t="s">
        <v>207</v>
      </c>
      <c r="B180" s="34">
        <v>181.93710621290305</v>
      </c>
      <c r="C180" s="34">
        <v>116.26462134995677</v>
      </c>
      <c r="D180" s="34">
        <v>283.121379186924</v>
      </c>
      <c r="E180" s="34">
        <f>(B180/100000)*'Birth Pop per Year'!C180</f>
        <v>27.66171763</v>
      </c>
      <c r="F180" s="34">
        <f>(C180/100000)*'Birth Pop per Year'!C180</f>
        <v>17.67687303</v>
      </c>
      <c r="G180" s="34">
        <f>(D180/100000)*'Birth Pop per Year'!C180</f>
        <v>43.04577449</v>
      </c>
      <c r="H180" s="34">
        <f>(B180/100000)*'Birth Pop per Year'!G180</f>
        <v>26.51187512</v>
      </c>
      <c r="I180" s="34">
        <f>(C180/100000)*'Birth Pop per Year'!G180</f>
        <v>16.94208062</v>
      </c>
      <c r="J180" s="34">
        <f>(D180/100000)*'Birth Pop per Year'!K180</f>
        <v>38.77347288</v>
      </c>
      <c r="K180" s="34">
        <f>(B180/100000)*'Birth Pop per Year'!K180</f>
        <v>24.9162867</v>
      </c>
      <c r="L180" s="34">
        <f>(C180/100000)*'Birth Pop per Year'!K180</f>
        <v>15.92243989</v>
      </c>
      <c r="M180" s="34">
        <f>(D180/100000)*'Birth Pop per Year'!K180</f>
        <v>38.77347288</v>
      </c>
      <c r="N180" s="39" t="str">
        <f t="shared" si="1"/>
        <v>182 (116-283)</v>
      </c>
      <c r="O180" s="40">
        <v>15204.0</v>
      </c>
      <c r="P180" s="39" t="str">
        <f t="shared" si="2"/>
        <v>28 (18-43)</v>
      </c>
      <c r="Q180" s="40">
        <v>14572.0</v>
      </c>
      <c r="R180" s="39" t="str">
        <f t="shared" si="3"/>
        <v>27 (17-39)</v>
      </c>
      <c r="S180" s="40">
        <v>13695.0</v>
      </c>
      <c r="T180" s="39" t="str">
        <f t="shared" si="4"/>
        <v>25 (16-39)</v>
      </c>
    </row>
    <row r="181">
      <c r="A181" s="16" t="s">
        <v>208</v>
      </c>
      <c r="B181" s="34">
        <v>356.10070702946854</v>
      </c>
      <c r="C181" s="34">
        <v>155.85069111722288</v>
      </c>
      <c r="D181" s="34">
        <v>731.2296961139468</v>
      </c>
      <c r="E181" s="34">
        <f>(B181/100000)*'Birth Pop per Year'!C181</f>
        <v>872.7066857</v>
      </c>
      <c r="F181" s="34">
        <f>(C181/100000)*'Birth Pop per Year'!C181</f>
        <v>381.9479642</v>
      </c>
      <c r="G181" s="34">
        <f>(D181/100000)*'Birth Pop per Year'!C181</f>
        <v>1792.046553</v>
      </c>
      <c r="H181" s="34">
        <f>(B181/100000)*'Birth Pop per Year'!G181</f>
        <v>846.3125013</v>
      </c>
      <c r="I181" s="34">
        <f>(C181/100000)*'Birth Pop per Year'!G181</f>
        <v>370.396311</v>
      </c>
      <c r="J181" s="34">
        <f>(D181/100000)*'Birth Pop per Year'!K181</f>
        <v>1666.933152</v>
      </c>
      <c r="K181" s="34">
        <f>(B181/100000)*'Birth Pop per Year'!K181</f>
        <v>811.7778548</v>
      </c>
      <c r="L181" s="34">
        <f>(C181/100000)*'Birth Pop per Year'!K181</f>
        <v>355.281911</v>
      </c>
      <c r="M181" s="34">
        <f>(D181/100000)*'Birth Pop per Year'!K181</f>
        <v>1666.933152</v>
      </c>
      <c r="N181" s="39" t="str">
        <f t="shared" si="1"/>
        <v>356 (156-731)</v>
      </c>
      <c r="O181" s="40">
        <v>245073.0</v>
      </c>
      <c r="P181" s="39" t="str">
        <f t="shared" si="2"/>
        <v>873 (382-1,792)</v>
      </c>
      <c r="Q181" s="40">
        <v>237661.0</v>
      </c>
      <c r="R181" s="39" t="str">
        <f t="shared" si="3"/>
        <v>846 (370-1,667)</v>
      </c>
      <c r="S181" s="40">
        <v>227963.0</v>
      </c>
      <c r="T181" s="39" t="str">
        <f t="shared" si="4"/>
        <v>812 (355-1,667)</v>
      </c>
    </row>
    <row r="182">
      <c r="A182" s="16" t="s">
        <v>209</v>
      </c>
      <c r="B182" s="34">
        <v>283.3186225450632</v>
      </c>
      <c r="C182" s="34">
        <v>181.52750067258543</v>
      </c>
      <c r="D182" s="34">
        <v>433.46052730696806</v>
      </c>
      <c r="E182" s="34">
        <f>(B182/100000)*'Birth Pop per Year'!C182</f>
        <v>81.89324785</v>
      </c>
      <c r="F182" s="34">
        <f>(C182/100000)*'Birth Pop per Year'!C182</f>
        <v>52.47052407</v>
      </c>
      <c r="G182" s="34">
        <f>(D182/100000)*'Birth Pop per Year'!C182</f>
        <v>125.2917654</v>
      </c>
      <c r="H182" s="34">
        <f>(B182/100000)*'Birth Pop per Year'!G182</f>
        <v>65.47776686</v>
      </c>
      <c r="I182" s="34">
        <f>(C182/100000)*'Birth Pop per Year'!G182</f>
        <v>41.95282068</v>
      </c>
      <c r="J182" s="34">
        <f>(D182/100000)*'Birth Pop per Year'!K182</f>
        <v>80.26388584</v>
      </c>
      <c r="K182" s="34">
        <f>(B182/100000)*'Birth Pop per Year'!K182</f>
        <v>52.46210934</v>
      </c>
      <c r="L182" s="34">
        <f>(C182/100000)*'Birth Pop per Year'!K182</f>
        <v>33.6134473</v>
      </c>
      <c r="M182" s="34">
        <f>(D182/100000)*'Birth Pop per Year'!K182</f>
        <v>80.26388584</v>
      </c>
      <c r="N182" s="39" t="str">
        <f t="shared" si="1"/>
        <v>283 (182-433)</v>
      </c>
      <c r="O182" s="40">
        <v>28905.0</v>
      </c>
      <c r="P182" s="39" t="str">
        <f t="shared" si="2"/>
        <v>82 (52-125)</v>
      </c>
      <c r="Q182" s="40">
        <v>23111.0</v>
      </c>
      <c r="R182" s="39" t="str">
        <f t="shared" si="3"/>
        <v>65 (42-80)</v>
      </c>
      <c r="S182" s="40">
        <v>18517.0</v>
      </c>
      <c r="T182" s="39" t="str">
        <f t="shared" si="4"/>
        <v>52 (34-80)</v>
      </c>
    </row>
    <row r="183">
      <c r="A183" s="16" t="s">
        <v>210</v>
      </c>
      <c r="B183" s="34">
        <v>616.545051256658</v>
      </c>
      <c r="C183" s="34">
        <v>375.5161077058965</v>
      </c>
      <c r="D183" s="34">
        <v>962.3691876555765</v>
      </c>
      <c r="E183" s="34">
        <f>(B183/100000)*'Birth Pop per Year'!C183</f>
        <v>115.4727226</v>
      </c>
      <c r="F183" s="34">
        <f>(C183/100000)*'Birth Pop per Year'!C183</f>
        <v>70.33041181</v>
      </c>
      <c r="G183" s="34">
        <f>(D183/100000)*'Birth Pop per Year'!C183</f>
        <v>180.2421252</v>
      </c>
      <c r="H183" s="34">
        <f>(B183/100000)*'Birth Pop per Year'!G183</f>
        <v>94.3868819</v>
      </c>
      <c r="I183" s="34">
        <f>(C183/100000)*'Birth Pop per Year'!G183</f>
        <v>57.48776093</v>
      </c>
      <c r="J183" s="34">
        <f>(D183/100000)*'Birth Pop per Year'!K183</f>
        <v>102.040005</v>
      </c>
      <c r="K183" s="34">
        <f>(B183/100000)*'Birth Pop per Year'!K183</f>
        <v>65.37227178</v>
      </c>
      <c r="L183" s="34">
        <f>(C183/100000)*'Birth Pop per Year'!K183</f>
        <v>39.8159729</v>
      </c>
      <c r="M183" s="34">
        <f>(D183/100000)*'Birth Pop per Year'!K183</f>
        <v>102.040005</v>
      </c>
      <c r="N183" s="39" t="str">
        <f t="shared" si="1"/>
        <v>617 (376-962)</v>
      </c>
      <c r="O183" s="40">
        <v>18729.0</v>
      </c>
      <c r="P183" s="39" t="str">
        <f t="shared" si="2"/>
        <v>115 (70-180)</v>
      </c>
      <c r="Q183" s="40">
        <v>15309.0</v>
      </c>
      <c r="R183" s="39" t="str">
        <f t="shared" si="3"/>
        <v>94 (57-102)</v>
      </c>
      <c r="S183" s="41">
        <v>10603.0</v>
      </c>
      <c r="T183" s="39" t="str">
        <f t="shared" si="4"/>
        <v>65 (40-102)</v>
      </c>
    </row>
    <row r="184">
      <c r="A184" s="16" t="s">
        <v>211</v>
      </c>
      <c r="B184" s="34">
        <v>234.834245858762</v>
      </c>
      <c r="C184" s="34">
        <v>141.8790235396687</v>
      </c>
      <c r="D184" s="34">
        <v>374.26707933740187</v>
      </c>
      <c r="E184" s="34">
        <f>(B184/100000)*'Birth Pop per Year'!C184</f>
        <v>1.15538449</v>
      </c>
      <c r="F184" s="34">
        <f>(C184/100000)*'Birth Pop per Year'!C184</f>
        <v>0.6980447958</v>
      </c>
      <c r="G184" s="34">
        <f>(D184/100000)*'Birth Pop per Year'!C184</f>
        <v>1.84139403</v>
      </c>
      <c r="H184" s="34">
        <f>(B184/100000)*'Birth Pop per Year'!G184</f>
        <v>1.030922339</v>
      </c>
      <c r="I184" s="34">
        <f>(C184/100000)*'Birth Pop per Year'!G184</f>
        <v>0.6228489133</v>
      </c>
      <c r="J184" s="34">
        <f>(D184/100000)*'Birth Pop per Year'!K184</f>
        <v>1.482097634</v>
      </c>
      <c r="K184" s="34">
        <f>(B184/100000)*'Birth Pop per Year'!K184</f>
        <v>0.9299436136</v>
      </c>
      <c r="L184" s="34">
        <f>(C184/100000)*'Birth Pop per Year'!K184</f>
        <v>0.5618409332</v>
      </c>
      <c r="M184" s="34">
        <f>(D184/100000)*'Birth Pop per Year'!K184</f>
        <v>1.482097634</v>
      </c>
      <c r="N184" s="39" t="str">
        <f t="shared" si="1"/>
        <v>235 (142-374)</v>
      </c>
      <c r="O184" s="40">
        <v>492.0</v>
      </c>
      <c r="P184" s="39" t="str">
        <f t="shared" si="2"/>
        <v>1 (1-2)</v>
      </c>
      <c r="Q184" s="40">
        <v>439.0</v>
      </c>
      <c r="R184" s="39" t="str">
        <f t="shared" si="3"/>
        <v>1 (1-1)</v>
      </c>
      <c r="S184" s="40">
        <v>396.0</v>
      </c>
      <c r="T184" s="39" t="str">
        <f t="shared" si="4"/>
        <v>1 (1-1)</v>
      </c>
    </row>
    <row r="185">
      <c r="A185" s="16" t="s">
        <v>212</v>
      </c>
      <c r="B185" s="34">
        <v>236.05494998780188</v>
      </c>
      <c r="C185" s="34">
        <v>147.20769943888754</v>
      </c>
      <c r="D185" s="34">
        <v>371.06792876311295</v>
      </c>
      <c r="E185" s="34">
        <f>(B185/100000)*'Birth Pop per Year'!C185</f>
        <v>4.367016575</v>
      </c>
      <c r="F185" s="34">
        <f>(C185/100000)*'Birth Pop per Year'!C185</f>
        <v>2.72334244</v>
      </c>
      <c r="G185" s="34">
        <f>(D185/100000)*'Birth Pop per Year'!C185</f>
        <v>6.864756682</v>
      </c>
      <c r="H185" s="34">
        <f>(B185/100000)*'Birth Pop per Year'!G185</f>
        <v>3.668293923</v>
      </c>
      <c r="I185" s="34">
        <f>(C185/100000)*'Birth Pop per Year'!G185</f>
        <v>2.287607649</v>
      </c>
      <c r="J185" s="34">
        <f>(D185/100000)*'Birth Pop per Year'!K185</f>
        <v>5.113316058</v>
      </c>
      <c r="K185" s="34">
        <f>(B185/100000)*'Birth Pop per Year'!K185</f>
        <v>3.252837211</v>
      </c>
      <c r="L185" s="34">
        <f>(C185/100000)*'Birth Pop per Year'!K185</f>
        <v>2.028522098</v>
      </c>
      <c r="M185" s="34">
        <f>(D185/100000)*'Birth Pop per Year'!K185</f>
        <v>5.113316058</v>
      </c>
      <c r="N185" s="39" t="str">
        <f t="shared" si="1"/>
        <v>236 (147-371)</v>
      </c>
      <c r="O185" s="40">
        <v>1850.0</v>
      </c>
      <c r="P185" s="39" t="str">
        <f t="shared" si="2"/>
        <v>4 (3-7)</v>
      </c>
      <c r="Q185" s="40">
        <v>1554.0</v>
      </c>
      <c r="R185" s="39" t="str">
        <f t="shared" si="3"/>
        <v>4 (2-5)</v>
      </c>
      <c r="S185" s="40">
        <v>1378.0</v>
      </c>
      <c r="T185" s="39" t="str">
        <f t="shared" si="4"/>
        <v>3 (2-5)</v>
      </c>
    </row>
    <row r="186">
      <c r="A186" s="16" t="s">
        <v>213</v>
      </c>
      <c r="B186" s="34">
        <v>227.82499028371552</v>
      </c>
      <c r="C186" s="34">
        <v>136.69499417022928</v>
      </c>
      <c r="D186" s="34">
        <v>349.33165176836377</v>
      </c>
      <c r="E186" s="34">
        <f>(B186/100000)*'Birth Pop per Year'!C186</f>
        <v>2.490127144</v>
      </c>
      <c r="F186" s="34">
        <f>(C186/100000)*'Birth Pop per Year'!C186</f>
        <v>1.494076286</v>
      </c>
      <c r="G186" s="34">
        <f>(D186/100000)*'Birth Pop per Year'!C186</f>
        <v>3.818194954</v>
      </c>
      <c r="H186" s="34">
        <f>(B186/100000)*'Birth Pop per Year'!G186</f>
        <v>2.387605898</v>
      </c>
      <c r="I186" s="34">
        <f>(C186/100000)*'Birth Pop per Year'!G186</f>
        <v>1.432563539</v>
      </c>
      <c r="J186" s="34">
        <f>(D186/100000)*'Birth Pop per Year'!K186</f>
        <v>3.287210843</v>
      </c>
      <c r="K186" s="34">
        <f>(B186/100000)*'Birth Pop per Year'!K186</f>
        <v>2.143833159</v>
      </c>
      <c r="L186" s="34">
        <f>(C186/100000)*'Birth Pop per Year'!K186</f>
        <v>1.286299895</v>
      </c>
      <c r="M186" s="34">
        <f>(D186/100000)*'Birth Pop per Year'!K186</f>
        <v>3.287210843</v>
      </c>
      <c r="N186" s="39" t="str">
        <f t="shared" si="1"/>
        <v>228 (137-349)</v>
      </c>
      <c r="O186" s="40">
        <v>1093.0</v>
      </c>
      <c r="P186" s="39" t="str">
        <f t="shared" si="2"/>
        <v>2 (1-4)</v>
      </c>
      <c r="Q186" s="40">
        <v>1048.0</v>
      </c>
      <c r="R186" s="39" t="str">
        <f t="shared" si="3"/>
        <v>2 (1-3)</v>
      </c>
      <c r="S186" s="40">
        <v>941.0</v>
      </c>
      <c r="T186" s="39" t="str">
        <f t="shared" si="4"/>
        <v>2 (1-3)</v>
      </c>
    </row>
    <row r="187">
      <c r="A187" s="16" t="s">
        <v>214</v>
      </c>
      <c r="B187" s="34">
        <v>202.19109947643977</v>
      </c>
      <c r="C187" s="34">
        <v>134.6015033657442</v>
      </c>
      <c r="D187" s="34">
        <v>296.932071802543</v>
      </c>
      <c r="E187" s="34">
        <f>(B187/100000)*'Birth Pop per Year'!C187</f>
        <v>21.38575259</v>
      </c>
      <c r="F187" s="34">
        <f>(C187/100000)*'Birth Pop per Year'!C187</f>
        <v>14.23680101</v>
      </c>
      <c r="G187" s="34">
        <f>(D187/100000)*'Birth Pop per Year'!C187</f>
        <v>31.40650523</v>
      </c>
      <c r="H187" s="34">
        <f>(B187/100000)*'Birth Pop per Year'!G187</f>
        <v>20.33233696</v>
      </c>
      <c r="I187" s="34">
        <f>(C187/100000)*'Birth Pop per Year'!G187</f>
        <v>13.53552718</v>
      </c>
      <c r="J187" s="34">
        <f>(D187/100000)*'Birth Pop per Year'!K187</f>
        <v>27.83441241</v>
      </c>
      <c r="K187" s="34">
        <f>(B187/100000)*'Birth Pop per Year'!K187</f>
        <v>18.95339366</v>
      </c>
      <c r="L187" s="34">
        <f>(C187/100000)*'Birth Pop per Year'!K187</f>
        <v>12.61754493</v>
      </c>
      <c r="M187" s="34">
        <f>(D187/100000)*'Birth Pop per Year'!K187</f>
        <v>27.83441241</v>
      </c>
      <c r="N187" s="39" t="str">
        <f t="shared" si="1"/>
        <v>202 (135-297)</v>
      </c>
      <c r="O187" s="40">
        <v>10577.0</v>
      </c>
      <c r="P187" s="39" t="str">
        <f t="shared" si="2"/>
        <v>21 (14-31)</v>
      </c>
      <c r="Q187" s="40">
        <v>10056.0</v>
      </c>
      <c r="R187" s="39" t="str">
        <f t="shared" si="3"/>
        <v>20 (14-28)</v>
      </c>
      <c r="S187" s="40">
        <v>9374.0</v>
      </c>
      <c r="T187" s="39" t="str">
        <f t="shared" si="4"/>
        <v>19 (13-28)</v>
      </c>
    </row>
    <row r="188">
      <c r="A188" s="16" t="s">
        <v>215</v>
      </c>
      <c r="B188" s="34">
        <v>266.3573076808883</v>
      </c>
      <c r="C188" s="34">
        <v>172.96983700008906</v>
      </c>
      <c r="D188" s="34">
        <v>400.3480264837742</v>
      </c>
      <c r="E188" s="34">
        <f>(B188/100000)*'Birth Pop per Year'!C188</f>
        <v>38.1183943</v>
      </c>
      <c r="F188" s="34">
        <f>(C188/100000)*'Birth Pop per Year'!C188</f>
        <v>24.75371337</v>
      </c>
      <c r="G188" s="34">
        <f>(D188/100000)*'Birth Pop per Year'!C188</f>
        <v>57.29380607</v>
      </c>
      <c r="H188" s="34">
        <f>(B188/100000)*'Birth Pop per Year'!G188</f>
        <v>35.1112203</v>
      </c>
      <c r="I188" s="34">
        <f>(C188/100000)*'Birth Pop per Year'!G188</f>
        <v>22.80088391</v>
      </c>
      <c r="J188" s="34">
        <f>(D188/100000)*'Birth Pop per Year'!K188</f>
        <v>47.11695924</v>
      </c>
      <c r="K188" s="34">
        <f>(B188/100000)*'Birth Pop per Year'!K188</f>
        <v>31.34759154</v>
      </c>
      <c r="L188" s="34">
        <f>(C188/100000)*'Birth Pop per Year'!K188</f>
        <v>20.35682012</v>
      </c>
      <c r="M188" s="34">
        <f>(D188/100000)*'Birth Pop per Year'!K188</f>
        <v>47.11695924</v>
      </c>
      <c r="N188" s="39" t="str">
        <f t="shared" si="1"/>
        <v>266 (173-400)</v>
      </c>
      <c r="O188" s="40">
        <v>14311.0</v>
      </c>
      <c r="P188" s="39" t="str">
        <f t="shared" si="2"/>
        <v>38 (25-57)</v>
      </c>
      <c r="Q188" s="40">
        <v>13182.0</v>
      </c>
      <c r="R188" s="39" t="str">
        <f t="shared" si="3"/>
        <v>35 (23-47)</v>
      </c>
      <c r="S188" s="40">
        <v>11769.0</v>
      </c>
      <c r="T188" s="39" t="str">
        <f t="shared" si="4"/>
        <v>31 (20-47)</v>
      </c>
    </row>
    <row r="189">
      <c r="A189" s="16" t="s">
        <v>216</v>
      </c>
      <c r="B189" s="34">
        <v>292.34737368684335</v>
      </c>
      <c r="C189" s="34">
        <v>183.24672336168086</v>
      </c>
      <c r="D189" s="34">
        <v>448.0541270635317</v>
      </c>
      <c r="E189" s="34">
        <f>(B189/100000)*'Birth Pop per Year'!C189</f>
        <v>2.531728256</v>
      </c>
      <c r="F189" s="34">
        <f>(C189/100000)*'Birth Pop per Year'!C189</f>
        <v>1.586916624</v>
      </c>
      <c r="G189" s="34">
        <f>(D189/100000)*'Birth Pop per Year'!C189</f>
        <v>3.88014874</v>
      </c>
      <c r="H189" s="34">
        <f>(B189/100000)*'Birth Pop per Year'!G189</f>
        <v>2.318314673</v>
      </c>
      <c r="I189" s="34">
        <f>(C189/100000)*'Birth Pop per Year'!G189</f>
        <v>1.453146516</v>
      </c>
      <c r="J189" s="34">
        <f>(D189/100000)*'Birth Pop per Year'!K189</f>
        <v>3.387289201</v>
      </c>
      <c r="K189" s="34">
        <f>(B189/100000)*'Birth Pop per Year'!K189</f>
        <v>2.210146145</v>
      </c>
      <c r="L189" s="34">
        <f>(C189/100000)*'Birth Pop per Year'!K189</f>
        <v>1.385345229</v>
      </c>
      <c r="M189" s="34">
        <f>(D189/100000)*'Birth Pop per Year'!K189</f>
        <v>3.387289201</v>
      </c>
      <c r="N189" s="39" t="str">
        <f t="shared" si="1"/>
        <v>292 (183-448)</v>
      </c>
      <c r="O189" s="40">
        <v>866.0</v>
      </c>
      <c r="P189" s="39" t="str">
        <f t="shared" si="2"/>
        <v>3 (2-4)</v>
      </c>
      <c r="Q189" s="40">
        <v>793.0</v>
      </c>
      <c r="R189" s="39" t="str">
        <f t="shared" si="3"/>
        <v>2 (1-3)</v>
      </c>
      <c r="S189" s="40">
        <v>756.0</v>
      </c>
      <c r="T189" s="39" t="str">
        <f t="shared" si="4"/>
        <v>2 (1-3)</v>
      </c>
    </row>
    <row r="190">
      <c r="A190" s="16" t="s">
        <v>217</v>
      </c>
      <c r="B190" s="34">
        <v>162.75189974782202</v>
      </c>
      <c r="C190" s="34">
        <v>108.02117239899691</v>
      </c>
      <c r="D190" s="34">
        <v>238.36672042711984</v>
      </c>
      <c r="E190" s="34">
        <f>(B190/100000)*'Birth Pop per Year'!C190</f>
        <v>1070.910755</v>
      </c>
      <c r="F190" s="34">
        <f>(C190/100000)*'Birth Pop per Year'!C190</f>
        <v>710.7814748</v>
      </c>
      <c r="G190" s="34">
        <f>(D190/100000)*'Birth Pop per Year'!C190</f>
        <v>1568.457788</v>
      </c>
      <c r="H190" s="34">
        <f>(B190/100000)*'Birth Pop per Year'!G190</f>
        <v>961.6000694</v>
      </c>
      <c r="I190" s="34">
        <f>(C190/100000)*'Birth Pop per Year'!G190</f>
        <v>638.2301346</v>
      </c>
      <c r="J190" s="34">
        <f>(D190/100000)*'Birth Pop per Year'!K190</f>
        <v>1298.428816</v>
      </c>
      <c r="K190" s="34">
        <f>(B190/100000)*'Birth Pop per Year'!K190</f>
        <v>886.5405208</v>
      </c>
      <c r="L190" s="34">
        <f>(C190/100000)*'Birth Pop per Year'!K190</f>
        <v>588.4118501</v>
      </c>
      <c r="M190" s="34">
        <f>(D190/100000)*'Birth Pop per Year'!K190</f>
        <v>1298.428816</v>
      </c>
      <c r="N190" s="39" t="str">
        <f t="shared" si="1"/>
        <v>163 (108-238)</v>
      </c>
      <c r="O190" s="40">
        <v>658002.0</v>
      </c>
      <c r="P190" s="39" t="str">
        <f t="shared" si="2"/>
        <v>1,071 (711-1,568)</v>
      </c>
      <c r="Q190" s="40">
        <v>590838.0</v>
      </c>
      <c r="R190" s="39" t="str">
        <f t="shared" si="3"/>
        <v>962 (638-1,298)</v>
      </c>
      <c r="S190" s="40">
        <v>544719.0</v>
      </c>
      <c r="T190" s="39" t="str">
        <f t="shared" si="4"/>
        <v>887 (588-1,298)</v>
      </c>
    </row>
    <row r="191">
      <c r="A191" s="16" t="s">
        <v>218</v>
      </c>
      <c r="B191" s="34">
        <v>130.70385389191057</v>
      </c>
      <c r="C191" s="34">
        <v>82.84047077656304</v>
      </c>
      <c r="D191" s="34">
        <v>199.73757953904644</v>
      </c>
      <c r="E191" s="34">
        <f>(B191/100000)*'Birth Pop per Year'!C191</f>
        <v>63.84883263</v>
      </c>
      <c r="F191" s="34">
        <f>(C191/100000)*'Birth Pop per Year'!C191</f>
        <v>40.46756997</v>
      </c>
      <c r="G191" s="34">
        <f>(D191/100000)*'Birth Pop per Year'!C191</f>
        <v>97.5718076</v>
      </c>
      <c r="H191" s="34">
        <f>(B191/100000)*'Birth Pop per Year'!G191</f>
        <v>60.76814279</v>
      </c>
      <c r="I191" s="34">
        <f>(C191/100000)*'Birth Pop per Year'!G191</f>
        <v>38.51502008</v>
      </c>
      <c r="J191" s="34">
        <f>(D191/100000)*'Birth Pop per Year'!K191</f>
        <v>82.17204022</v>
      </c>
      <c r="K191" s="34">
        <f>(B191/100000)*'Birth Pop per Year'!K191</f>
        <v>53.77156549</v>
      </c>
      <c r="L191" s="34">
        <f>(C191/100000)*'Birth Pop per Year'!K191</f>
        <v>34.08056968</v>
      </c>
      <c r="M191" s="34">
        <f>(D191/100000)*'Birth Pop per Year'!K191</f>
        <v>82.17204022</v>
      </c>
      <c r="N191" s="39" t="str">
        <f t="shared" si="1"/>
        <v>131 (83-200)</v>
      </c>
      <c r="O191" s="40">
        <v>48850.0</v>
      </c>
      <c r="P191" s="39" t="str">
        <f t="shared" si="2"/>
        <v>64 (40-98)</v>
      </c>
      <c r="Q191" s="40">
        <v>46493.0</v>
      </c>
      <c r="R191" s="39" t="str">
        <f t="shared" si="3"/>
        <v>61 (39-82)</v>
      </c>
      <c r="S191" s="40">
        <v>41140.0</v>
      </c>
      <c r="T191" s="39" t="str">
        <f t="shared" si="4"/>
        <v>54 (34-82)</v>
      </c>
    </row>
    <row r="192">
      <c r="A192" s="16" t="s">
        <v>219</v>
      </c>
      <c r="B192" s="34">
        <v>155.15037536689152</v>
      </c>
      <c r="C192" s="34">
        <v>97.59459095659305</v>
      </c>
      <c r="D192" s="34">
        <v>233.3511694026231</v>
      </c>
      <c r="E192" s="34">
        <f>(B192/100000)*'Birth Pop per Year'!C192</f>
        <v>143.7918164</v>
      </c>
      <c r="F192" s="34">
        <f>(C192/100000)*'Birth Pop per Year'!C192</f>
        <v>90.44969095</v>
      </c>
      <c r="G192" s="34">
        <f>(D192/100000)*'Birth Pop per Year'!C192</f>
        <v>216.2675303</v>
      </c>
      <c r="H192" s="34">
        <f>(B192/100000)*'Birth Pop per Year'!G192</f>
        <v>125.3630548</v>
      </c>
      <c r="I192" s="34">
        <f>(C192/100000)*'Birth Pop per Year'!G192</f>
        <v>78.85740544</v>
      </c>
      <c r="J192" s="34">
        <f>(D192/100000)*'Birth Pop per Year'!K192</f>
        <v>166.9674287</v>
      </c>
      <c r="K192" s="34">
        <f>(B192/100000)*'Birth Pop per Year'!K192</f>
        <v>111.0131966</v>
      </c>
      <c r="L192" s="34">
        <f>(C192/100000)*'Birth Pop per Year'!K192</f>
        <v>69.83088172</v>
      </c>
      <c r="M192" s="34">
        <f>(D192/100000)*'Birth Pop per Year'!K192</f>
        <v>166.9674287</v>
      </c>
      <c r="N192" s="39" t="str">
        <f t="shared" si="1"/>
        <v>155 (98-233)</v>
      </c>
      <c r="O192" s="40">
        <v>92679.0</v>
      </c>
      <c r="P192" s="39" t="str">
        <f t="shared" si="2"/>
        <v>144 (90-216)</v>
      </c>
      <c r="Q192" s="40">
        <v>80801.0</v>
      </c>
      <c r="R192" s="39" t="str">
        <f t="shared" si="3"/>
        <v>125 (79-167)</v>
      </c>
      <c r="S192" s="40">
        <v>71552.0</v>
      </c>
      <c r="T192" s="39" t="str">
        <f t="shared" si="4"/>
        <v>111 (70-167)</v>
      </c>
    </row>
    <row r="193">
      <c r="A193" s="16" t="s">
        <v>220</v>
      </c>
      <c r="B193" s="34">
        <v>321.9871229609678</v>
      </c>
      <c r="C193" s="34">
        <v>203.48453078618346</v>
      </c>
      <c r="D193" s="34">
        <v>489.1182688967194</v>
      </c>
      <c r="E193" s="34">
        <f>(B193/100000)*'Birth Pop per Year'!C193</f>
        <v>1208.73322</v>
      </c>
      <c r="F193" s="34">
        <f>(C193/100000)*'Birth Pop per Year'!C193</f>
        <v>763.8768589</v>
      </c>
      <c r="G193" s="34">
        <f>(D193/100000)*'Birth Pop per Year'!C193</f>
        <v>1836.140199</v>
      </c>
      <c r="H193" s="34">
        <f>(B193/100000)*'Birth Pop per Year'!G193</f>
        <v>1178.592005</v>
      </c>
      <c r="I193" s="34">
        <f>(C193/100000)*'Birth Pop per Year'!G193</f>
        <v>744.828672</v>
      </c>
      <c r="J193" s="34">
        <f>(D193/100000)*'Birth Pop per Year'!K193</f>
        <v>1668.265027</v>
      </c>
      <c r="K193" s="34">
        <f>(B193/100000)*'Birth Pop per Year'!K193</f>
        <v>1098.2208</v>
      </c>
      <c r="L193" s="34">
        <f>(C193/100000)*'Birth Pop per Year'!K193</f>
        <v>694.0368982</v>
      </c>
      <c r="M193" s="34">
        <f>(D193/100000)*'Birth Pop per Year'!K193</f>
        <v>1668.265027</v>
      </c>
      <c r="N193" s="39" t="str">
        <f t="shared" si="1"/>
        <v>322 (203-489)</v>
      </c>
      <c r="O193" s="40">
        <v>375398.0</v>
      </c>
      <c r="P193" s="39" t="str">
        <f t="shared" si="2"/>
        <v>1,209 (764-1,836)</v>
      </c>
      <c r="Q193" s="40">
        <v>366037.0</v>
      </c>
      <c r="R193" s="39" t="str">
        <f t="shared" si="3"/>
        <v>1,179 (745-1,668)</v>
      </c>
      <c r="S193" s="40">
        <v>341076.0</v>
      </c>
      <c r="T193" s="39" t="str">
        <f t="shared" si="4"/>
        <v>1,098 (694-1,668)</v>
      </c>
    </row>
    <row r="194">
      <c r="A194" s="16" t="s">
        <v>221</v>
      </c>
      <c r="B194" s="34">
        <v>219.9312794570766</v>
      </c>
      <c r="C194" s="34">
        <v>126.64075722835764</v>
      </c>
      <c r="D194" s="34">
        <v>349.72678864485954</v>
      </c>
      <c r="E194" s="34">
        <f>(B194/100000)*'Birth Pop per Year'!C194</f>
        <v>506.0486782</v>
      </c>
      <c r="F194" s="34">
        <f>(C194/100000)*'Birth Pop per Year'!C194</f>
        <v>291.3927839</v>
      </c>
      <c r="G194" s="34">
        <f>(D194/100000)*'Birth Pop per Year'!C194</f>
        <v>804.7003571</v>
      </c>
      <c r="H194" s="34">
        <f>(B194/100000)*'Birth Pop per Year'!G194</f>
        <v>488.751083</v>
      </c>
      <c r="I194" s="34">
        <f>(C194/100000)*'Birth Pop per Year'!G194</f>
        <v>281.4324884</v>
      </c>
      <c r="J194" s="34">
        <f>(D194/100000)*'Birth Pop per Year'!K194</f>
        <v>757.8124865</v>
      </c>
      <c r="K194" s="34">
        <f>(B194/100000)*'Birth Pop per Year'!K194</f>
        <v>476.5624915</v>
      </c>
      <c r="L194" s="34">
        <f>(C194/100000)*'Birth Pop per Year'!K194</f>
        <v>274.4140576</v>
      </c>
      <c r="M194" s="34">
        <f>(D194/100000)*'Birth Pop per Year'!K194</f>
        <v>757.8124865</v>
      </c>
      <c r="N194" s="39" t="str">
        <f t="shared" si="1"/>
        <v>220 (127-350)</v>
      </c>
      <c r="O194" s="40">
        <v>230094.0</v>
      </c>
      <c r="P194" s="39" t="str">
        <f t="shared" si="2"/>
        <v>506 (291-805)</v>
      </c>
      <c r="Q194" s="40">
        <v>222229.0</v>
      </c>
      <c r="R194" s="39" t="str">
        <f t="shared" si="3"/>
        <v>489 (281-758)</v>
      </c>
      <c r="S194" s="40">
        <v>216687.0</v>
      </c>
      <c r="T194" s="39" t="str">
        <f t="shared" si="4"/>
        <v>477 (274-758)</v>
      </c>
    </row>
    <row r="195">
      <c r="A195" s="16" t="s">
        <v>222</v>
      </c>
      <c r="B195" s="34">
        <v>245.201628359314</v>
      </c>
      <c r="C195" s="34">
        <v>174.9679961156914</v>
      </c>
      <c r="D195" s="34">
        <v>330.83737293706434</v>
      </c>
      <c r="E195" s="34">
        <f>(B195/100000)*'Birth Pop per Year'!C195</f>
        <v>4716.480294</v>
      </c>
      <c r="F195" s="34">
        <f>(C195/100000)*'Birth Pop per Year'!C195</f>
        <v>3365.528652</v>
      </c>
      <c r="G195" s="34">
        <f>(D195/100000)*'Birth Pop per Year'!C195</f>
        <v>6363.693261</v>
      </c>
      <c r="H195" s="34">
        <f>(B195/100000)*'Birth Pop per Year'!G195</f>
        <v>4416.750727</v>
      </c>
      <c r="I195" s="34">
        <f>(C195/100000)*'Birth Pop per Year'!G195</f>
        <v>3151.651273</v>
      </c>
      <c r="J195" s="34">
        <f>(D195/100000)*'Birth Pop per Year'!K195</f>
        <v>5430.162829</v>
      </c>
      <c r="K195" s="34">
        <f>(B195/100000)*'Birth Pop per Year'!K195</f>
        <v>4024.589955</v>
      </c>
      <c r="L195" s="34">
        <f>(C195/100000)*'Birth Pop per Year'!K195</f>
        <v>2871.817958</v>
      </c>
      <c r="M195" s="34">
        <f>(D195/100000)*'Birth Pop per Year'!K195</f>
        <v>5430.162829</v>
      </c>
      <c r="N195" s="39" t="str">
        <f t="shared" si="1"/>
        <v>245 (175-331)</v>
      </c>
      <c r="O195" s="40">
        <v>1923511.0</v>
      </c>
      <c r="P195" s="39" t="str">
        <f t="shared" si="2"/>
        <v>4,716 (3,366-6,364)</v>
      </c>
      <c r="Q195" s="40">
        <v>1801273.0</v>
      </c>
      <c r="R195" s="39" t="str">
        <f t="shared" si="3"/>
        <v>4,417 (3,152-5,430)</v>
      </c>
      <c r="S195" s="40">
        <v>1641339.0</v>
      </c>
      <c r="T195" s="39" t="str">
        <f t="shared" si="4"/>
        <v>4,025 (2,872-5,430)</v>
      </c>
    </row>
    <row r="196">
      <c r="A196" s="16" t="s">
        <v>223</v>
      </c>
      <c r="B196" s="34">
        <v>250.20352125160994</v>
      </c>
      <c r="C196" s="34">
        <v>161.09683460868249</v>
      </c>
      <c r="D196" s="34">
        <v>379.5844165467081</v>
      </c>
      <c r="E196" s="34">
        <f>(B196/100000)*'Birth Pop per Year'!C196</f>
        <v>319.1871341</v>
      </c>
      <c r="F196" s="34">
        <f>(C196/100000)*'Birth Pop per Year'!C196</f>
        <v>205.5128429</v>
      </c>
      <c r="G196" s="34">
        <f>(D196/100000)*'Birth Pop per Year'!C196</f>
        <v>484.239636</v>
      </c>
      <c r="H196" s="34">
        <f>(B196/100000)*'Birth Pop per Year'!G196</f>
        <v>303.9672539</v>
      </c>
      <c r="I196" s="34">
        <f>(C196/100000)*'Birth Pop per Year'!G196</f>
        <v>195.7133224</v>
      </c>
      <c r="J196" s="34">
        <f>(D196/100000)*'Birth Pop per Year'!K196</f>
        <v>432.9881481</v>
      </c>
      <c r="K196" s="34">
        <f>(B196/100000)*'Birth Pop per Year'!K196</f>
        <v>285.4046547</v>
      </c>
      <c r="L196" s="34">
        <f>(C196/100000)*'Birth Pop per Year'!K196</f>
        <v>183.7615483</v>
      </c>
      <c r="M196" s="34">
        <f>(D196/100000)*'Birth Pop per Year'!K196</f>
        <v>432.9881481</v>
      </c>
      <c r="N196" s="39" t="str">
        <f t="shared" si="1"/>
        <v>250 (161-380)</v>
      </c>
      <c r="O196" s="40">
        <v>127571.0</v>
      </c>
      <c r="P196" s="39" t="str">
        <f t="shared" si="2"/>
        <v>319 (206-484)</v>
      </c>
      <c r="Q196" s="40">
        <v>121488.0</v>
      </c>
      <c r="R196" s="39" t="str">
        <f t="shared" si="3"/>
        <v>304 (196-433)</v>
      </c>
      <c r="S196" s="40">
        <v>114069.0</v>
      </c>
      <c r="T196" s="39" t="str">
        <f t="shared" si="4"/>
        <v>285 (184-433)</v>
      </c>
    </row>
    <row r="197">
      <c r="A197" s="16" t="s">
        <v>224</v>
      </c>
      <c r="B197" s="34">
        <v>169.62158675356702</v>
      </c>
      <c r="C197" s="34">
        <v>108.99870917738241</v>
      </c>
      <c r="D197" s="34">
        <v>254.1262039809759</v>
      </c>
      <c r="E197" s="34">
        <f>(B197/100000)*'Birth Pop per Year'!C197</f>
        <v>120.2057299</v>
      </c>
      <c r="F197" s="34">
        <f>(C197/100000)*'Birth Pop per Year'!C197</f>
        <v>77.24411523</v>
      </c>
      <c r="G197" s="34">
        <f>(D197/100000)*'Birth Pop per Year'!C197</f>
        <v>180.091617</v>
      </c>
      <c r="H197" s="34">
        <f>(B197/100000)*'Birth Pop per Year'!G197</f>
        <v>119.1286328</v>
      </c>
      <c r="I197" s="34">
        <f>(C197/100000)*'Birth Pop per Year'!G197</f>
        <v>76.55197343</v>
      </c>
      <c r="J197" s="34">
        <f>(D197/100000)*'Birth Pop per Year'!K197</f>
        <v>169.550462</v>
      </c>
      <c r="K197" s="34">
        <f>(B197/100000)*'Birth Pop per Year'!K197</f>
        <v>113.1698265</v>
      </c>
      <c r="L197" s="34">
        <f>(C197/100000)*'Birth Pop per Year'!K197</f>
        <v>72.72284878</v>
      </c>
      <c r="M197" s="34">
        <f>(D197/100000)*'Birth Pop per Year'!K197</f>
        <v>169.550462</v>
      </c>
      <c r="N197" s="39" t="str">
        <f t="shared" si="1"/>
        <v>170 (109-254)</v>
      </c>
      <c r="O197" s="40">
        <v>70867.0</v>
      </c>
      <c r="P197" s="39" t="str">
        <f t="shared" si="2"/>
        <v>120 (77-180)</v>
      </c>
      <c r="Q197" s="40">
        <v>70232.0</v>
      </c>
      <c r="R197" s="39" t="str">
        <f t="shared" si="3"/>
        <v>119 (77-170)</v>
      </c>
      <c r="S197" s="40">
        <v>66719.0</v>
      </c>
      <c r="T197" s="39" t="str">
        <f t="shared" si="4"/>
        <v>113 (73-170)</v>
      </c>
    </row>
    <row r="198">
      <c r="A198" s="16" t="s">
        <v>225</v>
      </c>
      <c r="B198" s="34">
        <v>297.7099907690089</v>
      </c>
      <c r="C198" s="34">
        <v>199.58584582944772</v>
      </c>
      <c r="D198" s="34">
        <v>437.88734068266785</v>
      </c>
      <c r="E198" s="34">
        <f>(B198/100000)*'Birth Pop per Year'!C198</f>
        <v>1325.306635</v>
      </c>
      <c r="F198" s="34">
        <f>(C198/100000)*'Birth Pop per Year'!C198</f>
        <v>888.4903223</v>
      </c>
      <c r="G198" s="34">
        <f>(D198/100000)*'Birth Pop per Year'!C198</f>
        <v>1949.329938</v>
      </c>
      <c r="H198" s="34">
        <f>(B198/100000)*'Birth Pop per Year'!G198</f>
        <v>1278.152349</v>
      </c>
      <c r="I198" s="34">
        <f>(C198/100000)*'Birth Pop per Year'!G198</f>
        <v>856.8779202</v>
      </c>
      <c r="J198" s="34">
        <f>(D198/100000)*'Birth Pop per Year'!K198</f>
        <v>1644.28448</v>
      </c>
      <c r="K198" s="34">
        <f>(B198/100000)*'Birth Pop per Year'!K198</f>
        <v>1117.912924</v>
      </c>
      <c r="L198" s="34">
        <f>(C198/100000)*'Birth Pop per Year'!K198</f>
        <v>749.4528345</v>
      </c>
      <c r="M198" s="34">
        <f>(D198/100000)*'Birth Pop per Year'!K198</f>
        <v>1644.28448</v>
      </c>
      <c r="N198" s="39" t="str">
        <f t="shared" si="1"/>
        <v>298 (200-438)</v>
      </c>
      <c r="O198" s="40">
        <v>445167.0</v>
      </c>
      <c r="P198" s="39" t="str">
        <f t="shared" si="2"/>
        <v>1,325 (888-1,949)</v>
      </c>
      <c r="Q198" s="40">
        <v>429328.0</v>
      </c>
      <c r="R198" s="39" t="str">
        <f t="shared" si="3"/>
        <v>1,278 (857-1,644)</v>
      </c>
      <c r="S198" s="40">
        <v>375504.0</v>
      </c>
      <c r="T198" s="39" t="str">
        <f t="shared" si="4"/>
        <v>1,118 (749-1,644)</v>
      </c>
    </row>
    <row r="199">
      <c r="A199" s="16" t="s">
        <v>226</v>
      </c>
      <c r="B199" s="34">
        <v>172.53003578122528</v>
      </c>
      <c r="C199" s="34">
        <v>125.26153282746496</v>
      </c>
      <c r="D199" s="34">
        <v>243.4327902118658</v>
      </c>
      <c r="E199" s="34">
        <f>(B199/100000)*'Birth Pop per Year'!C199</f>
        <v>4097.624581</v>
      </c>
      <c r="F199" s="34">
        <f>(C199/100000)*'Birth Pop per Year'!C199</f>
        <v>2974.98771</v>
      </c>
      <c r="G199" s="34">
        <f>(D199/100000)*'Birth Pop per Year'!C199</f>
        <v>5781.579888</v>
      </c>
      <c r="H199" s="34">
        <f>(B199/100000)*'Birth Pop per Year'!G199</f>
        <v>3786.057765</v>
      </c>
      <c r="I199" s="34">
        <f>(C199/100000)*'Birth Pop per Year'!G199</f>
        <v>2748.781665</v>
      </c>
      <c r="J199" s="34">
        <f>(D199/100000)*'Birth Pop per Year'!K199</f>
        <v>4850.812181</v>
      </c>
      <c r="K199" s="34">
        <f>(B199/100000)*'Birth Pop per Year'!K199</f>
        <v>3437.954264</v>
      </c>
      <c r="L199" s="34">
        <f>(C199/100000)*'Birth Pop per Year'!K199</f>
        <v>2496.048986</v>
      </c>
      <c r="M199" s="34">
        <f>(D199/100000)*'Birth Pop per Year'!K199</f>
        <v>4850.812181</v>
      </c>
      <c r="N199" s="39" t="str">
        <f t="shared" si="1"/>
        <v>173 (125-243)</v>
      </c>
      <c r="O199" s="40">
        <v>2375021.0</v>
      </c>
      <c r="P199" s="39" t="str">
        <f t="shared" si="2"/>
        <v>4,098 (2,975-5,782)</v>
      </c>
      <c r="Q199" s="40">
        <v>2194434.0</v>
      </c>
      <c r="R199" s="39" t="str">
        <f t="shared" si="3"/>
        <v>3,786 (2,749-4,851)</v>
      </c>
      <c r="S199" s="40">
        <v>1992670.0</v>
      </c>
      <c r="T199" s="39" t="str">
        <f t="shared" si="4"/>
        <v>3,438 (2,496-4,851)</v>
      </c>
    </row>
    <row r="200">
      <c r="A200" s="16" t="s">
        <v>227</v>
      </c>
      <c r="B200" s="34">
        <v>107.59404125174689</v>
      </c>
      <c r="C200" s="34">
        <v>62.60016945556181</v>
      </c>
      <c r="D200" s="34">
        <v>184.86612542345594</v>
      </c>
      <c r="E200" s="34">
        <f>(B200/100000)*'Birth Pop per Year'!C200</f>
        <v>139.5688384</v>
      </c>
      <c r="F200" s="34">
        <f>(C200/100000)*'Birth Pop per Year'!C200</f>
        <v>81.20368781</v>
      </c>
      <c r="G200" s="34">
        <f>(D200/100000)*'Birth Pop per Year'!C200</f>
        <v>239.8046406</v>
      </c>
      <c r="H200" s="34">
        <f>(B200/100000)*'Birth Pop per Year'!G200</f>
        <v>135.1122932</v>
      </c>
      <c r="I200" s="34">
        <f>(C200/100000)*'Birth Pop per Year'!G200</f>
        <v>78.6107888</v>
      </c>
      <c r="J200" s="34">
        <f>(D200/100000)*'Birth Pop per Year'!K200</f>
        <v>227.5498651</v>
      </c>
      <c r="K200" s="34">
        <f>(B200/100000)*'Birth Pop per Year'!K200</f>
        <v>132.4364294</v>
      </c>
      <c r="L200" s="34">
        <f>(C200/100000)*'Birth Pop per Year'!K200</f>
        <v>77.05392258</v>
      </c>
      <c r="M200" s="34">
        <f>(D200/100000)*'Birth Pop per Year'!K200</f>
        <v>227.5498651</v>
      </c>
      <c r="N200" s="39" t="str">
        <f t="shared" si="1"/>
        <v>108 (63-185)</v>
      </c>
      <c r="O200" s="40">
        <v>129718.0</v>
      </c>
      <c r="P200" s="39" t="str">
        <f t="shared" si="2"/>
        <v>140 (81-240)</v>
      </c>
      <c r="Q200" s="40">
        <v>125576.0</v>
      </c>
      <c r="R200" s="39" t="str">
        <f t="shared" si="3"/>
        <v>135 (79-228)</v>
      </c>
      <c r="S200" s="40">
        <v>123089.0</v>
      </c>
      <c r="T200" s="39" t="str">
        <f t="shared" si="4"/>
        <v>132 (77-228)</v>
      </c>
    </row>
    <row r="201">
      <c r="A201" s="13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42"/>
      <c r="O201" s="42"/>
      <c r="P201" s="42"/>
      <c r="Q201" s="42"/>
      <c r="R201" s="42"/>
      <c r="S201" s="42"/>
      <c r="T201" s="42"/>
    </row>
    <row r="202">
      <c r="A202" s="13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42"/>
      <c r="O202" s="42"/>
      <c r="P202" s="42"/>
      <c r="Q202" s="42"/>
      <c r="R202" s="42"/>
      <c r="S202" s="42"/>
      <c r="T202" s="42"/>
    </row>
    <row r="203">
      <c r="A203" s="13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42"/>
      <c r="O203" s="42"/>
      <c r="P203" s="42"/>
      <c r="Q203" s="42"/>
      <c r="R203" s="42"/>
      <c r="S203" s="42"/>
      <c r="T203" s="42"/>
    </row>
    <row r="204">
      <c r="A204" s="13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42"/>
      <c r="O204" s="42"/>
      <c r="P204" s="42"/>
      <c r="Q204" s="42"/>
      <c r="R204" s="42"/>
      <c r="S204" s="42"/>
      <c r="T204" s="42"/>
    </row>
    <row r="205">
      <c r="A205" s="13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42"/>
      <c r="O205" s="42"/>
      <c r="P205" s="42"/>
      <c r="Q205" s="42"/>
      <c r="R205" s="42"/>
      <c r="S205" s="42"/>
      <c r="T205" s="42"/>
    </row>
    <row r="206">
      <c r="A206" s="13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42"/>
      <c r="O206" s="42"/>
      <c r="P206" s="42"/>
      <c r="Q206" s="42"/>
      <c r="R206" s="42"/>
      <c r="S206" s="42"/>
      <c r="T206" s="42"/>
    </row>
    <row r="207">
      <c r="A207" s="13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42"/>
      <c r="O207" s="42"/>
      <c r="P207" s="42"/>
      <c r="Q207" s="42"/>
      <c r="R207" s="42"/>
      <c r="S207" s="42"/>
      <c r="T207" s="42"/>
    </row>
    <row r="208">
      <c r="A208" s="13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42"/>
      <c r="O208" s="42"/>
      <c r="P208" s="42"/>
      <c r="Q208" s="42"/>
      <c r="R208" s="42"/>
      <c r="S208" s="42"/>
      <c r="T208" s="42"/>
    </row>
    <row r="209">
      <c r="A209" s="13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42"/>
      <c r="O209" s="42"/>
      <c r="P209" s="42"/>
      <c r="Q209" s="42"/>
      <c r="R209" s="42"/>
      <c r="S209" s="42"/>
      <c r="T209" s="42"/>
    </row>
    <row r="210">
      <c r="A210" s="13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42"/>
      <c r="O210" s="42"/>
      <c r="P210" s="42"/>
      <c r="Q210" s="42"/>
      <c r="R210" s="42"/>
      <c r="S210" s="42"/>
      <c r="T210" s="42"/>
    </row>
    <row r="211">
      <c r="A211" s="13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42"/>
      <c r="O211" s="42"/>
      <c r="P211" s="42"/>
      <c r="Q211" s="42"/>
      <c r="R211" s="42"/>
      <c r="S211" s="42"/>
      <c r="T211" s="42"/>
    </row>
    <row r="212">
      <c r="A212" s="13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42"/>
      <c r="O212" s="42"/>
      <c r="P212" s="42"/>
      <c r="Q212" s="42"/>
      <c r="R212" s="42"/>
      <c r="S212" s="42"/>
      <c r="T212" s="42"/>
    </row>
    <row r="213">
      <c r="A213" s="13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42"/>
      <c r="O213" s="42"/>
      <c r="P213" s="42"/>
      <c r="Q213" s="42"/>
      <c r="R213" s="42"/>
      <c r="S213" s="42"/>
      <c r="T213" s="42"/>
    </row>
    <row r="214">
      <c r="A214" s="13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42"/>
      <c r="O214" s="42"/>
      <c r="P214" s="42"/>
      <c r="Q214" s="42"/>
      <c r="R214" s="42"/>
      <c r="S214" s="42"/>
      <c r="T214" s="42"/>
    </row>
    <row r="215">
      <c r="A215" s="13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42"/>
      <c r="O215" s="42"/>
      <c r="P215" s="42"/>
      <c r="Q215" s="42"/>
      <c r="R215" s="42"/>
      <c r="S215" s="42"/>
      <c r="T215" s="42"/>
    </row>
    <row r="216">
      <c r="A216" s="13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42"/>
      <c r="O216" s="42"/>
      <c r="P216" s="42"/>
      <c r="Q216" s="42"/>
      <c r="R216" s="42"/>
      <c r="S216" s="42"/>
      <c r="T216" s="42"/>
    </row>
    <row r="217">
      <c r="A217" s="13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42"/>
      <c r="O217" s="42"/>
      <c r="P217" s="42"/>
      <c r="Q217" s="42"/>
      <c r="R217" s="42"/>
      <c r="S217" s="42"/>
      <c r="T217" s="42"/>
    </row>
    <row r="218">
      <c r="A218" s="13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42"/>
      <c r="O218" s="42"/>
      <c r="P218" s="42"/>
      <c r="Q218" s="42"/>
      <c r="R218" s="42"/>
      <c r="S218" s="42"/>
      <c r="T218" s="42"/>
    </row>
    <row r="219">
      <c r="A219" s="13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42"/>
      <c r="O219" s="42"/>
      <c r="P219" s="42"/>
      <c r="Q219" s="42"/>
      <c r="R219" s="42"/>
      <c r="S219" s="42"/>
      <c r="T219" s="42"/>
    </row>
    <row r="220">
      <c r="A220" s="13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42"/>
      <c r="O220" s="42"/>
      <c r="P220" s="42"/>
      <c r="Q220" s="42"/>
      <c r="R220" s="42"/>
      <c r="S220" s="42"/>
      <c r="T220" s="42"/>
    </row>
    <row r="221">
      <c r="A221" s="13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42"/>
      <c r="O221" s="42"/>
      <c r="P221" s="42"/>
      <c r="Q221" s="42"/>
      <c r="R221" s="42"/>
      <c r="S221" s="42"/>
      <c r="T221" s="42"/>
    </row>
    <row r="222">
      <c r="A222" s="13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42"/>
      <c r="O222" s="42"/>
      <c r="P222" s="42"/>
      <c r="Q222" s="42"/>
      <c r="R222" s="42"/>
      <c r="S222" s="42"/>
      <c r="T222" s="42"/>
    </row>
    <row r="223">
      <c r="A223" s="13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42"/>
      <c r="O223" s="42"/>
      <c r="P223" s="42"/>
      <c r="Q223" s="42"/>
      <c r="R223" s="42"/>
      <c r="S223" s="42"/>
      <c r="T223" s="42"/>
    </row>
    <row r="224">
      <c r="A224" s="13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42"/>
      <c r="O224" s="42"/>
      <c r="P224" s="42"/>
      <c r="Q224" s="42"/>
      <c r="R224" s="42"/>
      <c r="S224" s="42"/>
      <c r="T224" s="42"/>
    </row>
    <row r="225">
      <c r="A225" s="13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42"/>
      <c r="O225" s="42"/>
      <c r="P225" s="42"/>
      <c r="Q225" s="42"/>
      <c r="R225" s="42"/>
      <c r="S225" s="42"/>
      <c r="T225" s="42"/>
    </row>
    <row r="226">
      <c r="A226" s="13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42"/>
      <c r="O226" s="42"/>
      <c r="P226" s="42"/>
      <c r="Q226" s="42"/>
      <c r="R226" s="42"/>
      <c r="S226" s="42"/>
      <c r="T226" s="42"/>
    </row>
    <row r="227">
      <c r="A227" s="13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42"/>
      <c r="O227" s="42"/>
      <c r="P227" s="42"/>
      <c r="Q227" s="42"/>
      <c r="R227" s="42"/>
      <c r="S227" s="42"/>
      <c r="T227" s="42"/>
    </row>
    <row r="228">
      <c r="A228" s="13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42"/>
      <c r="O228" s="42"/>
      <c r="P228" s="42"/>
      <c r="Q228" s="42"/>
      <c r="R228" s="42"/>
      <c r="S228" s="42"/>
      <c r="T228" s="42"/>
    </row>
    <row r="229">
      <c r="A229" s="13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42"/>
      <c r="O229" s="42"/>
      <c r="P229" s="42"/>
      <c r="Q229" s="42"/>
      <c r="R229" s="42"/>
      <c r="S229" s="42"/>
      <c r="T229" s="42"/>
    </row>
    <row r="230">
      <c r="A230" s="13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42"/>
      <c r="O230" s="42"/>
      <c r="P230" s="42"/>
      <c r="Q230" s="42"/>
      <c r="R230" s="42"/>
      <c r="S230" s="42"/>
      <c r="T230" s="42"/>
    </row>
    <row r="231">
      <c r="A231" s="13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42"/>
      <c r="O231" s="42"/>
      <c r="P231" s="42"/>
      <c r="Q231" s="42"/>
      <c r="R231" s="42"/>
      <c r="S231" s="42"/>
      <c r="T231" s="42"/>
    </row>
    <row r="232">
      <c r="A232" s="13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42"/>
      <c r="O232" s="42"/>
      <c r="P232" s="42"/>
      <c r="Q232" s="42"/>
      <c r="R232" s="42"/>
      <c r="S232" s="42"/>
      <c r="T232" s="42"/>
    </row>
    <row r="233">
      <c r="A233" s="13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42"/>
      <c r="O233" s="42"/>
      <c r="P233" s="42"/>
      <c r="Q233" s="42"/>
      <c r="R233" s="42"/>
      <c r="S233" s="42"/>
      <c r="T233" s="42"/>
    </row>
    <row r="234">
      <c r="A234" s="13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42"/>
      <c r="O234" s="42"/>
      <c r="P234" s="42"/>
      <c r="Q234" s="42"/>
      <c r="R234" s="42"/>
      <c r="S234" s="42"/>
      <c r="T234" s="42"/>
    </row>
    <row r="235">
      <c r="A235" s="13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42"/>
      <c r="O235" s="42"/>
      <c r="P235" s="42"/>
      <c r="Q235" s="42"/>
      <c r="R235" s="42"/>
      <c r="S235" s="42"/>
      <c r="T235" s="42"/>
    </row>
    <row r="236">
      <c r="A236" s="13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42"/>
      <c r="O236" s="42"/>
      <c r="P236" s="42"/>
      <c r="Q236" s="42"/>
      <c r="R236" s="42"/>
      <c r="S236" s="42"/>
      <c r="T236" s="42"/>
    </row>
    <row r="237">
      <c r="A237" s="13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42"/>
      <c r="O237" s="42"/>
      <c r="P237" s="42"/>
      <c r="Q237" s="42"/>
      <c r="R237" s="42"/>
      <c r="S237" s="42"/>
      <c r="T237" s="42"/>
    </row>
    <row r="238">
      <c r="A238" s="13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42"/>
      <c r="O238" s="42"/>
      <c r="P238" s="42"/>
      <c r="Q238" s="42"/>
      <c r="R238" s="42"/>
      <c r="S238" s="42"/>
      <c r="T238" s="42"/>
    </row>
    <row r="239">
      <c r="A239" s="13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42"/>
      <c r="O239" s="42"/>
      <c r="P239" s="42"/>
      <c r="Q239" s="42"/>
      <c r="R239" s="42"/>
      <c r="S239" s="42"/>
      <c r="T239" s="42"/>
    </row>
    <row r="240">
      <c r="A240" s="13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42"/>
      <c r="O240" s="42"/>
      <c r="P240" s="42"/>
      <c r="Q240" s="42"/>
      <c r="R240" s="42"/>
      <c r="S240" s="42"/>
      <c r="T240" s="42"/>
    </row>
    <row r="241">
      <c r="A241" s="13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42"/>
      <c r="O241" s="42"/>
      <c r="P241" s="42"/>
      <c r="Q241" s="42"/>
      <c r="R241" s="42"/>
      <c r="S241" s="42"/>
      <c r="T241" s="42"/>
    </row>
    <row r="242">
      <c r="A242" s="13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42"/>
      <c r="O242" s="42"/>
      <c r="P242" s="42"/>
      <c r="Q242" s="42"/>
      <c r="R242" s="42"/>
      <c r="S242" s="42"/>
      <c r="T242" s="42"/>
    </row>
    <row r="243">
      <c r="A243" s="13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42"/>
      <c r="O243" s="42"/>
      <c r="P243" s="42"/>
      <c r="Q243" s="42"/>
      <c r="R243" s="42"/>
      <c r="S243" s="42"/>
      <c r="T243" s="42"/>
    </row>
    <row r="244">
      <c r="A244" s="13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42"/>
      <c r="O244" s="42"/>
      <c r="P244" s="42"/>
      <c r="Q244" s="42"/>
      <c r="R244" s="42"/>
      <c r="S244" s="42"/>
      <c r="T244" s="42"/>
    </row>
    <row r="245">
      <c r="A245" s="13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42"/>
      <c r="O245" s="42"/>
      <c r="P245" s="42"/>
      <c r="Q245" s="42"/>
      <c r="R245" s="42"/>
      <c r="S245" s="42"/>
      <c r="T245" s="42"/>
    </row>
    <row r="246">
      <c r="A246" s="13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42"/>
      <c r="O246" s="42"/>
      <c r="P246" s="42"/>
      <c r="Q246" s="42"/>
      <c r="R246" s="42"/>
      <c r="S246" s="42"/>
      <c r="T246" s="42"/>
    </row>
    <row r="247">
      <c r="A247" s="13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42"/>
      <c r="O247" s="42"/>
      <c r="P247" s="42"/>
      <c r="Q247" s="42"/>
      <c r="R247" s="42"/>
      <c r="S247" s="42"/>
      <c r="T247" s="42"/>
    </row>
    <row r="248">
      <c r="A248" s="13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42"/>
      <c r="O248" s="42"/>
      <c r="P248" s="42"/>
      <c r="Q248" s="42"/>
      <c r="R248" s="42"/>
      <c r="S248" s="42"/>
      <c r="T248" s="42"/>
    </row>
    <row r="249">
      <c r="A249" s="13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42"/>
      <c r="O249" s="42"/>
      <c r="P249" s="42"/>
      <c r="Q249" s="42"/>
      <c r="R249" s="42"/>
      <c r="S249" s="42"/>
      <c r="T249" s="42"/>
    </row>
    <row r="250">
      <c r="A250" s="13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42"/>
      <c r="O250" s="42"/>
      <c r="P250" s="42"/>
      <c r="Q250" s="42"/>
      <c r="R250" s="42"/>
      <c r="S250" s="42"/>
      <c r="T250" s="42"/>
    </row>
    <row r="251">
      <c r="A251" s="13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42"/>
      <c r="O251" s="42"/>
      <c r="P251" s="42"/>
      <c r="Q251" s="42"/>
      <c r="R251" s="42"/>
      <c r="S251" s="42"/>
      <c r="T251" s="42"/>
    </row>
    <row r="252">
      <c r="A252" s="13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42"/>
      <c r="O252" s="42"/>
      <c r="P252" s="42"/>
      <c r="Q252" s="42"/>
      <c r="R252" s="42"/>
      <c r="S252" s="42"/>
      <c r="T252" s="42"/>
    </row>
    <row r="253">
      <c r="A253" s="13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42"/>
      <c r="O253" s="42"/>
      <c r="P253" s="42"/>
      <c r="Q253" s="42"/>
      <c r="R253" s="42"/>
      <c r="S253" s="42"/>
      <c r="T253" s="42"/>
    </row>
    <row r="254">
      <c r="A254" s="13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42"/>
      <c r="O254" s="42"/>
      <c r="P254" s="42"/>
      <c r="Q254" s="42"/>
      <c r="R254" s="42"/>
      <c r="S254" s="42"/>
      <c r="T254" s="42"/>
    </row>
    <row r="255">
      <c r="A255" s="13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42"/>
      <c r="O255" s="42"/>
      <c r="P255" s="42"/>
      <c r="Q255" s="42"/>
      <c r="R255" s="42"/>
      <c r="S255" s="42"/>
      <c r="T255" s="42"/>
    </row>
    <row r="256">
      <c r="A256" s="13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42"/>
      <c r="O256" s="42"/>
      <c r="P256" s="42"/>
      <c r="Q256" s="42"/>
      <c r="R256" s="42"/>
      <c r="S256" s="42"/>
      <c r="T256" s="42"/>
    </row>
    <row r="257">
      <c r="A257" s="13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42"/>
      <c r="O257" s="42"/>
      <c r="P257" s="42"/>
      <c r="Q257" s="42"/>
      <c r="R257" s="42"/>
      <c r="S257" s="42"/>
      <c r="T257" s="42"/>
    </row>
    <row r="258">
      <c r="A258" s="13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42"/>
      <c r="O258" s="42"/>
      <c r="P258" s="42"/>
      <c r="Q258" s="42"/>
      <c r="R258" s="42"/>
      <c r="S258" s="42"/>
      <c r="T258" s="42"/>
    </row>
    <row r="259">
      <c r="A259" s="13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42"/>
      <c r="O259" s="42"/>
      <c r="P259" s="42"/>
      <c r="Q259" s="42"/>
      <c r="R259" s="42"/>
      <c r="S259" s="42"/>
      <c r="T259" s="42"/>
    </row>
    <row r="260">
      <c r="A260" s="13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42"/>
      <c r="O260" s="42"/>
      <c r="P260" s="42"/>
      <c r="Q260" s="42"/>
      <c r="R260" s="42"/>
      <c r="S260" s="42"/>
      <c r="T260" s="42"/>
    </row>
    <row r="261">
      <c r="A261" s="13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42"/>
      <c r="O261" s="42"/>
      <c r="P261" s="42"/>
      <c r="Q261" s="42"/>
      <c r="R261" s="42"/>
      <c r="S261" s="42"/>
      <c r="T261" s="42"/>
    </row>
    <row r="262">
      <c r="A262" s="13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42"/>
      <c r="O262" s="42"/>
      <c r="P262" s="42"/>
      <c r="Q262" s="42"/>
      <c r="R262" s="42"/>
      <c r="S262" s="42"/>
      <c r="T262" s="42"/>
    </row>
    <row r="263">
      <c r="A263" s="13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42"/>
      <c r="O263" s="42"/>
      <c r="P263" s="42"/>
      <c r="Q263" s="42"/>
      <c r="R263" s="42"/>
      <c r="S263" s="42"/>
      <c r="T263" s="42"/>
    </row>
    <row r="264">
      <c r="A264" s="13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42"/>
      <c r="O264" s="42"/>
      <c r="P264" s="42"/>
      <c r="Q264" s="42"/>
      <c r="R264" s="42"/>
      <c r="S264" s="42"/>
      <c r="T264" s="42"/>
    </row>
    <row r="265">
      <c r="A265" s="13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42"/>
      <c r="O265" s="42"/>
      <c r="P265" s="42"/>
      <c r="Q265" s="42"/>
      <c r="R265" s="42"/>
      <c r="S265" s="42"/>
      <c r="T265" s="42"/>
    </row>
    <row r="266">
      <c r="A266" s="13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42"/>
      <c r="O266" s="42"/>
      <c r="P266" s="42"/>
      <c r="Q266" s="42"/>
      <c r="R266" s="42"/>
      <c r="S266" s="42"/>
      <c r="T266" s="42"/>
    </row>
    <row r="267">
      <c r="A267" s="13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42"/>
      <c r="O267" s="42"/>
      <c r="P267" s="42"/>
      <c r="Q267" s="42"/>
      <c r="R267" s="42"/>
      <c r="S267" s="42"/>
      <c r="T267" s="42"/>
    </row>
    <row r="268">
      <c r="A268" s="13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42"/>
      <c r="O268" s="42"/>
      <c r="P268" s="42"/>
      <c r="Q268" s="42"/>
      <c r="R268" s="42"/>
      <c r="S268" s="42"/>
      <c r="T268" s="42"/>
    </row>
    <row r="269">
      <c r="A269" s="13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42"/>
      <c r="O269" s="42"/>
      <c r="P269" s="42"/>
      <c r="Q269" s="42"/>
      <c r="R269" s="42"/>
      <c r="S269" s="42"/>
      <c r="T269" s="42"/>
    </row>
    <row r="270">
      <c r="A270" s="13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42"/>
      <c r="O270" s="42"/>
      <c r="P270" s="42"/>
      <c r="Q270" s="42"/>
      <c r="R270" s="42"/>
      <c r="S270" s="42"/>
      <c r="T270" s="42"/>
    </row>
    <row r="271">
      <c r="A271" s="13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42"/>
      <c r="O271" s="42"/>
      <c r="P271" s="42"/>
      <c r="Q271" s="42"/>
      <c r="R271" s="42"/>
      <c r="S271" s="42"/>
      <c r="T271" s="42"/>
    </row>
    <row r="272">
      <c r="A272" s="13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42"/>
      <c r="O272" s="42"/>
      <c r="P272" s="42"/>
      <c r="Q272" s="42"/>
      <c r="R272" s="42"/>
      <c r="S272" s="42"/>
      <c r="T272" s="42"/>
    </row>
    <row r="273">
      <c r="A273" s="13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42"/>
      <c r="O273" s="42"/>
      <c r="P273" s="42"/>
      <c r="Q273" s="42"/>
      <c r="R273" s="42"/>
      <c r="S273" s="42"/>
      <c r="T273" s="42"/>
    </row>
    <row r="274">
      <c r="A274" s="13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42"/>
      <c r="O274" s="42"/>
      <c r="P274" s="42"/>
      <c r="Q274" s="42"/>
      <c r="R274" s="42"/>
      <c r="S274" s="42"/>
      <c r="T274" s="42"/>
    </row>
    <row r="275">
      <c r="A275" s="13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42"/>
      <c r="O275" s="42"/>
      <c r="P275" s="42"/>
      <c r="Q275" s="42"/>
      <c r="R275" s="42"/>
      <c r="S275" s="42"/>
      <c r="T275" s="42"/>
    </row>
    <row r="276">
      <c r="A276" s="13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42"/>
      <c r="O276" s="42"/>
      <c r="P276" s="42"/>
      <c r="Q276" s="42"/>
      <c r="R276" s="42"/>
      <c r="S276" s="42"/>
      <c r="T276" s="42"/>
    </row>
    <row r="277">
      <c r="A277" s="13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42"/>
      <c r="O277" s="42"/>
      <c r="P277" s="42"/>
      <c r="Q277" s="42"/>
      <c r="R277" s="42"/>
      <c r="S277" s="42"/>
      <c r="T277" s="42"/>
    </row>
    <row r="278">
      <c r="A278" s="13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42"/>
      <c r="O278" s="42"/>
      <c r="P278" s="42"/>
      <c r="Q278" s="42"/>
      <c r="R278" s="42"/>
      <c r="S278" s="42"/>
      <c r="T278" s="42"/>
    </row>
    <row r="279">
      <c r="A279" s="13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42"/>
      <c r="O279" s="42"/>
      <c r="P279" s="42"/>
      <c r="Q279" s="42"/>
      <c r="R279" s="42"/>
      <c r="S279" s="42"/>
      <c r="T279" s="42"/>
    </row>
    <row r="280">
      <c r="A280" s="13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42"/>
      <c r="O280" s="42"/>
      <c r="P280" s="42"/>
      <c r="Q280" s="42"/>
      <c r="R280" s="42"/>
      <c r="S280" s="42"/>
      <c r="T280" s="42"/>
    </row>
    <row r="281">
      <c r="A281" s="13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42"/>
      <c r="O281" s="42"/>
      <c r="P281" s="42"/>
      <c r="Q281" s="42"/>
      <c r="R281" s="42"/>
      <c r="S281" s="42"/>
      <c r="T281" s="42"/>
    </row>
    <row r="282">
      <c r="A282" s="13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42"/>
      <c r="O282" s="42"/>
      <c r="P282" s="42"/>
      <c r="Q282" s="42"/>
      <c r="R282" s="42"/>
      <c r="S282" s="42"/>
      <c r="T282" s="42"/>
    </row>
    <row r="283">
      <c r="A283" s="13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42"/>
      <c r="O283" s="42"/>
      <c r="P283" s="42"/>
      <c r="Q283" s="42"/>
      <c r="R283" s="42"/>
      <c r="S283" s="42"/>
      <c r="T283" s="42"/>
    </row>
    <row r="284">
      <c r="A284" s="13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42"/>
      <c r="O284" s="42"/>
      <c r="P284" s="42"/>
      <c r="Q284" s="42"/>
      <c r="R284" s="42"/>
      <c r="S284" s="42"/>
      <c r="T284" s="42"/>
    </row>
    <row r="285">
      <c r="A285" s="13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42"/>
      <c r="O285" s="42"/>
      <c r="P285" s="42"/>
      <c r="Q285" s="42"/>
      <c r="R285" s="42"/>
      <c r="S285" s="42"/>
      <c r="T285" s="42"/>
    </row>
    <row r="286">
      <c r="A286" s="13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42"/>
      <c r="O286" s="42"/>
      <c r="P286" s="42"/>
      <c r="Q286" s="42"/>
      <c r="R286" s="42"/>
      <c r="S286" s="42"/>
      <c r="T286" s="42"/>
    </row>
    <row r="287">
      <c r="A287" s="13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42"/>
      <c r="O287" s="42"/>
      <c r="P287" s="42"/>
      <c r="Q287" s="42"/>
      <c r="R287" s="42"/>
      <c r="S287" s="42"/>
      <c r="T287" s="42"/>
    </row>
    <row r="288">
      <c r="A288" s="13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42"/>
      <c r="O288" s="42"/>
      <c r="P288" s="42"/>
      <c r="Q288" s="42"/>
      <c r="R288" s="42"/>
      <c r="S288" s="42"/>
      <c r="T288" s="42"/>
    </row>
    <row r="289">
      <c r="A289" s="13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42"/>
      <c r="O289" s="42"/>
      <c r="P289" s="42"/>
      <c r="Q289" s="42"/>
      <c r="R289" s="42"/>
      <c r="S289" s="42"/>
      <c r="T289" s="42"/>
    </row>
    <row r="290">
      <c r="A290" s="13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42"/>
      <c r="O290" s="42"/>
      <c r="P290" s="42"/>
      <c r="Q290" s="42"/>
      <c r="R290" s="42"/>
      <c r="S290" s="42"/>
      <c r="T290" s="42"/>
    </row>
    <row r="291">
      <c r="A291" s="13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42"/>
      <c r="O291" s="42"/>
      <c r="P291" s="42"/>
      <c r="Q291" s="42"/>
      <c r="R291" s="42"/>
      <c r="S291" s="42"/>
      <c r="T291" s="42"/>
    </row>
    <row r="292">
      <c r="A292" s="13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42"/>
      <c r="O292" s="42"/>
      <c r="P292" s="42"/>
      <c r="Q292" s="42"/>
      <c r="R292" s="42"/>
      <c r="S292" s="42"/>
      <c r="T292" s="42"/>
    </row>
    <row r="293">
      <c r="A293" s="13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42"/>
      <c r="O293" s="42"/>
      <c r="P293" s="42"/>
      <c r="Q293" s="42"/>
      <c r="R293" s="42"/>
      <c r="S293" s="42"/>
      <c r="T293" s="42"/>
    </row>
    <row r="294">
      <c r="A294" s="13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42"/>
      <c r="O294" s="42"/>
      <c r="P294" s="42"/>
      <c r="Q294" s="42"/>
      <c r="R294" s="42"/>
      <c r="S294" s="42"/>
      <c r="T294" s="42"/>
    </row>
    <row r="295">
      <c r="A295" s="13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42"/>
      <c r="O295" s="42"/>
      <c r="P295" s="42"/>
      <c r="Q295" s="42"/>
      <c r="R295" s="42"/>
      <c r="S295" s="42"/>
      <c r="T295" s="42"/>
    </row>
    <row r="296">
      <c r="A296" s="13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42"/>
      <c r="O296" s="42"/>
      <c r="P296" s="42"/>
      <c r="Q296" s="42"/>
      <c r="R296" s="42"/>
      <c r="S296" s="42"/>
      <c r="T296" s="42"/>
    </row>
    <row r="297">
      <c r="A297" s="13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42"/>
      <c r="O297" s="42"/>
      <c r="P297" s="42"/>
      <c r="Q297" s="42"/>
      <c r="R297" s="42"/>
      <c r="S297" s="42"/>
      <c r="T297" s="42"/>
    </row>
    <row r="298">
      <c r="A298" s="13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42"/>
      <c r="O298" s="42"/>
      <c r="P298" s="42"/>
      <c r="Q298" s="42"/>
      <c r="R298" s="42"/>
      <c r="S298" s="42"/>
      <c r="T298" s="42"/>
    </row>
    <row r="299">
      <c r="A299" s="13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42"/>
      <c r="O299" s="42"/>
      <c r="P299" s="42"/>
      <c r="Q299" s="42"/>
      <c r="R299" s="42"/>
      <c r="S299" s="42"/>
      <c r="T299" s="42"/>
    </row>
    <row r="300">
      <c r="A300" s="13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42"/>
      <c r="O300" s="42"/>
      <c r="P300" s="42"/>
      <c r="Q300" s="42"/>
      <c r="R300" s="42"/>
      <c r="S300" s="42"/>
      <c r="T300" s="42"/>
    </row>
    <row r="301">
      <c r="A301" s="13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42"/>
      <c r="O301" s="42"/>
      <c r="P301" s="42"/>
      <c r="Q301" s="42"/>
      <c r="R301" s="42"/>
      <c r="S301" s="42"/>
      <c r="T301" s="42"/>
    </row>
    <row r="302">
      <c r="A302" s="13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42"/>
      <c r="O302" s="42"/>
      <c r="P302" s="42"/>
      <c r="Q302" s="42"/>
      <c r="R302" s="42"/>
      <c r="S302" s="42"/>
      <c r="T302" s="42"/>
    </row>
    <row r="303">
      <c r="A303" s="13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42"/>
      <c r="O303" s="42"/>
      <c r="P303" s="42"/>
      <c r="Q303" s="42"/>
      <c r="R303" s="42"/>
      <c r="S303" s="42"/>
      <c r="T303" s="42"/>
    </row>
    <row r="304">
      <c r="A304" s="13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42"/>
      <c r="O304" s="42"/>
      <c r="P304" s="42"/>
      <c r="Q304" s="42"/>
      <c r="R304" s="42"/>
      <c r="S304" s="42"/>
      <c r="T304" s="42"/>
    </row>
    <row r="305">
      <c r="A305" s="13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42"/>
      <c r="O305" s="42"/>
      <c r="P305" s="42"/>
      <c r="Q305" s="42"/>
      <c r="R305" s="42"/>
      <c r="S305" s="42"/>
      <c r="T305" s="42"/>
    </row>
    <row r="306">
      <c r="A306" s="13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42"/>
      <c r="O306" s="42"/>
      <c r="P306" s="42"/>
      <c r="Q306" s="42"/>
      <c r="R306" s="42"/>
      <c r="S306" s="42"/>
      <c r="T306" s="42"/>
    </row>
    <row r="307">
      <c r="A307" s="13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42"/>
      <c r="O307" s="42"/>
      <c r="P307" s="42"/>
      <c r="Q307" s="42"/>
      <c r="R307" s="42"/>
      <c r="S307" s="42"/>
      <c r="T307" s="42"/>
    </row>
    <row r="308">
      <c r="A308" s="13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42"/>
      <c r="O308" s="42"/>
      <c r="P308" s="42"/>
      <c r="Q308" s="42"/>
      <c r="R308" s="42"/>
      <c r="S308" s="42"/>
      <c r="T308" s="42"/>
    </row>
    <row r="309">
      <c r="A309" s="13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42"/>
      <c r="O309" s="42"/>
      <c r="P309" s="42"/>
      <c r="Q309" s="42"/>
      <c r="R309" s="42"/>
      <c r="S309" s="42"/>
      <c r="T309" s="42"/>
    </row>
    <row r="310">
      <c r="A310" s="13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42"/>
      <c r="O310" s="42"/>
      <c r="P310" s="42"/>
      <c r="Q310" s="42"/>
      <c r="R310" s="42"/>
      <c r="S310" s="42"/>
      <c r="T310" s="42"/>
    </row>
    <row r="311">
      <c r="A311" s="13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42"/>
      <c r="O311" s="42"/>
      <c r="P311" s="42"/>
      <c r="Q311" s="42"/>
      <c r="R311" s="42"/>
      <c r="S311" s="42"/>
      <c r="T311" s="42"/>
    </row>
    <row r="312">
      <c r="A312" s="13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42"/>
      <c r="O312" s="42"/>
      <c r="P312" s="42"/>
      <c r="Q312" s="42"/>
      <c r="R312" s="42"/>
      <c r="S312" s="42"/>
      <c r="T312" s="42"/>
    </row>
    <row r="313">
      <c r="A313" s="13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42"/>
      <c r="O313" s="42"/>
      <c r="P313" s="42"/>
      <c r="Q313" s="42"/>
      <c r="R313" s="42"/>
      <c r="S313" s="42"/>
      <c r="T313" s="42"/>
    </row>
    <row r="314">
      <c r="A314" s="13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42"/>
      <c r="O314" s="42"/>
      <c r="P314" s="42"/>
      <c r="Q314" s="42"/>
      <c r="R314" s="42"/>
      <c r="S314" s="42"/>
      <c r="T314" s="42"/>
    </row>
    <row r="315">
      <c r="A315" s="13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42"/>
      <c r="O315" s="42"/>
      <c r="P315" s="42"/>
      <c r="Q315" s="42"/>
      <c r="R315" s="42"/>
      <c r="S315" s="42"/>
      <c r="T315" s="42"/>
    </row>
    <row r="316">
      <c r="A316" s="13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42"/>
      <c r="O316" s="42"/>
      <c r="P316" s="42"/>
      <c r="Q316" s="42"/>
      <c r="R316" s="42"/>
      <c r="S316" s="42"/>
      <c r="T316" s="42"/>
    </row>
    <row r="317">
      <c r="A317" s="13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42"/>
      <c r="O317" s="42"/>
      <c r="P317" s="42"/>
      <c r="Q317" s="42"/>
      <c r="R317" s="42"/>
      <c r="S317" s="42"/>
      <c r="T317" s="42"/>
    </row>
    <row r="318">
      <c r="A318" s="13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42"/>
      <c r="O318" s="42"/>
      <c r="P318" s="42"/>
      <c r="Q318" s="42"/>
      <c r="R318" s="42"/>
      <c r="S318" s="42"/>
      <c r="T318" s="42"/>
    </row>
    <row r="319">
      <c r="A319" s="13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42"/>
      <c r="O319" s="42"/>
      <c r="P319" s="42"/>
      <c r="Q319" s="42"/>
      <c r="R319" s="42"/>
      <c r="S319" s="42"/>
      <c r="T319" s="42"/>
    </row>
    <row r="320">
      <c r="A320" s="13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42"/>
      <c r="O320" s="42"/>
      <c r="P320" s="42"/>
      <c r="Q320" s="42"/>
      <c r="R320" s="42"/>
      <c r="S320" s="42"/>
      <c r="T320" s="42"/>
    </row>
    <row r="321">
      <c r="A321" s="13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42"/>
      <c r="O321" s="42"/>
      <c r="P321" s="42"/>
      <c r="Q321" s="42"/>
      <c r="R321" s="42"/>
      <c r="S321" s="42"/>
      <c r="T321" s="42"/>
    </row>
    <row r="322">
      <c r="A322" s="13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42"/>
      <c r="O322" s="42"/>
      <c r="P322" s="42"/>
      <c r="Q322" s="42"/>
      <c r="R322" s="42"/>
      <c r="S322" s="42"/>
      <c r="T322" s="42"/>
    </row>
    <row r="323">
      <c r="A323" s="13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42"/>
      <c r="O323" s="42"/>
      <c r="P323" s="42"/>
      <c r="Q323" s="42"/>
      <c r="R323" s="42"/>
      <c r="S323" s="42"/>
      <c r="T323" s="42"/>
    </row>
    <row r="324">
      <c r="A324" s="13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42"/>
      <c r="O324" s="42"/>
      <c r="P324" s="42"/>
      <c r="Q324" s="42"/>
      <c r="R324" s="42"/>
      <c r="S324" s="42"/>
      <c r="T324" s="42"/>
    </row>
    <row r="325">
      <c r="A325" s="13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42"/>
      <c r="O325" s="42"/>
      <c r="P325" s="42"/>
      <c r="Q325" s="42"/>
      <c r="R325" s="42"/>
      <c r="S325" s="42"/>
      <c r="T325" s="42"/>
    </row>
    <row r="326">
      <c r="A326" s="13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42"/>
      <c r="O326" s="42"/>
      <c r="P326" s="42"/>
      <c r="Q326" s="42"/>
      <c r="R326" s="42"/>
      <c r="S326" s="42"/>
      <c r="T326" s="42"/>
    </row>
    <row r="327">
      <c r="A327" s="13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42"/>
      <c r="O327" s="42"/>
      <c r="P327" s="42"/>
      <c r="Q327" s="42"/>
      <c r="R327" s="42"/>
      <c r="S327" s="42"/>
      <c r="T327" s="42"/>
    </row>
    <row r="328">
      <c r="A328" s="13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42"/>
      <c r="O328" s="42"/>
      <c r="P328" s="42"/>
      <c r="Q328" s="42"/>
      <c r="R328" s="42"/>
      <c r="S328" s="42"/>
      <c r="T328" s="42"/>
    </row>
    <row r="329">
      <c r="A329" s="13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42"/>
      <c r="O329" s="42"/>
      <c r="P329" s="42"/>
      <c r="Q329" s="42"/>
      <c r="R329" s="42"/>
      <c r="S329" s="42"/>
      <c r="T329" s="42"/>
    </row>
    <row r="330">
      <c r="A330" s="13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42"/>
      <c r="O330" s="42"/>
      <c r="P330" s="42"/>
      <c r="Q330" s="42"/>
      <c r="R330" s="42"/>
      <c r="S330" s="42"/>
      <c r="T330" s="42"/>
    </row>
    <row r="331">
      <c r="A331" s="13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42"/>
      <c r="O331" s="42"/>
      <c r="P331" s="42"/>
      <c r="Q331" s="42"/>
      <c r="R331" s="42"/>
      <c r="S331" s="42"/>
      <c r="T331" s="42"/>
    </row>
    <row r="332">
      <c r="A332" s="13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42"/>
      <c r="O332" s="42"/>
      <c r="P332" s="42"/>
      <c r="Q332" s="42"/>
      <c r="R332" s="42"/>
      <c r="S332" s="42"/>
      <c r="T332" s="42"/>
    </row>
    <row r="333">
      <c r="A333" s="13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42"/>
      <c r="O333" s="42"/>
      <c r="P333" s="42"/>
      <c r="Q333" s="42"/>
      <c r="R333" s="42"/>
      <c r="S333" s="42"/>
      <c r="T333" s="42"/>
    </row>
    <row r="334">
      <c r="A334" s="13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42"/>
      <c r="O334" s="42"/>
      <c r="P334" s="42"/>
      <c r="Q334" s="42"/>
      <c r="R334" s="42"/>
      <c r="S334" s="42"/>
      <c r="T334" s="42"/>
    </row>
    <row r="335">
      <c r="A335" s="13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42"/>
      <c r="O335" s="42"/>
      <c r="P335" s="42"/>
      <c r="Q335" s="42"/>
      <c r="R335" s="42"/>
      <c r="S335" s="42"/>
      <c r="T335" s="42"/>
    </row>
    <row r="336">
      <c r="A336" s="13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42"/>
      <c r="O336" s="42"/>
      <c r="P336" s="42"/>
      <c r="Q336" s="42"/>
      <c r="R336" s="42"/>
      <c r="S336" s="42"/>
      <c r="T336" s="42"/>
    </row>
    <row r="337">
      <c r="A337" s="13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42"/>
      <c r="O337" s="42"/>
      <c r="P337" s="42"/>
      <c r="Q337" s="42"/>
      <c r="R337" s="42"/>
      <c r="S337" s="42"/>
      <c r="T337" s="42"/>
    </row>
    <row r="338">
      <c r="A338" s="13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42"/>
      <c r="O338" s="42"/>
      <c r="P338" s="42"/>
      <c r="Q338" s="42"/>
      <c r="R338" s="42"/>
      <c r="S338" s="42"/>
      <c r="T338" s="42"/>
    </row>
    <row r="339">
      <c r="A339" s="13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42"/>
      <c r="O339" s="42"/>
      <c r="P339" s="42"/>
      <c r="Q339" s="42"/>
      <c r="R339" s="42"/>
      <c r="S339" s="42"/>
      <c r="T339" s="42"/>
    </row>
    <row r="340">
      <c r="A340" s="13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42"/>
      <c r="O340" s="42"/>
      <c r="P340" s="42"/>
      <c r="Q340" s="42"/>
      <c r="R340" s="42"/>
      <c r="S340" s="42"/>
      <c r="T340" s="42"/>
    </row>
    <row r="341">
      <c r="A341" s="13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42"/>
      <c r="O341" s="42"/>
      <c r="P341" s="42"/>
      <c r="Q341" s="42"/>
      <c r="R341" s="42"/>
      <c r="S341" s="42"/>
      <c r="T341" s="42"/>
    </row>
    <row r="342">
      <c r="A342" s="13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42"/>
      <c r="O342" s="42"/>
      <c r="P342" s="42"/>
      <c r="Q342" s="42"/>
      <c r="R342" s="42"/>
      <c r="S342" s="42"/>
      <c r="T342" s="42"/>
    </row>
    <row r="343">
      <c r="A343" s="13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42"/>
      <c r="O343" s="42"/>
      <c r="P343" s="42"/>
      <c r="Q343" s="42"/>
      <c r="R343" s="42"/>
      <c r="S343" s="42"/>
      <c r="T343" s="42"/>
    </row>
    <row r="344">
      <c r="A344" s="13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42"/>
      <c r="O344" s="42"/>
      <c r="P344" s="42"/>
      <c r="Q344" s="42"/>
      <c r="R344" s="42"/>
      <c r="S344" s="42"/>
      <c r="T344" s="42"/>
    </row>
    <row r="345">
      <c r="A345" s="13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42"/>
      <c r="O345" s="42"/>
      <c r="P345" s="42"/>
      <c r="Q345" s="42"/>
      <c r="R345" s="42"/>
      <c r="S345" s="42"/>
      <c r="T345" s="42"/>
    </row>
    <row r="346">
      <c r="A346" s="13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42"/>
      <c r="O346" s="42"/>
      <c r="P346" s="42"/>
      <c r="Q346" s="42"/>
      <c r="R346" s="42"/>
      <c r="S346" s="42"/>
      <c r="T346" s="42"/>
    </row>
    <row r="347">
      <c r="A347" s="13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42"/>
      <c r="O347" s="42"/>
      <c r="P347" s="42"/>
      <c r="Q347" s="42"/>
      <c r="R347" s="42"/>
      <c r="S347" s="42"/>
      <c r="T347" s="42"/>
    </row>
    <row r="348">
      <c r="A348" s="13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42"/>
      <c r="O348" s="42"/>
      <c r="P348" s="42"/>
      <c r="Q348" s="42"/>
      <c r="R348" s="42"/>
      <c r="S348" s="42"/>
      <c r="T348" s="42"/>
    </row>
    <row r="349">
      <c r="A349" s="13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42"/>
      <c r="O349" s="42"/>
      <c r="P349" s="42"/>
      <c r="Q349" s="42"/>
      <c r="R349" s="42"/>
      <c r="S349" s="42"/>
      <c r="T349" s="42"/>
    </row>
    <row r="350">
      <c r="A350" s="13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42"/>
      <c r="O350" s="42"/>
      <c r="P350" s="42"/>
      <c r="Q350" s="42"/>
      <c r="R350" s="42"/>
      <c r="S350" s="42"/>
      <c r="T350" s="42"/>
    </row>
    <row r="351">
      <c r="A351" s="13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42"/>
      <c r="O351" s="42"/>
      <c r="P351" s="42"/>
      <c r="Q351" s="42"/>
      <c r="R351" s="42"/>
      <c r="S351" s="42"/>
      <c r="T351" s="42"/>
    </row>
    <row r="352">
      <c r="A352" s="13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42"/>
      <c r="O352" s="42"/>
      <c r="P352" s="42"/>
      <c r="Q352" s="42"/>
      <c r="R352" s="42"/>
      <c r="S352" s="42"/>
      <c r="T352" s="42"/>
    </row>
    <row r="353">
      <c r="A353" s="13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42"/>
      <c r="O353" s="42"/>
      <c r="P353" s="42"/>
      <c r="Q353" s="42"/>
      <c r="R353" s="42"/>
      <c r="S353" s="42"/>
      <c r="T353" s="42"/>
    </row>
    <row r="354">
      <c r="A354" s="13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42"/>
      <c r="O354" s="42"/>
      <c r="P354" s="42"/>
      <c r="Q354" s="42"/>
      <c r="R354" s="42"/>
      <c r="S354" s="42"/>
      <c r="T354" s="42"/>
    </row>
    <row r="355">
      <c r="A355" s="13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42"/>
      <c r="O355" s="42"/>
      <c r="P355" s="42"/>
      <c r="Q355" s="42"/>
      <c r="R355" s="42"/>
      <c r="S355" s="42"/>
      <c r="T355" s="42"/>
    </row>
    <row r="356">
      <c r="A356" s="13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42"/>
      <c r="O356" s="42"/>
      <c r="P356" s="42"/>
      <c r="Q356" s="42"/>
      <c r="R356" s="42"/>
      <c r="S356" s="42"/>
      <c r="T356" s="42"/>
    </row>
    <row r="357">
      <c r="A357" s="13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42"/>
      <c r="O357" s="42"/>
      <c r="P357" s="42"/>
      <c r="Q357" s="42"/>
      <c r="R357" s="42"/>
      <c r="S357" s="42"/>
      <c r="T357" s="42"/>
    </row>
    <row r="358">
      <c r="A358" s="13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42"/>
      <c r="O358" s="42"/>
      <c r="P358" s="42"/>
      <c r="Q358" s="42"/>
      <c r="R358" s="42"/>
      <c r="S358" s="42"/>
      <c r="T358" s="42"/>
    </row>
    <row r="359">
      <c r="A359" s="13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42"/>
      <c r="O359" s="42"/>
      <c r="P359" s="42"/>
      <c r="Q359" s="42"/>
      <c r="R359" s="42"/>
      <c r="S359" s="42"/>
      <c r="T359" s="42"/>
    </row>
    <row r="360">
      <c r="A360" s="13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42"/>
      <c r="O360" s="42"/>
      <c r="P360" s="42"/>
      <c r="Q360" s="42"/>
      <c r="R360" s="42"/>
      <c r="S360" s="42"/>
      <c r="T360" s="42"/>
    </row>
    <row r="361">
      <c r="A361" s="13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42"/>
      <c r="O361" s="42"/>
      <c r="P361" s="42"/>
      <c r="Q361" s="42"/>
      <c r="R361" s="42"/>
      <c r="S361" s="42"/>
      <c r="T361" s="42"/>
    </row>
    <row r="362">
      <c r="A362" s="13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42"/>
      <c r="O362" s="42"/>
      <c r="P362" s="42"/>
      <c r="Q362" s="42"/>
      <c r="R362" s="42"/>
      <c r="S362" s="42"/>
      <c r="T362" s="42"/>
    </row>
    <row r="363">
      <c r="A363" s="13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42"/>
      <c r="O363" s="42"/>
      <c r="P363" s="42"/>
      <c r="Q363" s="42"/>
      <c r="R363" s="42"/>
      <c r="S363" s="42"/>
      <c r="T363" s="42"/>
    </row>
    <row r="364">
      <c r="A364" s="13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42"/>
      <c r="O364" s="42"/>
      <c r="P364" s="42"/>
      <c r="Q364" s="42"/>
      <c r="R364" s="42"/>
      <c r="S364" s="42"/>
      <c r="T364" s="42"/>
    </row>
    <row r="365">
      <c r="A365" s="13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42"/>
      <c r="O365" s="42"/>
      <c r="P365" s="42"/>
      <c r="Q365" s="42"/>
      <c r="R365" s="42"/>
      <c r="S365" s="42"/>
      <c r="T365" s="42"/>
    </row>
    <row r="366">
      <c r="A366" s="13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42"/>
      <c r="O366" s="42"/>
      <c r="P366" s="42"/>
      <c r="Q366" s="42"/>
      <c r="R366" s="42"/>
      <c r="S366" s="42"/>
      <c r="T366" s="42"/>
    </row>
    <row r="367">
      <c r="A367" s="13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42"/>
      <c r="O367" s="42"/>
      <c r="P367" s="42"/>
      <c r="Q367" s="42"/>
      <c r="R367" s="42"/>
      <c r="S367" s="42"/>
      <c r="T367" s="42"/>
    </row>
    <row r="368">
      <c r="A368" s="13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42"/>
      <c r="O368" s="42"/>
      <c r="P368" s="42"/>
      <c r="Q368" s="42"/>
      <c r="R368" s="42"/>
      <c r="S368" s="42"/>
      <c r="T368" s="42"/>
    </row>
    <row r="369">
      <c r="A369" s="13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42"/>
      <c r="O369" s="42"/>
      <c r="P369" s="42"/>
      <c r="Q369" s="42"/>
      <c r="R369" s="42"/>
      <c r="S369" s="42"/>
      <c r="T369" s="42"/>
    </row>
    <row r="370">
      <c r="A370" s="13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42"/>
      <c r="O370" s="42"/>
      <c r="P370" s="42"/>
      <c r="Q370" s="42"/>
      <c r="R370" s="42"/>
      <c r="S370" s="42"/>
      <c r="T370" s="42"/>
    </row>
    <row r="371">
      <c r="A371" s="13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42"/>
      <c r="O371" s="42"/>
      <c r="P371" s="42"/>
      <c r="Q371" s="42"/>
      <c r="R371" s="42"/>
      <c r="S371" s="42"/>
      <c r="T371" s="42"/>
    </row>
    <row r="372">
      <c r="A372" s="13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42"/>
      <c r="O372" s="42"/>
      <c r="P372" s="42"/>
      <c r="Q372" s="42"/>
      <c r="R372" s="42"/>
      <c r="S372" s="42"/>
      <c r="T372" s="42"/>
    </row>
    <row r="373">
      <c r="A373" s="13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42"/>
      <c r="O373" s="42"/>
      <c r="P373" s="42"/>
      <c r="Q373" s="42"/>
      <c r="R373" s="42"/>
      <c r="S373" s="42"/>
      <c r="T373" s="42"/>
    </row>
    <row r="374">
      <c r="A374" s="13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42"/>
      <c r="O374" s="42"/>
      <c r="P374" s="42"/>
      <c r="Q374" s="42"/>
      <c r="R374" s="42"/>
      <c r="S374" s="42"/>
      <c r="T374" s="42"/>
    </row>
    <row r="375">
      <c r="A375" s="13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42"/>
      <c r="O375" s="42"/>
      <c r="P375" s="42"/>
      <c r="Q375" s="42"/>
      <c r="R375" s="42"/>
      <c r="S375" s="42"/>
      <c r="T375" s="42"/>
    </row>
    <row r="376">
      <c r="A376" s="13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42"/>
      <c r="O376" s="42"/>
      <c r="P376" s="42"/>
      <c r="Q376" s="42"/>
      <c r="R376" s="42"/>
      <c r="S376" s="42"/>
      <c r="T376" s="42"/>
    </row>
    <row r="377">
      <c r="A377" s="13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42"/>
      <c r="O377" s="42"/>
      <c r="P377" s="42"/>
      <c r="Q377" s="42"/>
      <c r="R377" s="42"/>
      <c r="S377" s="42"/>
      <c r="T377" s="42"/>
    </row>
    <row r="378">
      <c r="A378" s="13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42"/>
      <c r="O378" s="42"/>
      <c r="P378" s="42"/>
      <c r="Q378" s="42"/>
      <c r="R378" s="42"/>
      <c r="S378" s="42"/>
      <c r="T378" s="42"/>
    </row>
    <row r="379">
      <c r="A379" s="13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42"/>
      <c r="O379" s="42"/>
      <c r="P379" s="42"/>
      <c r="Q379" s="42"/>
      <c r="R379" s="42"/>
      <c r="S379" s="42"/>
      <c r="T379" s="42"/>
    </row>
    <row r="380">
      <c r="A380" s="13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42"/>
      <c r="O380" s="42"/>
      <c r="P380" s="42"/>
      <c r="Q380" s="42"/>
      <c r="R380" s="42"/>
      <c r="S380" s="42"/>
      <c r="T380" s="42"/>
    </row>
    <row r="381">
      <c r="A381" s="13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42"/>
      <c r="O381" s="42"/>
      <c r="P381" s="42"/>
      <c r="Q381" s="42"/>
      <c r="R381" s="42"/>
      <c r="S381" s="42"/>
      <c r="T381" s="42"/>
    </row>
    <row r="382">
      <c r="A382" s="13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42"/>
      <c r="O382" s="42"/>
      <c r="P382" s="42"/>
      <c r="Q382" s="42"/>
      <c r="R382" s="42"/>
      <c r="S382" s="42"/>
      <c r="T382" s="42"/>
    </row>
    <row r="383">
      <c r="A383" s="13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42"/>
      <c r="O383" s="42"/>
      <c r="P383" s="42"/>
      <c r="Q383" s="42"/>
      <c r="R383" s="42"/>
      <c r="S383" s="42"/>
      <c r="T383" s="42"/>
    </row>
    <row r="384">
      <c r="A384" s="13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42"/>
      <c r="O384" s="42"/>
      <c r="P384" s="42"/>
      <c r="Q384" s="42"/>
      <c r="R384" s="42"/>
      <c r="S384" s="42"/>
      <c r="T384" s="42"/>
    </row>
    <row r="385">
      <c r="A385" s="13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42"/>
      <c r="O385" s="42"/>
      <c r="P385" s="42"/>
      <c r="Q385" s="42"/>
      <c r="R385" s="42"/>
      <c r="S385" s="42"/>
      <c r="T385" s="42"/>
    </row>
    <row r="386">
      <c r="A386" s="13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42"/>
      <c r="O386" s="42"/>
      <c r="P386" s="42"/>
      <c r="Q386" s="42"/>
      <c r="R386" s="42"/>
      <c r="S386" s="42"/>
      <c r="T386" s="42"/>
    </row>
    <row r="387">
      <c r="A387" s="13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42"/>
      <c r="O387" s="42"/>
      <c r="P387" s="42"/>
      <c r="Q387" s="42"/>
      <c r="R387" s="42"/>
      <c r="S387" s="42"/>
      <c r="T387" s="42"/>
    </row>
    <row r="388">
      <c r="A388" s="13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42"/>
      <c r="O388" s="42"/>
      <c r="P388" s="42"/>
      <c r="Q388" s="42"/>
      <c r="R388" s="42"/>
      <c r="S388" s="42"/>
      <c r="T388" s="42"/>
    </row>
    <row r="389">
      <c r="A389" s="13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42"/>
      <c r="O389" s="42"/>
      <c r="P389" s="42"/>
      <c r="Q389" s="42"/>
      <c r="R389" s="42"/>
      <c r="S389" s="42"/>
      <c r="T389" s="42"/>
    </row>
    <row r="390">
      <c r="A390" s="13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42"/>
      <c r="O390" s="42"/>
      <c r="P390" s="42"/>
      <c r="Q390" s="42"/>
      <c r="R390" s="42"/>
      <c r="S390" s="42"/>
      <c r="T390" s="42"/>
    </row>
    <row r="391">
      <c r="A391" s="13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42"/>
      <c r="O391" s="42"/>
      <c r="P391" s="42"/>
      <c r="Q391" s="42"/>
      <c r="R391" s="42"/>
      <c r="S391" s="42"/>
      <c r="T391" s="42"/>
    </row>
    <row r="392">
      <c r="A392" s="13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42"/>
      <c r="O392" s="42"/>
      <c r="P392" s="42"/>
      <c r="Q392" s="42"/>
      <c r="R392" s="42"/>
      <c r="S392" s="42"/>
      <c r="T392" s="42"/>
    </row>
    <row r="393">
      <c r="A393" s="13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42"/>
      <c r="O393" s="42"/>
      <c r="P393" s="42"/>
      <c r="Q393" s="42"/>
      <c r="R393" s="42"/>
      <c r="S393" s="42"/>
      <c r="T393" s="42"/>
    </row>
    <row r="394">
      <c r="A394" s="13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42"/>
      <c r="O394" s="42"/>
      <c r="P394" s="42"/>
      <c r="Q394" s="42"/>
      <c r="R394" s="42"/>
      <c r="S394" s="42"/>
      <c r="T394" s="42"/>
    </row>
    <row r="395">
      <c r="A395" s="13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42"/>
      <c r="O395" s="42"/>
      <c r="P395" s="42"/>
      <c r="Q395" s="42"/>
      <c r="R395" s="42"/>
      <c r="S395" s="42"/>
      <c r="T395" s="42"/>
    </row>
    <row r="396">
      <c r="A396" s="13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42"/>
      <c r="O396" s="42"/>
      <c r="P396" s="42"/>
      <c r="Q396" s="42"/>
      <c r="R396" s="42"/>
      <c r="S396" s="42"/>
      <c r="T396" s="42"/>
    </row>
    <row r="397">
      <c r="A397" s="13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42"/>
      <c r="O397" s="42"/>
      <c r="P397" s="42"/>
      <c r="Q397" s="42"/>
      <c r="R397" s="42"/>
      <c r="S397" s="42"/>
      <c r="T397" s="42"/>
    </row>
    <row r="398">
      <c r="A398" s="13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42"/>
      <c r="O398" s="42"/>
      <c r="P398" s="42"/>
      <c r="Q398" s="42"/>
      <c r="R398" s="42"/>
      <c r="S398" s="42"/>
      <c r="T398" s="42"/>
    </row>
    <row r="399">
      <c r="A399" s="13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42"/>
      <c r="O399" s="42"/>
      <c r="P399" s="42"/>
      <c r="Q399" s="42"/>
      <c r="R399" s="42"/>
      <c r="S399" s="42"/>
      <c r="T399" s="42"/>
    </row>
    <row r="400">
      <c r="A400" s="13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42"/>
      <c r="O400" s="42"/>
      <c r="P400" s="42"/>
      <c r="Q400" s="42"/>
      <c r="R400" s="42"/>
      <c r="S400" s="42"/>
      <c r="T400" s="42"/>
    </row>
    <row r="401">
      <c r="A401" s="13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42"/>
      <c r="O401" s="42"/>
      <c r="P401" s="42"/>
      <c r="Q401" s="42"/>
      <c r="R401" s="42"/>
      <c r="S401" s="42"/>
      <c r="T401" s="42"/>
    </row>
    <row r="402">
      <c r="A402" s="13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42"/>
      <c r="O402" s="42"/>
      <c r="P402" s="42"/>
      <c r="Q402" s="42"/>
      <c r="R402" s="42"/>
      <c r="S402" s="42"/>
      <c r="T402" s="42"/>
    </row>
    <row r="403">
      <c r="A403" s="13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42"/>
      <c r="O403" s="42"/>
      <c r="P403" s="42"/>
      <c r="Q403" s="42"/>
      <c r="R403" s="42"/>
      <c r="S403" s="42"/>
      <c r="T403" s="42"/>
    </row>
    <row r="404">
      <c r="A404" s="13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42"/>
      <c r="O404" s="42"/>
      <c r="P404" s="42"/>
      <c r="Q404" s="42"/>
      <c r="R404" s="42"/>
      <c r="S404" s="42"/>
      <c r="T404" s="42"/>
    </row>
    <row r="405">
      <c r="A405" s="13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42"/>
      <c r="O405" s="42"/>
      <c r="P405" s="42"/>
      <c r="Q405" s="42"/>
      <c r="R405" s="42"/>
      <c r="S405" s="42"/>
      <c r="T405" s="42"/>
    </row>
    <row r="406">
      <c r="A406" s="13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42"/>
      <c r="O406" s="42"/>
      <c r="P406" s="42"/>
      <c r="Q406" s="42"/>
      <c r="R406" s="42"/>
      <c r="S406" s="42"/>
      <c r="T406" s="42"/>
    </row>
    <row r="407">
      <c r="A407" s="13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42"/>
      <c r="O407" s="42"/>
      <c r="P407" s="42"/>
      <c r="Q407" s="42"/>
      <c r="R407" s="42"/>
      <c r="S407" s="42"/>
      <c r="T407" s="42"/>
    </row>
    <row r="408">
      <c r="A408" s="13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42"/>
      <c r="O408" s="42"/>
      <c r="P408" s="42"/>
      <c r="Q408" s="42"/>
      <c r="R408" s="42"/>
      <c r="S408" s="42"/>
      <c r="T408" s="42"/>
    </row>
    <row r="409">
      <c r="A409" s="13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42"/>
      <c r="O409" s="42"/>
      <c r="P409" s="42"/>
      <c r="Q409" s="42"/>
      <c r="R409" s="42"/>
      <c r="S409" s="42"/>
      <c r="T409" s="42"/>
    </row>
    <row r="410">
      <c r="A410" s="13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42"/>
      <c r="O410" s="42"/>
      <c r="P410" s="42"/>
      <c r="Q410" s="42"/>
      <c r="R410" s="42"/>
      <c r="S410" s="42"/>
      <c r="T410" s="42"/>
    </row>
    <row r="411">
      <c r="A411" s="13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42"/>
      <c r="O411" s="42"/>
      <c r="P411" s="42"/>
      <c r="Q411" s="42"/>
      <c r="R411" s="42"/>
      <c r="S411" s="42"/>
      <c r="T411" s="42"/>
    </row>
    <row r="412">
      <c r="A412" s="13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42"/>
      <c r="O412" s="42"/>
      <c r="P412" s="42"/>
      <c r="Q412" s="42"/>
      <c r="R412" s="42"/>
      <c r="S412" s="42"/>
      <c r="T412" s="42"/>
    </row>
    <row r="413">
      <c r="A413" s="13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42"/>
      <c r="O413" s="42"/>
      <c r="P413" s="42"/>
      <c r="Q413" s="42"/>
      <c r="R413" s="42"/>
      <c r="S413" s="42"/>
      <c r="T413" s="42"/>
    </row>
    <row r="414">
      <c r="A414" s="13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42"/>
      <c r="O414" s="42"/>
      <c r="P414" s="42"/>
      <c r="Q414" s="42"/>
      <c r="R414" s="42"/>
      <c r="S414" s="42"/>
      <c r="T414" s="42"/>
    </row>
    <row r="415">
      <c r="A415" s="13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42"/>
      <c r="O415" s="42"/>
      <c r="P415" s="42"/>
      <c r="Q415" s="42"/>
      <c r="R415" s="42"/>
      <c r="S415" s="42"/>
      <c r="T415" s="42"/>
    </row>
    <row r="416">
      <c r="A416" s="13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42"/>
      <c r="O416" s="42"/>
      <c r="P416" s="42"/>
      <c r="Q416" s="42"/>
      <c r="R416" s="42"/>
      <c r="S416" s="42"/>
      <c r="T416" s="42"/>
    </row>
    <row r="417">
      <c r="A417" s="13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42"/>
      <c r="O417" s="42"/>
      <c r="P417" s="42"/>
      <c r="Q417" s="42"/>
      <c r="R417" s="42"/>
      <c r="S417" s="42"/>
      <c r="T417" s="42"/>
    </row>
    <row r="418">
      <c r="A418" s="13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42"/>
      <c r="O418" s="42"/>
      <c r="P418" s="42"/>
      <c r="Q418" s="42"/>
      <c r="R418" s="42"/>
      <c r="S418" s="42"/>
      <c r="T418" s="42"/>
    </row>
    <row r="419">
      <c r="A419" s="13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42"/>
      <c r="O419" s="42"/>
      <c r="P419" s="42"/>
      <c r="Q419" s="42"/>
      <c r="R419" s="42"/>
      <c r="S419" s="42"/>
      <c r="T419" s="42"/>
    </row>
    <row r="420">
      <c r="A420" s="13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42"/>
      <c r="O420" s="42"/>
      <c r="P420" s="42"/>
      <c r="Q420" s="42"/>
      <c r="R420" s="42"/>
      <c r="S420" s="42"/>
      <c r="T420" s="42"/>
    </row>
    <row r="421">
      <c r="A421" s="13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42"/>
      <c r="O421" s="42"/>
      <c r="P421" s="42"/>
      <c r="Q421" s="42"/>
      <c r="R421" s="42"/>
      <c r="S421" s="42"/>
      <c r="T421" s="42"/>
    </row>
    <row r="422">
      <c r="A422" s="13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42"/>
      <c r="O422" s="42"/>
      <c r="P422" s="42"/>
      <c r="Q422" s="42"/>
      <c r="R422" s="42"/>
      <c r="S422" s="42"/>
      <c r="T422" s="42"/>
    </row>
    <row r="423">
      <c r="A423" s="13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42"/>
      <c r="O423" s="42"/>
      <c r="P423" s="42"/>
      <c r="Q423" s="42"/>
      <c r="R423" s="42"/>
      <c r="S423" s="42"/>
      <c r="T423" s="42"/>
    </row>
    <row r="424">
      <c r="A424" s="13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42"/>
      <c r="O424" s="42"/>
      <c r="P424" s="42"/>
      <c r="Q424" s="42"/>
      <c r="R424" s="42"/>
      <c r="S424" s="42"/>
      <c r="T424" s="42"/>
    </row>
    <row r="425">
      <c r="A425" s="13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42"/>
      <c r="O425" s="42"/>
      <c r="P425" s="42"/>
      <c r="Q425" s="42"/>
      <c r="R425" s="42"/>
      <c r="S425" s="42"/>
      <c r="T425" s="42"/>
    </row>
    <row r="426">
      <c r="A426" s="13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42"/>
      <c r="O426" s="42"/>
      <c r="P426" s="42"/>
      <c r="Q426" s="42"/>
      <c r="R426" s="42"/>
      <c r="S426" s="42"/>
      <c r="T426" s="42"/>
    </row>
    <row r="427">
      <c r="A427" s="13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42"/>
      <c r="O427" s="42"/>
      <c r="P427" s="42"/>
      <c r="Q427" s="42"/>
      <c r="R427" s="42"/>
      <c r="S427" s="42"/>
      <c r="T427" s="42"/>
    </row>
    <row r="428">
      <c r="A428" s="13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42"/>
      <c r="O428" s="42"/>
      <c r="P428" s="42"/>
      <c r="Q428" s="42"/>
      <c r="R428" s="42"/>
      <c r="S428" s="42"/>
      <c r="T428" s="42"/>
    </row>
    <row r="429">
      <c r="A429" s="13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42"/>
      <c r="O429" s="42"/>
      <c r="P429" s="42"/>
      <c r="Q429" s="42"/>
      <c r="R429" s="42"/>
      <c r="S429" s="42"/>
      <c r="T429" s="42"/>
    </row>
    <row r="430">
      <c r="A430" s="13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42"/>
      <c r="O430" s="42"/>
      <c r="P430" s="42"/>
      <c r="Q430" s="42"/>
      <c r="R430" s="42"/>
      <c r="S430" s="42"/>
      <c r="T430" s="42"/>
    </row>
    <row r="431">
      <c r="A431" s="13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42"/>
      <c r="O431" s="42"/>
      <c r="P431" s="42"/>
      <c r="Q431" s="42"/>
      <c r="R431" s="42"/>
      <c r="S431" s="42"/>
      <c r="T431" s="42"/>
    </row>
    <row r="432">
      <c r="A432" s="13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42"/>
      <c r="O432" s="42"/>
      <c r="P432" s="42"/>
      <c r="Q432" s="42"/>
      <c r="R432" s="42"/>
      <c r="S432" s="42"/>
      <c r="T432" s="42"/>
    </row>
    <row r="433">
      <c r="A433" s="13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42"/>
      <c r="O433" s="42"/>
      <c r="P433" s="42"/>
      <c r="Q433" s="42"/>
      <c r="R433" s="42"/>
      <c r="S433" s="42"/>
      <c r="T433" s="42"/>
    </row>
    <row r="434">
      <c r="A434" s="13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42"/>
      <c r="O434" s="42"/>
      <c r="P434" s="42"/>
      <c r="Q434" s="42"/>
      <c r="R434" s="42"/>
      <c r="S434" s="42"/>
      <c r="T434" s="42"/>
    </row>
    <row r="435">
      <c r="A435" s="13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42"/>
      <c r="O435" s="42"/>
      <c r="P435" s="42"/>
      <c r="Q435" s="42"/>
      <c r="R435" s="42"/>
      <c r="S435" s="42"/>
      <c r="T435" s="42"/>
    </row>
    <row r="436">
      <c r="A436" s="13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42"/>
      <c r="O436" s="42"/>
      <c r="P436" s="42"/>
      <c r="Q436" s="42"/>
      <c r="R436" s="42"/>
      <c r="S436" s="42"/>
      <c r="T436" s="42"/>
    </row>
    <row r="437">
      <c r="A437" s="13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42"/>
      <c r="O437" s="42"/>
      <c r="P437" s="42"/>
      <c r="Q437" s="42"/>
      <c r="R437" s="42"/>
      <c r="S437" s="42"/>
      <c r="T437" s="42"/>
    </row>
    <row r="438">
      <c r="A438" s="13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42"/>
      <c r="O438" s="42"/>
      <c r="P438" s="42"/>
      <c r="Q438" s="42"/>
      <c r="R438" s="42"/>
      <c r="S438" s="42"/>
      <c r="T438" s="42"/>
    </row>
    <row r="439">
      <c r="A439" s="13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42"/>
      <c r="O439" s="42"/>
      <c r="P439" s="42"/>
      <c r="Q439" s="42"/>
      <c r="R439" s="42"/>
      <c r="S439" s="42"/>
      <c r="T439" s="42"/>
    </row>
    <row r="440">
      <c r="A440" s="13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42"/>
      <c r="O440" s="42"/>
      <c r="P440" s="42"/>
      <c r="Q440" s="42"/>
      <c r="R440" s="42"/>
      <c r="S440" s="42"/>
      <c r="T440" s="42"/>
    </row>
    <row r="441">
      <c r="A441" s="13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42"/>
      <c r="O441" s="42"/>
      <c r="P441" s="42"/>
      <c r="Q441" s="42"/>
      <c r="R441" s="42"/>
      <c r="S441" s="42"/>
      <c r="T441" s="42"/>
    </row>
    <row r="442">
      <c r="A442" s="13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42"/>
      <c r="O442" s="42"/>
      <c r="P442" s="42"/>
      <c r="Q442" s="42"/>
      <c r="R442" s="42"/>
      <c r="S442" s="42"/>
      <c r="T442" s="42"/>
    </row>
    <row r="443">
      <c r="A443" s="13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42"/>
      <c r="O443" s="42"/>
      <c r="P443" s="42"/>
      <c r="Q443" s="42"/>
      <c r="R443" s="42"/>
      <c r="S443" s="42"/>
      <c r="T443" s="42"/>
    </row>
    <row r="444">
      <c r="A444" s="13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42"/>
      <c r="O444" s="42"/>
      <c r="P444" s="42"/>
      <c r="Q444" s="42"/>
      <c r="R444" s="42"/>
      <c r="S444" s="42"/>
      <c r="T444" s="42"/>
    </row>
    <row r="445">
      <c r="A445" s="13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42"/>
      <c r="O445" s="42"/>
      <c r="P445" s="42"/>
      <c r="Q445" s="42"/>
      <c r="R445" s="42"/>
      <c r="S445" s="42"/>
      <c r="T445" s="42"/>
    </row>
    <row r="446">
      <c r="A446" s="13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42"/>
      <c r="O446" s="42"/>
      <c r="P446" s="42"/>
      <c r="Q446" s="42"/>
      <c r="R446" s="42"/>
      <c r="S446" s="42"/>
      <c r="T446" s="42"/>
    </row>
    <row r="447">
      <c r="A447" s="13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42"/>
      <c r="O447" s="42"/>
      <c r="P447" s="42"/>
      <c r="Q447" s="42"/>
      <c r="R447" s="42"/>
      <c r="S447" s="42"/>
      <c r="T447" s="42"/>
    </row>
    <row r="448">
      <c r="A448" s="13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42"/>
      <c r="O448" s="42"/>
      <c r="P448" s="42"/>
      <c r="Q448" s="42"/>
      <c r="R448" s="42"/>
      <c r="S448" s="42"/>
      <c r="T448" s="42"/>
    </row>
    <row r="449">
      <c r="A449" s="13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42"/>
      <c r="O449" s="42"/>
      <c r="P449" s="42"/>
      <c r="Q449" s="42"/>
      <c r="R449" s="42"/>
      <c r="S449" s="42"/>
      <c r="T449" s="42"/>
    </row>
    <row r="450">
      <c r="A450" s="13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42"/>
      <c r="O450" s="42"/>
      <c r="P450" s="42"/>
      <c r="Q450" s="42"/>
      <c r="R450" s="42"/>
      <c r="S450" s="42"/>
      <c r="T450" s="42"/>
    </row>
    <row r="451">
      <c r="A451" s="13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42"/>
      <c r="O451" s="42"/>
      <c r="P451" s="42"/>
      <c r="Q451" s="42"/>
      <c r="R451" s="42"/>
      <c r="S451" s="42"/>
      <c r="T451" s="42"/>
    </row>
    <row r="452">
      <c r="A452" s="13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42"/>
      <c r="O452" s="42"/>
      <c r="P452" s="42"/>
      <c r="Q452" s="42"/>
      <c r="R452" s="42"/>
      <c r="S452" s="42"/>
      <c r="T452" s="42"/>
    </row>
    <row r="453">
      <c r="A453" s="13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42"/>
      <c r="O453" s="42"/>
      <c r="P453" s="42"/>
      <c r="Q453" s="42"/>
      <c r="R453" s="42"/>
      <c r="S453" s="42"/>
      <c r="T453" s="42"/>
    </row>
    <row r="454">
      <c r="A454" s="13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42"/>
      <c r="O454" s="42"/>
      <c r="P454" s="42"/>
      <c r="Q454" s="42"/>
      <c r="R454" s="42"/>
      <c r="S454" s="42"/>
      <c r="T454" s="42"/>
    </row>
    <row r="455">
      <c r="A455" s="13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42"/>
      <c r="O455" s="42"/>
      <c r="P455" s="42"/>
      <c r="Q455" s="42"/>
      <c r="R455" s="42"/>
      <c r="S455" s="42"/>
      <c r="T455" s="42"/>
    </row>
    <row r="456">
      <c r="A456" s="13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42"/>
      <c r="O456" s="42"/>
      <c r="P456" s="42"/>
      <c r="Q456" s="42"/>
      <c r="R456" s="42"/>
      <c r="S456" s="42"/>
      <c r="T456" s="42"/>
    </row>
    <row r="457">
      <c r="A457" s="13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42"/>
      <c r="O457" s="42"/>
      <c r="P457" s="42"/>
      <c r="Q457" s="42"/>
      <c r="R457" s="42"/>
      <c r="S457" s="42"/>
      <c r="T457" s="42"/>
    </row>
    <row r="458">
      <c r="A458" s="13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42"/>
      <c r="O458" s="42"/>
      <c r="P458" s="42"/>
      <c r="Q458" s="42"/>
      <c r="R458" s="42"/>
      <c r="S458" s="42"/>
      <c r="T458" s="42"/>
    </row>
    <row r="459">
      <c r="A459" s="13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42"/>
      <c r="O459" s="42"/>
      <c r="P459" s="42"/>
      <c r="Q459" s="42"/>
      <c r="R459" s="42"/>
      <c r="S459" s="42"/>
      <c r="T459" s="42"/>
    </row>
    <row r="460">
      <c r="A460" s="13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42"/>
      <c r="O460" s="42"/>
      <c r="P460" s="42"/>
      <c r="Q460" s="42"/>
      <c r="R460" s="42"/>
      <c r="S460" s="42"/>
      <c r="T460" s="42"/>
    </row>
    <row r="461">
      <c r="A461" s="13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42"/>
      <c r="O461" s="42"/>
      <c r="P461" s="42"/>
      <c r="Q461" s="42"/>
      <c r="R461" s="42"/>
      <c r="S461" s="42"/>
      <c r="T461" s="42"/>
    </row>
    <row r="462">
      <c r="A462" s="13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42"/>
      <c r="O462" s="42"/>
      <c r="P462" s="42"/>
      <c r="Q462" s="42"/>
      <c r="R462" s="42"/>
      <c r="S462" s="42"/>
      <c r="T462" s="42"/>
    </row>
    <row r="463">
      <c r="A463" s="13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42"/>
      <c r="O463" s="42"/>
      <c r="P463" s="42"/>
      <c r="Q463" s="42"/>
      <c r="R463" s="42"/>
      <c r="S463" s="42"/>
      <c r="T463" s="42"/>
    </row>
    <row r="464">
      <c r="A464" s="13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42"/>
      <c r="O464" s="42"/>
      <c r="P464" s="42"/>
      <c r="Q464" s="42"/>
      <c r="R464" s="42"/>
      <c r="S464" s="42"/>
      <c r="T464" s="42"/>
    </row>
    <row r="465">
      <c r="A465" s="13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42"/>
      <c r="O465" s="42"/>
      <c r="P465" s="42"/>
      <c r="Q465" s="42"/>
      <c r="R465" s="42"/>
      <c r="S465" s="42"/>
      <c r="T465" s="42"/>
    </row>
    <row r="466">
      <c r="A466" s="13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42"/>
      <c r="O466" s="42"/>
      <c r="P466" s="42"/>
      <c r="Q466" s="42"/>
      <c r="R466" s="42"/>
      <c r="S466" s="42"/>
      <c r="T466" s="42"/>
    </row>
    <row r="467">
      <c r="A467" s="13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42"/>
      <c r="O467" s="42"/>
      <c r="P467" s="42"/>
      <c r="Q467" s="42"/>
      <c r="R467" s="42"/>
      <c r="S467" s="42"/>
      <c r="T467" s="42"/>
    </row>
    <row r="468">
      <c r="A468" s="13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42"/>
      <c r="O468" s="42"/>
      <c r="P468" s="42"/>
      <c r="Q468" s="42"/>
      <c r="R468" s="42"/>
      <c r="S468" s="42"/>
      <c r="T468" s="42"/>
    </row>
    <row r="469">
      <c r="A469" s="13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42"/>
      <c r="O469" s="42"/>
      <c r="P469" s="42"/>
      <c r="Q469" s="42"/>
      <c r="R469" s="42"/>
      <c r="S469" s="42"/>
      <c r="T469" s="42"/>
    </row>
    <row r="470">
      <c r="A470" s="13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42"/>
      <c r="O470" s="42"/>
      <c r="P470" s="42"/>
      <c r="Q470" s="42"/>
      <c r="R470" s="42"/>
      <c r="S470" s="42"/>
      <c r="T470" s="42"/>
    </row>
    <row r="471">
      <c r="A471" s="13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42"/>
      <c r="O471" s="42"/>
      <c r="P471" s="42"/>
      <c r="Q471" s="42"/>
      <c r="R471" s="42"/>
      <c r="S471" s="42"/>
      <c r="T471" s="42"/>
    </row>
    <row r="472">
      <c r="A472" s="13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42"/>
      <c r="O472" s="42"/>
      <c r="P472" s="42"/>
      <c r="Q472" s="42"/>
      <c r="R472" s="42"/>
      <c r="S472" s="42"/>
      <c r="T472" s="42"/>
    </row>
    <row r="473">
      <c r="A473" s="13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42"/>
      <c r="O473" s="42"/>
      <c r="P473" s="42"/>
      <c r="Q473" s="42"/>
      <c r="R473" s="42"/>
      <c r="S473" s="42"/>
      <c r="T473" s="42"/>
    </row>
    <row r="474">
      <c r="A474" s="13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42"/>
      <c r="O474" s="42"/>
      <c r="P474" s="42"/>
      <c r="Q474" s="42"/>
      <c r="R474" s="42"/>
      <c r="S474" s="42"/>
      <c r="T474" s="42"/>
    </row>
    <row r="475">
      <c r="A475" s="13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42"/>
      <c r="O475" s="42"/>
      <c r="P475" s="42"/>
      <c r="Q475" s="42"/>
      <c r="R475" s="42"/>
      <c r="S475" s="42"/>
      <c r="T475" s="42"/>
    </row>
    <row r="476">
      <c r="A476" s="13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42"/>
      <c r="O476" s="42"/>
      <c r="P476" s="42"/>
      <c r="Q476" s="42"/>
      <c r="R476" s="42"/>
      <c r="S476" s="42"/>
      <c r="T476" s="42"/>
    </row>
    <row r="477">
      <c r="A477" s="13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42"/>
      <c r="O477" s="42"/>
      <c r="P477" s="42"/>
      <c r="Q477" s="42"/>
      <c r="R477" s="42"/>
      <c r="S477" s="42"/>
      <c r="T477" s="42"/>
    </row>
    <row r="478">
      <c r="A478" s="13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42"/>
      <c r="O478" s="42"/>
      <c r="P478" s="42"/>
      <c r="Q478" s="42"/>
      <c r="R478" s="42"/>
      <c r="S478" s="42"/>
      <c r="T478" s="42"/>
    </row>
    <row r="479">
      <c r="A479" s="13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42"/>
      <c r="O479" s="42"/>
      <c r="P479" s="42"/>
      <c r="Q479" s="42"/>
      <c r="R479" s="42"/>
      <c r="S479" s="42"/>
      <c r="T479" s="42"/>
    </row>
    <row r="480">
      <c r="A480" s="13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42"/>
      <c r="O480" s="42"/>
      <c r="P480" s="42"/>
      <c r="Q480" s="42"/>
      <c r="R480" s="42"/>
      <c r="S480" s="42"/>
      <c r="T480" s="42"/>
    </row>
    <row r="481">
      <c r="A481" s="13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42"/>
      <c r="O481" s="42"/>
      <c r="P481" s="42"/>
      <c r="Q481" s="42"/>
      <c r="R481" s="42"/>
      <c r="S481" s="42"/>
      <c r="T481" s="42"/>
    </row>
    <row r="482">
      <c r="A482" s="13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42"/>
      <c r="O482" s="42"/>
      <c r="P482" s="42"/>
      <c r="Q482" s="42"/>
      <c r="R482" s="42"/>
      <c r="S482" s="42"/>
      <c r="T482" s="42"/>
    </row>
    <row r="483">
      <c r="A483" s="13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42"/>
      <c r="O483" s="42"/>
      <c r="P483" s="42"/>
      <c r="Q483" s="42"/>
      <c r="R483" s="42"/>
      <c r="S483" s="42"/>
      <c r="T483" s="42"/>
    </row>
    <row r="484">
      <c r="A484" s="13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42"/>
      <c r="O484" s="42"/>
      <c r="P484" s="42"/>
      <c r="Q484" s="42"/>
      <c r="R484" s="42"/>
      <c r="S484" s="42"/>
      <c r="T484" s="42"/>
    </row>
    <row r="485">
      <c r="A485" s="13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42"/>
      <c r="O485" s="42"/>
      <c r="P485" s="42"/>
      <c r="Q485" s="42"/>
      <c r="R485" s="42"/>
      <c r="S485" s="42"/>
      <c r="T485" s="42"/>
    </row>
    <row r="486">
      <c r="A486" s="13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42"/>
      <c r="O486" s="42"/>
      <c r="P486" s="42"/>
      <c r="Q486" s="42"/>
      <c r="R486" s="42"/>
      <c r="S486" s="42"/>
      <c r="T486" s="42"/>
    </row>
    <row r="487">
      <c r="A487" s="13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42"/>
      <c r="O487" s="42"/>
      <c r="P487" s="42"/>
      <c r="Q487" s="42"/>
      <c r="R487" s="42"/>
      <c r="S487" s="42"/>
      <c r="T487" s="42"/>
    </row>
    <row r="488">
      <c r="A488" s="13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42"/>
      <c r="O488" s="42"/>
      <c r="P488" s="42"/>
      <c r="Q488" s="42"/>
      <c r="R488" s="42"/>
      <c r="S488" s="42"/>
      <c r="T488" s="42"/>
    </row>
    <row r="489">
      <c r="A489" s="13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42"/>
      <c r="O489" s="42"/>
      <c r="P489" s="42"/>
      <c r="Q489" s="42"/>
      <c r="R489" s="42"/>
      <c r="S489" s="42"/>
      <c r="T489" s="42"/>
    </row>
    <row r="490">
      <c r="A490" s="13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42"/>
      <c r="O490" s="42"/>
      <c r="P490" s="42"/>
      <c r="Q490" s="42"/>
      <c r="R490" s="42"/>
      <c r="S490" s="42"/>
      <c r="T490" s="42"/>
    </row>
    <row r="491">
      <c r="A491" s="13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42"/>
      <c r="O491" s="42"/>
      <c r="P491" s="42"/>
      <c r="Q491" s="42"/>
      <c r="R491" s="42"/>
      <c r="S491" s="42"/>
      <c r="T491" s="42"/>
    </row>
    <row r="492">
      <c r="A492" s="13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42"/>
      <c r="O492" s="42"/>
      <c r="P492" s="42"/>
      <c r="Q492" s="42"/>
      <c r="R492" s="42"/>
      <c r="S492" s="42"/>
      <c r="T492" s="42"/>
    </row>
    <row r="493">
      <c r="A493" s="13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42"/>
      <c r="O493" s="42"/>
      <c r="P493" s="42"/>
      <c r="Q493" s="42"/>
      <c r="R493" s="42"/>
      <c r="S493" s="42"/>
      <c r="T493" s="42"/>
    </row>
    <row r="494">
      <c r="A494" s="13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42"/>
      <c r="O494" s="42"/>
      <c r="P494" s="42"/>
      <c r="Q494" s="42"/>
      <c r="R494" s="42"/>
      <c r="S494" s="42"/>
      <c r="T494" s="42"/>
    </row>
    <row r="495">
      <c r="A495" s="13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42"/>
      <c r="O495" s="42"/>
      <c r="P495" s="42"/>
      <c r="Q495" s="42"/>
      <c r="R495" s="42"/>
      <c r="S495" s="42"/>
      <c r="T495" s="42"/>
    </row>
    <row r="496">
      <c r="A496" s="13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42"/>
      <c r="O496" s="42"/>
      <c r="P496" s="42"/>
      <c r="Q496" s="42"/>
      <c r="R496" s="42"/>
      <c r="S496" s="42"/>
      <c r="T496" s="42"/>
    </row>
    <row r="497">
      <c r="A497" s="13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42"/>
      <c r="O497" s="42"/>
      <c r="P497" s="42"/>
      <c r="Q497" s="42"/>
      <c r="R497" s="42"/>
      <c r="S497" s="42"/>
      <c r="T497" s="42"/>
    </row>
    <row r="498">
      <c r="A498" s="13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42"/>
      <c r="O498" s="42"/>
      <c r="P498" s="42"/>
      <c r="Q498" s="42"/>
      <c r="R498" s="42"/>
      <c r="S498" s="42"/>
      <c r="T498" s="42"/>
    </row>
    <row r="499">
      <c r="A499" s="13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42"/>
      <c r="O499" s="42"/>
      <c r="P499" s="42"/>
      <c r="Q499" s="42"/>
      <c r="R499" s="42"/>
      <c r="S499" s="42"/>
      <c r="T499" s="42"/>
    </row>
    <row r="500">
      <c r="A500" s="13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42"/>
      <c r="O500" s="42"/>
      <c r="P500" s="42"/>
      <c r="Q500" s="42"/>
      <c r="R500" s="42"/>
      <c r="S500" s="42"/>
      <c r="T500" s="42"/>
    </row>
    <row r="501">
      <c r="A501" s="13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42"/>
      <c r="O501" s="42"/>
      <c r="P501" s="42"/>
      <c r="Q501" s="42"/>
      <c r="R501" s="42"/>
      <c r="S501" s="42"/>
      <c r="T501" s="42"/>
    </row>
    <row r="502">
      <c r="A502" s="13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42"/>
      <c r="O502" s="42"/>
      <c r="P502" s="42"/>
      <c r="Q502" s="42"/>
      <c r="R502" s="42"/>
      <c r="S502" s="42"/>
      <c r="T502" s="42"/>
    </row>
    <row r="503">
      <c r="A503" s="13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42"/>
      <c r="O503" s="42"/>
      <c r="P503" s="42"/>
      <c r="Q503" s="42"/>
      <c r="R503" s="42"/>
      <c r="S503" s="42"/>
      <c r="T503" s="42"/>
    </row>
    <row r="504">
      <c r="A504" s="13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42"/>
      <c r="O504" s="42"/>
      <c r="P504" s="42"/>
      <c r="Q504" s="42"/>
      <c r="R504" s="42"/>
      <c r="S504" s="42"/>
      <c r="T504" s="42"/>
    </row>
    <row r="505">
      <c r="A505" s="13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42"/>
      <c r="O505" s="42"/>
      <c r="P505" s="42"/>
      <c r="Q505" s="42"/>
      <c r="R505" s="42"/>
      <c r="S505" s="42"/>
      <c r="T505" s="42"/>
    </row>
    <row r="506">
      <c r="A506" s="13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42"/>
      <c r="O506" s="42"/>
      <c r="P506" s="42"/>
      <c r="Q506" s="42"/>
      <c r="R506" s="42"/>
      <c r="S506" s="42"/>
      <c r="T506" s="42"/>
    </row>
    <row r="507">
      <c r="A507" s="13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42"/>
      <c r="O507" s="42"/>
      <c r="P507" s="42"/>
      <c r="Q507" s="42"/>
      <c r="R507" s="42"/>
      <c r="S507" s="42"/>
      <c r="T507" s="42"/>
    </row>
    <row r="508">
      <c r="A508" s="13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42"/>
      <c r="O508" s="42"/>
      <c r="P508" s="42"/>
      <c r="Q508" s="42"/>
      <c r="R508" s="42"/>
      <c r="S508" s="42"/>
      <c r="T508" s="42"/>
    </row>
    <row r="509">
      <c r="A509" s="13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42"/>
      <c r="O509" s="42"/>
      <c r="P509" s="42"/>
      <c r="Q509" s="42"/>
      <c r="R509" s="42"/>
      <c r="S509" s="42"/>
      <c r="T509" s="42"/>
    </row>
    <row r="510">
      <c r="A510" s="13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42"/>
      <c r="O510" s="42"/>
      <c r="P510" s="42"/>
      <c r="Q510" s="42"/>
      <c r="R510" s="42"/>
      <c r="S510" s="42"/>
      <c r="T510" s="42"/>
    </row>
    <row r="511">
      <c r="A511" s="13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42"/>
      <c r="O511" s="42"/>
      <c r="P511" s="42"/>
      <c r="Q511" s="42"/>
      <c r="R511" s="42"/>
      <c r="S511" s="42"/>
      <c r="T511" s="42"/>
    </row>
    <row r="512">
      <c r="A512" s="13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42"/>
      <c r="O512" s="42"/>
      <c r="P512" s="42"/>
      <c r="Q512" s="42"/>
      <c r="R512" s="42"/>
      <c r="S512" s="42"/>
      <c r="T512" s="42"/>
    </row>
    <row r="513">
      <c r="A513" s="13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42"/>
      <c r="O513" s="42"/>
      <c r="P513" s="42"/>
      <c r="Q513" s="42"/>
      <c r="R513" s="42"/>
      <c r="S513" s="42"/>
      <c r="T513" s="42"/>
    </row>
    <row r="514">
      <c r="A514" s="13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42"/>
      <c r="O514" s="42"/>
      <c r="P514" s="42"/>
      <c r="Q514" s="42"/>
      <c r="R514" s="42"/>
      <c r="S514" s="42"/>
      <c r="T514" s="42"/>
    </row>
    <row r="515">
      <c r="A515" s="13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42"/>
      <c r="O515" s="42"/>
      <c r="P515" s="42"/>
      <c r="Q515" s="42"/>
      <c r="R515" s="42"/>
      <c r="S515" s="42"/>
      <c r="T515" s="42"/>
    </row>
    <row r="516">
      <c r="A516" s="13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42"/>
      <c r="O516" s="42"/>
      <c r="P516" s="42"/>
      <c r="Q516" s="42"/>
      <c r="R516" s="42"/>
      <c r="S516" s="42"/>
      <c r="T516" s="42"/>
    </row>
    <row r="517">
      <c r="A517" s="13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42"/>
      <c r="O517" s="42"/>
      <c r="P517" s="42"/>
      <c r="Q517" s="42"/>
      <c r="R517" s="42"/>
      <c r="S517" s="42"/>
      <c r="T517" s="42"/>
    </row>
    <row r="518">
      <c r="A518" s="13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42"/>
      <c r="O518" s="42"/>
      <c r="P518" s="42"/>
      <c r="Q518" s="42"/>
      <c r="R518" s="42"/>
      <c r="S518" s="42"/>
      <c r="T518" s="42"/>
    </row>
    <row r="519">
      <c r="A519" s="13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42"/>
      <c r="O519" s="42"/>
      <c r="P519" s="42"/>
      <c r="Q519" s="42"/>
      <c r="R519" s="42"/>
      <c r="S519" s="42"/>
      <c r="T519" s="42"/>
    </row>
    <row r="520">
      <c r="A520" s="13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42"/>
      <c r="O520" s="42"/>
      <c r="P520" s="42"/>
      <c r="Q520" s="42"/>
      <c r="R520" s="42"/>
      <c r="S520" s="42"/>
      <c r="T520" s="42"/>
    </row>
    <row r="521">
      <c r="A521" s="13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42"/>
      <c r="O521" s="42"/>
      <c r="P521" s="42"/>
      <c r="Q521" s="42"/>
      <c r="R521" s="42"/>
      <c r="S521" s="42"/>
      <c r="T521" s="42"/>
    </row>
    <row r="522">
      <c r="A522" s="13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42"/>
      <c r="O522" s="42"/>
      <c r="P522" s="42"/>
      <c r="Q522" s="42"/>
      <c r="R522" s="42"/>
      <c r="S522" s="42"/>
      <c r="T522" s="42"/>
    </row>
    <row r="523">
      <c r="A523" s="13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42"/>
      <c r="O523" s="42"/>
      <c r="P523" s="42"/>
      <c r="Q523" s="42"/>
      <c r="R523" s="42"/>
      <c r="S523" s="42"/>
      <c r="T523" s="42"/>
    </row>
    <row r="524">
      <c r="A524" s="13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42"/>
      <c r="O524" s="42"/>
      <c r="P524" s="42"/>
      <c r="Q524" s="42"/>
      <c r="R524" s="42"/>
      <c r="S524" s="42"/>
      <c r="T524" s="42"/>
    </row>
    <row r="525">
      <c r="A525" s="13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42"/>
      <c r="O525" s="42"/>
      <c r="P525" s="42"/>
      <c r="Q525" s="42"/>
      <c r="R525" s="42"/>
      <c r="S525" s="42"/>
      <c r="T525" s="42"/>
    </row>
    <row r="526">
      <c r="A526" s="13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42"/>
      <c r="O526" s="42"/>
      <c r="P526" s="42"/>
      <c r="Q526" s="42"/>
      <c r="R526" s="42"/>
      <c r="S526" s="42"/>
      <c r="T526" s="42"/>
    </row>
    <row r="527">
      <c r="A527" s="13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42"/>
      <c r="O527" s="42"/>
      <c r="P527" s="42"/>
      <c r="Q527" s="42"/>
      <c r="R527" s="42"/>
      <c r="S527" s="42"/>
      <c r="T527" s="42"/>
    </row>
    <row r="528">
      <c r="A528" s="13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42"/>
      <c r="O528" s="42"/>
      <c r="P528" s="42"/>
      <c r="Q528" s="42"/>
      <c r="R528" s="42"/>
      <c r="S528" s="42"/>
      <c r="T528" s="42"/>
    </row>
    <row r="529">
      <c r="A529" s="13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42"/>
      <c r="O529" s="42"/>
      <c r="P529" s="42"/>
      <c r="Q529" s="42"/>
      <c r="R529" s="42"/>
      <c r="S529" s="42"/>
      <c r="T529" s="42"/>
    </row>
    <row r="530">
      <c r="A530" s="13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42"/>
      <c r="O530" s="42"/>
      <c r="P530" s="42"/>
      <c r="Q530" s="42"/>
      <c r="R530" s="42"/>
      <c r="S530" s="42"/>
      <c r="T530" s="42"/>
    </row>
    <row r="531">
      <c r="A531" s="13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42"/>
      <c r="O531" s="42"/>
      <c r="P531" s="42"/>
      <c r="Q531" s="42"/>
      <c r="R531" s="42"/>
      <c r="S531" s="42"/>
      <c r="T531" s="42"/>
    </row>
    <row r="532">
      <c r="A532" s="13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42"/>
      <c r="O532" s="42"/>
      <c r="P532" s="42"/>
      <c r="Q532" s="42"/>
      <c r="R532" s="42"/>
      <c r="S532" s="42"/>
      <c r="T532" s="42"/>
    </row>
    <row r="533">
      <c r="A533" s="13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42"/>
      <c r="O533" s="42"/>
      <c r="P533" s="42"/>
      <c r="Q533" s="42"/>
      <c r="R533" s="42"/>
      <c r="S533" s="42"/>
      <c r="T533" s="42"/>
    </row>
    <row r="534">
      <c r="A534" s="13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42"/>
      <c r="O534" s="42"/>
      <c r="P534" s="42"/>
      <c r="Q534" s="42"/>
      <c r="R534" s="42"/>
      <c r="S534" s="42"/>
      <c r="T534" s="42"/>
    </row>
    <row r="535">
      <c r="A535" s="13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42"/>
      <c r="O535" s="42"/>
      <c r="P535" s="42"/>
      <c r="Q535" s="42"/>
      <c r="R535" s="42"/>
      <c r="S535" s="42"/>
      <c r="T535" s="42"/>
    </row>
    <row r="536">
      <c r="A536" s="13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42"/>
      <c r="O536" s="42"/>
      <c r="P536" s="42"/>
      <c r="Q536" s="42"/>
      <c r="R536" s="42"/>
      <c r="S536" s="42"/>
      <c r="T536" s="42"/>
    </row>
    <row r="537">
      <c r="A537" s="13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42"/>
      <c r="O537" s="42"/>
      <c r="P537" s="42"/>
      <c r="Q537" s="42"/>
      <c r="R537" s="42"/>
      <c r="S537" s="42"/>
      <c r="T537" s="42"/>
    </row>
    <row r="538">
      <c r="A538" s="13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42"/>
      <c r="O538" s="42"/>
      <c r="P538" s="42"/>
      <c r="Q538" s="42"/>
      <c r="R538" s="42"/>
      <c r="S538" s="42"/>
      <c r="T538" s="42"/>
    </row>
    <row r="539">
      <c r="A539" s="13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42"/>
      <c r="O539" s="42"/>
      <c r="P539" s="42"/>
      <c r="Q539" s="42"/>
      <c r="R539" s="42"/>
      <c r="S539" s="42"/>
      <c r="T539" s="42"/>
    </row>
    <row r="540">
      <c r="A540" s="13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42"/>
      <c r="O540" s="42"/>
      <c r="P540" s="42"/>
      <c r="Q540" s="42"/>
      <c r="R540" s="42"/>
      <c r="S540" s="42"/>
      <c r="T540" s="42"/>
    </row>
    <row r="541">
      <c r="A541" s="13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42"/>
      <c r="O541" s="42"/>
      <c r="P541" s="42"/>
      <c r="Q541" s="42"/>
      <c r="R541" s="42"/>
      <c r="S541" s="42"/>
      <c r="T541" s="42"/>
    </row>
    <row r="542">
      <c r="A542" s="13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42"/>
      <c r="O542" s="42"/>
      <c r="P542" s="42"/>
      <c r="Q542" s="42"/>
      <c r="R542" s="42"/>
      <c r="S542" s="42"/>
      <c r="T542" s="42"/>
    </row>
    <row r="543">
      <c r="A543" s="13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42"/>
      <c r="O543" s="42"/>
      <c r="P543" s="42"/>
      <c r="Q543" s="42"/>
      <c r="R543" s="42"/>
      <c r="S543" s="42"/>
      <c r="T543" s="42"/>
    </row>
    <row r="544">
      <c r="A544" s="13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42"/>
      <c r="O544" s="42"/>
      <c r="P544" s="42"/>
      <c r="Q544" s="42"/>
      <c r="R544" s="42"/>
      <c r="S544" s="42"/>
      <c r="T544" s="42"/>
    </row>
    <row r="545">
      <c r="A545" s="13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42"/>
      <c r="O545" s="42"/>
      <c r="P545" s="42"/>
      <c r="Q545" s="42"/>
      <c r="R545" s="42"/>
      <c r="S545" s="42"/>
      <c r="T545" s="42"/>
    </row>
    <row r="546">
      <c r="A546" s="13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42"/>
      <c r="O546" s="42"/>
      <c r="P546" s="42"/>
      <c r="Q546" s="42"/>
      <c r="R546" s="42"/>
      <c r="S546" s="42"/>
      <c r="T546" s="42"/>
    </row>
    <row r="547">
      <c r="A547" s="13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42"/>
      <c r="O547" s="42"/>
      <c r="P547" s="42"/>
      <c r="Q547" s="42"/>
      <c r="R547" s="42"/>
      <c r="S547" s="42"/>
      <c r="T547" s="42"/>
    </row>
    <row r="548">
      <c r="A548" s="13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42"/>
      <c r="O548" s="42"/>
      <c r="P548" s="42"/>
      <c r="Q548" s="42"/>
      <c r="R548" s="42"/>
      <c r="S548" s="42"/>
      <c r="T548" s="42"/>
    </row>
    <row r="549">
      <c r="A549" s="13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42"/>
      <c r="O549" s="42"/>
      <c r="P549" s="42"/>
      <c r="Q549" s="42"/>
      <c r="R549" s="42"/>
      <c r="S549" s="42"/>
      <c r="T549" s="42"/>
    </row>
    <row r="550">
      <c r="A550" s="13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42"/>
      <c r="O550" s="42"/>
      <c r="P550" s="42"/>
      <c r="Q550" s="42"/>
      <c r="R550" s="42"/>
      <c r="S550" s="42"/>
      <c r="T550" s="42"/>
    </row>
    <row r="551">
      <c r="A551" s="13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42"/>
      <c r="O551" s="42"/>
      <c r="P551" s="42"/>
      <c r="Q551" s="42"/>
      <c r="R551" s="42"/>
      <c r="S551" s="42"/>
      <c r="T551" s="42"/>
    </row>
    <row r="552">
      <c r="A552" s="13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42"/>
      <c r="O552" s="42"/>
      <c r="P552" s="42"/>
      <c r="Q552" s="42"/>
      <c r="R552" s="42"/>
      <c r="S552" s="42"/>
      <c r="T552" s="42"/>
    </row>
    <row r="553">
      <c r="A553" s="13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42"/>
      <c r="O553" s="42"/>
      <c r="P553" s="42"/>
      <c r="Q553" s="42"/>
      <c r="R553" s="42"/>
      <c r="S553" s="42"/>
      <c r="T553" s="42"/>
    </row>
    <row r="554">
      <c r="A554" s="13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42"/>
      <c r="O554" s="42"/>
      <c r="P554" s="42"/>
      <c r="Q554" s="42"/>
      <c r="R554" s="42"/>
      <c r="S554" s="42"/>
      <c r="T554" s="42"/>
    </row>
    <row r="555">
      <c r="A555" s="13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42"/>
      <c r="O555" s="42"/>
      <c r="P555" s="42"/>
      <c r="Q555" s="42"/>
      <c r="R555" s="42"/>
      <c r="S555" s="42"/>
      <c r="T555" s="42"/>
    </row>
    <row r="556">
      <c r="A556" s="13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42"/>
      <c r="O556" s="42"/>
      <c r="P556" s="42"/>
      <c r="Q556" s="42"/>
      <c r="R556" s="42"/>
      <c r="S556" s="42"/>
      <c r="T556" s="42"/>
    </row>
    <row r="557">
      <c r="A557" s="13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42"/>
      <c r="O557" s="42"/>
      <c r="P557" s="42"/>
      <c r="Q557" s="42"/>
      <c r="R557" s="42"/>
      <c r="S557" s="42"/>
      <c r="T557" s="42"/>
    </row>
    <row r="558">
      <c r="A558" s="13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42"/>
      <c r="O558" s="42"/>
      <c r="P558" s="42"/>
      <c r="Q558" s="42"/>
      <c r="R558" s="42"/>
      <c r="S558" s="42"/>
      <c r="T558" s="42"/>
    </row>
    <row r="559">
      <c r="A559" s="13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42"/>
      <c r="O559" s="42"/>
      <c r="P559" s="42"/>
      <c r="Q559" s="42"/>
      <c r="R559" s="42"/>
      <c r="S559" s="42"/>
      <c r="T559" s="42"/>
    </row>
    <row r="560">
      <c r="A560" s="13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42"/>
      <c r="O560" s="42"/>
      <c r="P560" s="42"/>
      <c r="Q560" s="42"/>
      <c r="R560" s="42"/>
      <c r="S560" s="42"/>
      <c r="T560" s="42"/>
    </row>
    <row r="561">
      <c r="A561" s="13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42"/>
      <c r="O561" s="42"/>
      <c r="P561" s="42"/>
      <c r="Q561" s="42"/>
      <c r="R561" s="42"/>
      <c r="S561" s="42"/>
      <c r="T561" s="42"/>
    </row>
    <row r="562">
      <c r="A562" s="13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42"/>
      <c r="O562" s="42"/>
      <c r="P562" s="42"/>
      <c r="Q562" s="42"/>
      <c r="R562" s="42"/>
      <c r="S562" s="42"/>
      <c r="T562" s="42"/>
    </row>
    <row r="563">
      <c r="A563" s="13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42"/>
      <c r="O563" s="42"/>
      <c r="P563" s="42"/>
      <c r="Q563" s="42"/>
      <c r="R563" s="42"/>
      <c r="S563" s="42"/>
      <c r="T563" s="42"/>
    </row>
    <row r="564">
      <c r="A564" s="13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42"/>
      <c r="O564" s="42"/>
      <c r="P564" s="42"/>
      <c r="Q564" s="42"/>
      <c r="R564" s="42"/>
      <c r="S564" s="42"/>
      <c r="T564" s="42"/>
    </row>
    <row r="565">
      <c r="A565" s="13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42"/>
      <c r="O565" s="42"/>
      <c r="P565" s="42"/>
      <c r="Q565" s="42"/>
      <c r="R565" s="42"/>
      <c r="S565" s="42"/>
      <c r="T565" s="42"/>
    </row>
    <row r="566">
      <c r="A566" s="13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42"/>
      <c r="O566" s="42"/>
      <c r="P566" s="42"/>
      <c r="Q566" s="42"/>
      <c r="R566" s="42"/>
      <c r="S566" s="42"/>
      <c r="T566" s="42"/>
    </row>
    <row r="567">
      <c r="A567" s="13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42"/>
      <c r="O567" s="42"/>
      <c r="P567" s="42"/>
      <c r="Q567" s="42"/>
      <c r="R567" s="42"/>
      <c r="S567" s="42"/>
      <c r="T567" s="42"/>
    </row>
    <row r="568">
      <c r="A568" s="13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42"/>
      <c r="O568" s="42"/>
      <c r="P568" s="42"/>
      <c r="Q568" s="42"/>
      <c r="R568" s="42"/>
      <c r="S568" s="42"/>
      <c r="T568" s="42"/>
    </row>
    <row r="569">
      <c r="A569" s="13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42"/>
      <c r="O569" s="42"/>
      <c r="P569" s="42"/>
      <c r="Q569" s="42"/>
      <c r="R569" s="42"/>
      <c r="S569" s="42"/>
      <c r="T569" s="42"/>
    </row>
    <row r="570">
      <c r="A570" s="13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42"/>
      <c r="O570" s="42"/>
      <c r="P570" s="42"/>
      <c r="Q570" s="42"/>
      <c r="R570" s="42"/>
      <c r="S570" s="42"/>
      <c r="T570" s="42"/>
    </row>
    <row r="571">
      <c r="A571" s="13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42"/>
      <c r="O571" s="42"/>
      <c r="P571" s="42"/>
      <c r="Q571" s="42"/>
      <c r="R571" s="42"/>
      <c r="S571" s="42"/>
      <c r="T571" s="42"/>
    </row>
    <row r="572">
      <c r="A572" s="13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42"/>
      <c r="O572" s="42"/>
      <c r="P572" s="42"/>
      <c r="Q572" s="42"/>
      <c r="R572" s="42"/>
      <c r="S572" s="42"/>
      <c r="T572" s="42"/>
    </row>
    <row r="573">
      <c r="A573" s="13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42"/>
      <c r="O573" s="42"/>
      <c r="P573" s="42"/>
      <c r="Q573" s="42"/>
      <c r="R573" s="42"/>
      <c r="S573" s="42"/>
      <c r="T573" s="42"/>
    </row>
    <row r="574">
      <c r="A574" s="13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42"/>
      <c r="O574" s="42"/>
      <c r="P574" s="42"/>
      <c r="Q574" s="42"/>
      <c r="R574" s="42"/>
      <c r="S574" s="42"/>
      <c r="T574" s="42"/>
    </row>
    <row r="575">
      <c r="A575" s="13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42"/>
      <c r="O575" s="42"/>
      <c r="P575" s="42"/>
      <c r="Q575" s="42"/>
      <c r="R575" s="42"/>
      <c r="S575" s="42"/>
      <c r="T575" s="42"/>
    </row>
    <row r="576">
      <c r="A576" s="13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42"/>
      <c r="O576" s="42"/>
      <c r="P576" s="42"/>
      <c r="Q576" s="42"/>
      <c r="R576" s="42"/>
      <c r="S576" s="42"/>
      <c r="T576" s="42"/>
    </row>
    <row r="577">
      <c r="A577" s="13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42"/>
      <c r="O577" s="42"/>
      <c r="P577" s="42"/>
      <c r="Q577" s="42"/>
      <c r="R577" s="42"/>
      <c r="S577" s="42"/>
      <c r="T577" s="42"/>
    </row>
    <row r="578">
      <c r="A578" s="13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42"/>
      <c r="O578" s="42"/>
      <c r="P578" s="42"/>
      <c r="Q578" s="42"/>
      <c r="R578" s="42"/>
      <c r="S578" s="42"/>
      <c r="T578" s="42"/>
    </row>
    <row r="579">
      <c r="A579" s="13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42"/>
      <c r="O579" s="42"/>
      <c r="P579" s="42"/>
      <c r="Q579" s="42"/>
      <c r="R579" s="42"/>
      <c r="S579" s="42"/>
      <c r="T579" s="42"/>
    </row>
    <row r="580">
      <c r="A580" s="13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42"/>
      <c r="O580" s="42"/>
      <c r="P580" s="42"/>
      <c r="Q580" s="42"/>
      <c r="R580" s="42"/>
      <c r="S580" s="42"/>
      <c r="T580" s="42"/>
    </row>
    <row r="581">
      <c r="A581" s="13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42"/>
      <c r="O581" s="42"/>
      <c r="P581" s="42"/>
      <c r="Q581" s="42"/>
      <c r="R581" s="42"/>
      <c r="S581" s="42"/>
      <c r="T581" s="42"/>
    </row>
    <row r="582">
      <c r="A582" s="13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42"/>
      <c r="O582" s="42"/>
      <c r="P582" s="42"/>
      <c r="Q582" s="42"/>
      <c r="R582" s="42"/>
      <c r="S582" s="42"/>
      <c r="T582" s="42"/>
    </row>
    <row r="583">
      <c r="A583" s="13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42"/>
      <c r="O583" s="42"/>
      <c r="P583" s="42"/>
      <c r="Q583" s="42"/>
      <c r="R583" s="42"/>
      <c r="S583" s="42"/>
      <c r="T583" s="42"/>
    </row>
    <row r="584">
      <c r="A584" s="13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42"/>
      <c r="O584" s="42"/>
      <c r="P584" s="42"/>
      <c r="Q584" s="42"/>
      <c r="R584" s="42"/>
      <c r="S584" s="42"/>
      <c r="T584" s="42"/>
    </row>
    <row r="585">
      <c r="A585" s="13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42"/>
      <c r="O585" s="42"/>
      <c r="P585" s="42"/>
      <c r="Q585" s="42"/>
      <c r="R585" s="42"/>
      <c r="S585" s="42"/>
      <c r="T585" s="42"/>
    </row>
    <row r="586">
      <c r="A586" s="13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42"/>
      <c r="O586" s="42"/>
      <c r="P586" s="42"/>
      <c r="Q586" s="42"/>
      <c r="R586" s="42"/>
      <c r="S586" s="42"/>
      <c r="T586" s="42"/>
    </row>
    <row r="587">
      <c r="A587" s="13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42"/>
      <c r="O587" s="42"/>
      <c r="P587" s="42"/>
      <c r="Q587" s="42"/>
      <c r="R587" s="42"/>
      <c r="S587" s="42"/>
      <c r="T587" s="42"/>
    </row>
    <row r="588">
      <c r="A588" s="13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42"/>
      <c r="O588" s="42"/>
      <c r="P588" s="42"/>
      <c r="Q588" s="42"/>
      <c r="R588" s="42"/>
      <c r="S588" s="42"/>
      <c r="T588" s="42"/>
    </row>
    <row r="589">
      <c r="A589" s="13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42"/>
      <c r="O589" s="42"/>
      <c r="P589" s="42"/>
      <c r="Q589" s="42"/>
      <c r="R589" s="42"/>
      <c r="S589" s="42"/>
      <c r="T589" s="42"/>
    </row>
    <row r="590">
      <c r="A590" s="13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42"/>
      <c r="O590" s="42"/>
      <c r="P590" s="42"/>
      <c r="Q590" s="42"/>
      <c r="R590" s="42"/>
      <c r="S590" s="42"/>
      <c r="T590" s="42"/>
    </row>
    <row r="591">
      <c r="A591" s="13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42"/>
      <c r="O591" s="42"/>
      <c r="P591" s="42"/>
      <c r="Q591" s="42"/>
      <c r="R591" s="42"/>
      <c r="S591" s="42"/>
      <c r="T591" s="42"/>
    </row>
    <row r="592">
      <c r="A592" s="13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42"/>
      <c r="O592" s="42"/>
      <c r="P592" s="42"/>
      <c r="Q592" s="42"/>
      <c r="R592" s="42"/>
      <c r="S592" s="42"/>
      <c r="T592" s="42"/>
    </row>
    <row r="593">
      <c r="A593" s="13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42"/>
      <c r="O593" s="42"/>
      <c r="P593" s="42"/>
      <c r="Q593" s="42"/>
      <c r="R593" s="42"/>
      <c r="S593" s="42"/>
      <c r="T593" s="42"/>
    </row>
    <row r="594">
      <c r="A594" s="13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42"/>
      <c r="O594" s="42"/>
      <c r="P594" s="42"/>
      <c r="Q594" s="42"/>
      <c r="R594" s="42"/>
      <c r="S594" s="42"/>
      <c r="T594" s="42"/>
    </row>
    <row r="595">
      <c r="A595" s="13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42"/>
      <c r="O595" s="42"/>
      <c r="P595" s="42"/>
      <c r="Q595" s="42"/>
      <c r="R595" s="42"/>
      <c r="S595" s="42"/>
      <c r="T595" s="42"/>
    </row>
    <row r="596">
      <c r="A596" s="13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42"/>
      <c r="O596" s="42"/>
      <c r="P596" s="42"/>
      <c r="Q596" s="42"/>
      <c r="R596" s="42"/>
      <c r="S596" s="42"/>
      <c r="T596" s="42"/>
    </row>
    <row r="597">
      <c r="A597" s="13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42"/>
      <c r="O597" s="42"/>
      <c r="P597" s="42"/>
      <c r="Q597" s="42"/>
      <c r="R597" s="42"/>
      <c r="S597" s="42"/>
      <c r="T597" s="42"/>
    </row>
    <row r="598">
      <c r="A598" s="13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42"/>
      <c r="O598" s="42"/>
      <c r="P598" s="42"/>
      <c r="Q598" s="42"/>
      <c r="R598" s="42"/>
      <c r="S598" s="42"/>
      <c r="T598" s="42"/>
    </row>
    <row r="599">
      <c r="A599" s="13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42"/>
      <c r="O599" s="42"/>
      <c r="P599" s="42"/>
      <c r="Q599" s="42"/>
      <c r="R599" s="42"/>
      <c r="S599" s="42"/>
      <c r="T599" s="42"/>
    </row>
    <row r="600">
      <c r="A600" s="13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42"/>
      <c r="O600" s="42"/>
      <c r="P600" s="42"/>
      <c r="Q600" s="42"/>
      <c r="R600" s="42"/>
      <c r="S600" s="42"/>
      <c r="T600" s="42"/>
    </row>
    <row r="601">
      <c r="A601" s="13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42"/>
      <c r="O601" s="42"/>
      <c r="P601" s="42"/>
      <c r="Q601" s="42"/>
      <c r="R601" s="42"/>
      <c r="S601" s="42"/>
      <c r="T601" s="42"/>
    </row>
    <row r="602">
      <c r="A602" s="13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42"/>
      <c r="O602" s="42"/>
      <c r="P602" s="42"/>
      <c r="Q602" s="42"/>
      <c r="R602" s="42"/>
      <c r="S602" s="42"/>
      <c r="T602" s="42"/>
    </row>
    <row r="603">
      <c r="E603" s="34"/>
      <c r="F603" s="34"/>
      <c r="G603" s="34"/>
      <c r="H603" s="34"/>
      <c r="I603" s="34"/>
      <c r="J603" s="34"/>
      <c r="K603" s="34"/>
      <c r="L603" s="34"/>
      <c r="M603" s="34"/>
      <c r="N603" s="42"/>
      <c r="O603" s="42"/>
      <c r="P603" s="42"/>
      <c r="Q603" s="42"/>
      <c r="R603" s="42"/>
      <c r="S603" s="42"/>
      <c r="T603" s="42"/>
    </row>
    <row r="604">
      <c r="E604" s="34"/>
      <c r="F604" s="34"/>
      <c r="G604" s="34"/>
      <c r="H604" s="34"/>
      <c r="I604" s="34"/>
      <c r="J604" s="34"/>
      <c r="K604" s="34"/>
      <c r="L604" s="34"/>
      <c r="M604" s="34"/>
      <c r="N604" s="42"/>
      <c r="O604" s="42"/>
      <c r="P604" s="42"/>
      <c r="Q604" s="42"/>
      <c r="R604" s="42"/>
      <c r="S604" s="42"/>
      <c r="T604" s="42"/>
    </row>
    <row r="605">
      <c r="E605" s="34"/>
      <c r="F605" s="34"/>
      <c r="G605" s="34"/>
      <c r="H605" s="34"/>
      <c r="I605" s="34"/>
      <c r="J605" s="34"/>
      <c r="K605" s="34"/>
      <c r="L605" s="34"/>
      <c r="M605" s="34"/>
      <c r="N605" s="42"/>
      <c r="O605" s="42"/>
      <c r="P605" s="42"/>
      <c r="Q605" s="42"/>
      <c r="R605" s="42"/>
      <c r="S605" s="42"/>
      <c r="T605" s="42"/>
    </row>
    <row r="606">
      <c r="E606" s="34"/>
      <c r="F606" s="34"/>
      <c r="G606" s="34"/>
      <c r="H606" s="34"/>
      <c r="I606" s="34"/>
      <c r="J606" s="34"/>
      <c r="K606" s="34"/>
      <c r="L606" s="34"/>
      <c r="M606" s="34"/>
      <c r="N606" s="42"/>
      <c r="O606" s="42"/>
      <c r="P606" s="42"/>
      <c r="Q606" s="42"/>
      <c r="R606" s="42"/>
      <c r="S606" s="42"/>
      <c r="T606" s="42"/>
    </row>
    <row r="607">
      <c r="E607" s="34"/>
      <c r="F607" s="34"/>
      <c r="G607" s="34"/>
      <c r="H607" s="34"/>
      <c r="I607" s="34"/>
      <c r="J607" s="34"/>
      <c r="K607" s="34"/>
      <c r="L607" s="34"/>
      <c r="M607" s="34"/>
      <c r="N607" s="42"/>
      <c r="O607" s="42"/>
      <c r="P607" s="42"/>
      <c r="Q607" s="42"/>
      <c r="R607" s="42"/>
      <c r="S607" s="42"/>
      <c r="T607" s="42"/>
    </row>
    <row r="608">
      <c r="E608" s="34"/>
      <c r="F608" s="34"/>
      <c r="G608" s="34"/>
      <c r="H608" s="34"/>
      <c r="I608" s="34"/>
      <c r="J608" s="34"/>
      <c r="K608" s="34"/>
      <c r="L608" s="34"/>
      <c r="M608" s="34"/>
      <c r="N608" s="42"/>
      <c r="O608" s="42"/>
      <c r="P608" s="42"/>
      <c r="Q608" s="42"/>
      <c r="R608" s="42"/>
      <c r="S608" s="42"/>
      <c r="T608" s="42"/>
    </row>
    <row r="609">
      <c r="E609" s="34"/>
      <c r="F609" s="34"/>
      <c r="G609" s="34"/>
      <c r="H609" s="34"/>
      <c r="I609" s="34"/>
      <c r="J609" s="34"/>
      <c r="K609" s="34"/>
      <c r="L609" s="34"/>
      <c r="M609" s="34"/>
      <c r="N609" s="42"/>
      <c r="O609" s="42"/>
      <c r="P609" s="42"/>
      <c r="Q609" s="42"/>
      <c r="R609" s="42"/>
      <c r="S609" s="42"/>
      <c r="T609" s="42"/>
    </row>
    <row r="610">
      <c r="E610" s="34"/>
      <c r="F610" s="34"/>
      <c r="G610" s="34"/>
      <c r="H610" s="34"/>
      <c r="I610" s="34"/>
      <c r="J610" s="34"/>
      <c r="K610" s="34"/>
      <c r="L610" s="34"/>
      <c r="M610" s="34"/>
      <c r="N610" s="42"/>
      <c r="O610" s="42"/>
      <c r="P610" s="42"/>
      <c r="Q610" s="42"/>
      <c r="R610" s="42"/>
      <c r="S610" s="42"/>
      <c r="T610" s="42"/>
    </row>
    <row r="611">
      <c r="E611" s="34"/>
      <c r="F611" s="34"/>
      <c r="G611" s="34"/>
      <c r="H611" s="34"/>
      <c r="I611" s="34"/>
      <c r="J611" s="34"/>
      <c r="K611" s="34"/>
      <c r="L611" s="34"/>
      <c r="M611" s="34"/>
      <c r="N611" s="42"/>
      <c r="O611" s="42"/>
      <c r="P611" s="42"/>
      <c r="Q611" s="42"/>
      <c r="R611" s="42"/>
      <c r="S611" s="42"/>
      <c r="T611" s="42"/>
    </row>
    <row r="612">
      <c r="E612" s="34"/>
      <c r="F612" s="34"/>
      <c r="G612" s="34"/>
      <c r="H612" s="34"/>
      <c r="I612" s="34"/>
      <c r="J612" s="34"/>
      <c r="K612" s="34"/>
      <c r="L612" s="34"/>
      <c r="M612" s="34"/>
      <c r="N612" s="42"/>
      <c r="O612" s="42"/>
      <c r="P612" s="42"/>
      <c r="Q612" s="42"/>
      <c r="R612" s="42"/>
      <c r="S612" s="42"/>
      <c r="T612" s="42"/>
    </row>
    <row r="613">
      <c r="E613" s="34"/>
      <c r="F613" s="34"/>
      <c r="G613" s="34"/>
      <c r="H613" s="34"/>
      <c r="I613" s="34"/>
      <c r="J613" s="34"/>
      <c r="K613" s="34"/>
      <c r="L613" s="34"/>
      <c r="M613" s="34"/>
      <c r="N613" s="42"/>
      <c r="O613" s="42"/>
      <c r="P613" s="42"/>
      <c r="Q613" s="42"/>
      <c r="R613" s="42"/>
      <c r="S613" s="42"/>
      <c r="T613" s="42"/>
    </row>
    <row r="614">
      <c r="E614" s="34"/>
      <c r="F614" s="34"/>
      <c r="G614" s="34"/>
      <c r="H614" s="34"/>
      <c r="I614" s="34"/>
      <c r="J614" s="34"/>
      <c r="K614" s="34"/>
      <c r="L614" s="34"/>
      <c r="M614" s="34"/>
      <c r="N614" s="42"/>
      <c r="O614" s="42"/>
      <c r="P614" s="42"/>
      <c r="Q614" s="42"/>
      <c r="R614" s="42"/>
      <c r="S614" s="42"/>
      <c r="T614" s="42"/>
    </row>
    <row r="615">
      <c r="E615" s="34"/>
      <c r="F615" s="34"/>
      <c r="G615" s="34"/>
      <c r="H615" s="34"/>
      <c r="I615" s="34"/>
      <c r="J615" s="34"/>
      <c r="K615" s="34"/>
      <c r="L615" s="34"/>
      <c r="M615" s="34"/>
      <c r="N615" s="42"/>
      <c r="O615" s="42"/>
      <c r="P615" s="42"/>
      <c r="Q615" s="42"/>
      <c r="R615" s="42"/>
      <c r="S615" s="42"/>
      <c r="T615" s="42"/>
    </row>
    <row r="616">
      <c r="E616" s="34"/>
      <c r="F616" s="34"/>
      <c r="G616" s="34"/>
      <c r="H616" s="34"/>
      <c r="I616" s="34"/>
      <c r="J616" s="34"/>
      <c r="K616" s="34"/>
      <c r="L616" s="34"/>
      <c r="M616" s="34"/>
      <c r="N616" s="42"/>
      <c r="O616" s="42"/>
      <c r="P616" s="42"/>
      <c r="Q616" s="42"/>
      <c r="R616" s="42"/>
      <c r="S616" s="42"/>
      <c r="T616" s="42"/>
    </row>
    <row r="617">
      <c r="E617" s="34"/>
      <c r="F617" s="34"/>
      <c r="G617" s="34"/>
      <c r="H617" s="34"/>
      <c r="I617" s="34"/>
      <c r="J617" s="34"/>
      <c r="K617" s="34"/>
      <c r="L617" s="34"/>
      <c r="M617" s="34"/>
      <c r="N617" s="42"/>
      <c r="O617" s="42"/>
      <c r="P617" s="42"/>
      <c r="Q617" s="42"/>
      <c r="R617" s="42"/>
      <c r="S617" s="42"/>
      <c r="T617" s="42"/>
    </row>
    <row r="618">
      <c r="E618" s="34"/>
      <c r="F618" s="34"/>
      <c r="G618" s="34"/>
      <c r="H618" s="34"/>
      <c r="I618" s="34"/>
      <c r="J618" s="34"/>
      <c r="K618" s="34"/>
      <c r="L618" s="34"/>
      <c r="M618" s="34"/>
      <c r="N618" s="42"/>
      <c r="O618" s="42"/>
      <c r="P618" s="42"/>
      <c r="Q618" s="42"/>
      <c r="R618" s="42"/>
      <c r="S618" s="42"/>
      <c r="T618" s="42"/>
    </row>
    <row r="619">
      <c r="E619" s="34"/>
      <c r="F619" s="34"/>
      <c r="G619" s="34"/>
      <c r="H619" s="34"/>
      <c r="I619" s="34"/>
      <c r="J619" s="34"/>
      <c r="K619" s="34"/>
      <c r="L619" s="34"/>
      <c r="M619" s="34"/>
      <c r="N619" s="42"/>
      <c r="O619" s="42"/>
      <c r="P619" s="42"/>
      <c r="Q619" s="42"/>
      <c r="R619" s="42"/>
      <c r="S619" s="42"/>
      <c r="T619" s="42"/>
    </row>
    <row r="620">
      <c r="E620" s="34"/>
      <c r="F620" s="34"/>
      <c r="G620" s="34"/>
      <c r="H620" s="34"/>
      <c r="I620" s="34"/>
      <c r="J620" s="34"/>
      <c r="K620" s="34"/>
      <c r="L620" s="34"/>
      <c r="M620" s="34"/>
      <c r="N620" s="42"/>
      <c r="O620" s="42"/>
      <c r="P620" s="42"/>
      <c r="Q620" s="42"/>
      <c r="R620" s="42"/>
      <c r="S620" s="42"/>
      <c r="T620" s="42"/>
    </row>
    <row r="621">
      <c r="E621" s="34"/>
      <c r="F621" s="34"/>
      <c r="G621" s="34"/>
      <c r="H621" s="34"/>
      <c r="I621" s="34"/>
      <c r="J621" s="34"/>
      <c r="K621" s="34"/>
      <c r="L621" s="34"/>
      <c r="M621" s="34"/>
      <c r="N621" s="42"/>
      <c r="O621" s="42"/>
      <c r="P621" s="42"/>
      <c r="Q621" s="42"/>
      <c r="R621" s="42"/>
      <c r="S621" s="42"/>
      <c r="T621" s="42"/>
    </row>
    <row r="622">
      <c r="E622" s="34"/>
      <c r="F622" s="34"/>
      <c r="G622" s="34"/>
      <c r="H622" s="34"/>
      <c r="I622" s="34"/>
      <c r="J622" s="34"/>
      <c r="K622" s="34"/>
      <c r="L622" s="34"/>
      <c r="M622" s="34"/>
      <c r="N622" s="42"/>
      <c r="O622" s="42"/>
      <c r="P622" s="42"/>
      <c r="Q622" s="42"/>
      <c r="R622" s="42"/>
      <c r="S622" s="42"/>
      <c r="T622" s="42"/>
    </row>
    <row r="623">
      <c r="E623" s="34"/>
      <c r="F623" s="34"/>
      <c r="G623" s="34"/>
      <c r="H623" s="34"/>
      <c r="I623" s="34"/>
      <c r="J623" s="34"/>
      <c r="K623" s="34"/>
      <c r="L623" s="34"/>
      <c r="M623" s="34"/>
      <c r="N623" s="42"/>
      <c r="O623" s="42"/>
      <c r="P623" s="42"/>
      <c r="Q623" s="42"/>
      <c r="R623" s="42"/>
      <c r="S623" s="42"/>
      <c r="T623" s="42"/>
    </row>
    <row r="624">
      <c r="E624" s="34"/>
      <c r="F624" s="34"/>
      <c r="G624" s="34"/>
      <c r="H624" s="34"/>
      <c r="I624" s="34"/>
      <c r="J624" s="34"/>
      <c r="K624" s="34"/>
      <c r="L624" s="34"/>
      <c r="M624" s="34"/>
      <c r="N624" s="42"/>
      <c r="O624" s="42"/>
      <c r="P624" s="42"/>
      <c r="Q624" s="42"/>
      <c r="R624" s="42"/>
      <c r="S624" s="42"/>
      <c r="T624" s="42"/>
    </row>
    <row r="625">
      <c r="E625" s="34"/>
      <c r="F625" s="34"/>
      <c r="G625" s="34"/>
      <c r="H625" s="34"/>
      <c r="I625" s="34"/>
      <c r="J625" s="34"/>
      <c r="K625" s="34"/>
      <c r="L625" s="34"/>
      <c r="M625" s="34"/>
      <c r="N625" s="42"/>
      <c r="O625" s="42"/>
      <c r="P625" s="42"/>
      <c r="Q625" s="42"/>
      <c r="R625" s="42"/>
      <c r="S625" s="42"/>
      <c r="T625" s="42"/>
    </row>
    <row r="626">
      <c r="E626" s="34"/>
      <c r="F626" s="34"/>
      <c r="G626" s="34"/>
      <c r="H626" s="34"/>
      <c r="I626" s="34"/>
      <c r="J626" s="34"/>
      <c r="K626" s="34"/>
      <c r="L626" s="34"/>
      <c r="M626" s="34"/>
      <c r="N626" s="42"/>
      <c r="O626" s="42"/>
      <c r="P626" s="42"/>
      <c r="Q626" s="42"/>
      <c r="R626" s="42"/>
      <c r="S626" s="42"/>
      <c r="T626" s="42"/>
    </row>
    <row r="627">
      <c r="E627" s="34"/>
      <c r="F627" s="34"/>
      <c r="G627" s="34"/>
      <c r="H627" s="34"/>
      <c r="I627" s="34"/>
      <c r="J627" s="34"/>
      <c r="K627" s="34"/>
      <c r="L627" s="34"/>
      <c r="M627" s="34"/>
      <c r="N627" s="42"/>
      <c r="O627" s="42"/>
      <c r="P627" s="42"/>
      <c r="Q627" s="42"/>
      <c r="R627" s="42"/>
      <c r="S627" s="42"/>
      <c r="T627" s="42"/>
    </row>
    <row r="628">
      <c r="E628" s="34"/>
      <c r="F628" s="34"/>
      <c r="G628" s="34"/>
      <c r="H628" s="34"/>
      <c r="I628" s="34"/>
      <c r="J628" s="34"/>
      <c r="K628" s="34"/>
      <c r="L628" s="34"/>
      <c r="M628" s="34"/>
      <c r="N628" s="42"/>
      <c r="O628" s="42"/>
      <c r="P628" s="42"/>
      <c r="Q628" s="42"/>
      <c r="R628" s="42"/>
      <c r="S628" s="42"/>
      <c r="T628" s="42"/>
    </row>
    <row r="629">
      <c r="E629" s="34"/>
      <c r="F629" s="34"/>
      <c r="G629" s="34"/>
      <c r="H629" s="34"/>
      <c r="I629" s="34"/>
      <c r="J629" s="34"/>
      <c r="K629" s="34"/>
      <c r="L629" s="34"/>
      <c r="M629" s="34"/>
      <c r="N629" s="42"/>
      <c r="O629" s="42"/>
      <c r="P629" s="42"/>
      <c r="Q629" s="42"/>
      <c r="R629" s="42"/>
      <c r="S629" s="42"/>
      <c r="T629" s="42"/>
    </row>
    <row r="630">
      <c r="E630" s="34"/>
      <c r="F630" s="34"/>
      <c r="G630" s="34"/>
      <c r="H630" s="34"/>
      <c r="I630" s="34"/>
      <c r="J630" s="34"/>
      <c r="K630" s="34"/>
      <c r="L630" s="34"/>
      <c r="M630" s="34"/>
      <c r="N630" s="42"/>
      <c r="O630" s="42"/>
      <c r="P630" s="42"/>
      <c r="Q630" s="42"/>
      <c r="R630" s="42"/>
      <c r="S630" s="42"/>
      <c r="T630" s="42"/>
    </row>
    <row r="631">
      <c r="E631" s="34"/>
      <c r="F631" s="34"/>
      <c r="G631" s="34"/>
      <c r="H631" s="34"/>
      <c r="I631" s="34"/>
      <c r="J631" s="34"/>
      <c r="K631" s="34"/>
      <c r="L631" s="34"/>
      <c r="M631" s="34"/>
      <c r="N631" s="42"/>
      <c r="O631" s="42"/>
      <c r="P631" s="42"/>
      <c r="Q631" s="42"/>
      <c r="R631" s="42"/>
      <c r="S631" s="42"/>
      <c r="T631" s="42"/>
    </row>
    <row r="632">
      <c r="E632" s="34"/>
      <c r="F632" s="34"/>
      <c r="G632" s="34"/>
      <c r="H632" s="34"/>
      <c r="I632" s="34"/>
      <c r="J632" s="34"/>
      <c r="K632" s="34"/>
      <c r="L632" s="34"/>
      <c r="M632" s="34"/>
      <c r="N632" s="42"/>
      <c r="O632" s="42"/>
      <c r="P632" s="42"/>
      <c r="Q632" s="42"/>
      <c r="R632" s="42"/>
      <c r="S632" s="42"/>
      <c r="T632" s="42"/>
    </row>
    <row r="633">
      <c r="E633" s="34"/>
      <c r="F633" s="34"/>
      <c r="G633" s="34"/>
      <c r="H633" s="34"/>
      <c r="I633" s="34"/>
      <c r="J633" s="34"/>
      <c r="K633" s="34"/>
      <c r="L633" s="34"/>
      <c r="M633" s="34"/>
      <c r="N633" s="42"/>
      <c r="O633" s="42"/>
      <c r="P633" s="42"/>
      <c r="Q633" s="42"/>
      <c r="R633" s="42"/>
      <c r="S633" s="42"/>
      <c r="T633" s="42"/>
    </row>
    <row r="634">
      <c r="E634" s="34"/>
      <c r="F634" s="34"/>
      <c r="G634" s="34"/>
      <c r="H634" s="34"/>
      <c r="I634" s="34"/>
      <c r="J634" s="34"/>
      <c r="K634" s="34"/>
      <c r="L634" s="34"/>
      <c r="M634" s="34"/>
      <c r="N634" s="42"/>
      <c r="O634" s="42"/>
      <c r="P634" s="42"/>
      <c r="Q634" s="42"/>
      <c r="R634" s="42"/>
      <c r="S634" s="42"/>
      <c r="T634" s="42"/>
    </row>
    <row r="635">
      <c r="E635" s="34"/>
      <c r="F635" s="34"/>
      <c r="G635" s="34"/>
      <c r="H635" s="34"/>
      <c r="I635" s="34"/>
      <c r="J635" s="34"/>
      <c r="K635" s="34"/>
      <c r="L635" s="34"/>
      <c r="M635" s="34"/>
      <c r="N635" s="42"/>
      <c r="O635" s="42"/>
      <c r="P635" s="42"/>
      <c r="Q635" s="42"/>
      <c r="R635" s="42"/>
      <c r="S635" s="42"/>
      <c r="T635" s="42"/>
    </row>
    <row r="636">
      <c r="E636" s="34"/>
      <c r="F636" s="34"/>
      <c r="G636" s="34"/>
      <c r="H636" s="34"/>
      <c r="I636" s="34"/>
      <c r="J636" s="34"/>
      <c r="K636" s="34"/>
      <c r="L636" s="34"/>
      <c r="M636" s="34"/>
      <c r="N636" s="42"/>
      <c r="O636" s="42"/>
      <c r="P636" s="42"/>
      <c r="Q636" s="42"/>
      <c r="R636" s="42"/>
      <c r="S636" s="42"/>
      <c r="T636" s="42"/>
    </row>
    <row r="637">
      <c r="E637" s="34"/>
      <c r="F637" s="34"/>
      <c r="G637" s="34"/>
      <c r="H637" s="34"/>
      <c r="I637" s="34"/>
      <c r="J637" s="34"/>
      <c r="K637" s="34"/>
      <c r="L637" s="34"/>
      <c r="M637" s="34"/>
      <c r="N637" s="42"/>
      <c r="O637" s="42"/>
      <c r="P637" s="42"/>
      <c r="Q637" s="42"/>
      <c r="R637" s="42"/>
      <c r="S637" s="42"/>
      <c r="T637" s="42"/>
    </row>
    <row r="638">
      <c r="E638" s="34"/>
      <c r="F638" s="34"/>
      <c r="G638" s="34"/>
      <c r="H638" s="34"/>
      <c r="I638" s="34"/>
      <c r="J638" s="34"/>
      <c r="K638" s="34"/>
      <c r="L638" s="34"/>
      <c r="M638" s="34"/>
      <c r="N638" s="42"/>
      <c r="O638" s="42"/>
      <c r="P638" s="42"/>
      <c r="Q638" s="42"/>
      <c r="R638" s="42"/>
      <c r="S638" s="42"/>
      <c r="T638" s="42"/>
    </row>
    <row r="639">
      <c r="E639" s="34"/>
      <c r="F639" s="34"/>
      <c r="G639" s="34"/>
      <c r="H639" s="34"/>
      <c r="I639" s="34"/>
      <c r="J639" s="34"/>
      <c r="K639" s="34"/>
      <c r="L639" s="34"/>
      <c r="M639" s="34"/>
      <c r="N639" s="42"/>
      <c r="O639" s="42"/>
      <c r="P639" s="42"/>
      <c r="Q639" s="42"/>
      <c r="R639" s="42"/>
      <c r="S639" s="42"/>
      <c r="T639" s="42"/>
    </row>
    <row r="640">
      <c r="E640" s="34"/>
      <c r="F640" s="34"/>
      <c r="G640" s="34"/>
      <c r="H640" s="34"/>
      <c r="I640" s="34"/>
      <c r="J640" s="34"/>
      <c r="K640" s="34"/>
      <c r="L640" s="34"/>
      <c r="M640" s="34"/>
      <c r="N640" s="42"/>
      <c r="O640" s="42"/>
      <c r="P640" s="42"/>
      <c r="Q640" s="42"/>
      <c r="R640" s="42"/>
      <c r="S640" s="42"/>
      <c r="T640" s="42"/>
    </row>
    <row r="641">
      <c r="E641" s="34"/>
      <c r="F641" s="34"/>
      <c r="G641" s="34"/>
      <c r="H641" s="34"/>
      <c r="I641" s="34"/>
      <c r="J641" s="34"/>
      <c r="K641" s="34"/>
      <c r="L641" s="34"/>
      <c r="M641" s="34"/>
      <c r="N641" s="42"/>
      <c r="O641" s="42"/>
      <c r="P641" s="42"/>
      <c r="Q641" s="42"/>
      <c r="R641" s="42"/>
      <c r="S641" s="42"/>
      <c r="T641" s="42"/>
    </row>
    <row r="642">
      <c r="E642" s="34"/>
      <c r="F642" s="34"/>
      <c r="G642" s="34"/>
      <c r="H642" s="34"/>
      <c r="I642" s="34"/>
      <c r="J642" s="34"/>
      <c r="K642" s="34"/>
      <c r="L642" s="34"/>
      <c r="M642" s="34"/>
      <c r="N642" s="42"/>
      <c r="O642" s="42"/>
      <c r="P642" s="42"/>
      <c r="Q642" s="42"/>
      <c r="R642" s="42"/>
      <c r="S642" s="42"/>
      <c r="T642" s="42"/>
    </row>
    <row r="643">
      <c r="E643" s="34"/>
      <c r="F643" s="34"/>
      <c r="G643" s="34"/>
      <c r="H643" s="34"/>
      <c r="I643" s="34"/>
      <c r="J643" s="34"/>
      <c r="K643" s="34"/>
      <c r="L643" s="34"/>
      <c r="M643" s="34"/>
      <c r="N643" s="42"/>
      <c r="O643" s="42"/>
      <c r="P643" s="42"/>
      <c r="Q643" s="42"/>
      <c r="R643" s="42"/>
      <c r="S643" s="42"/>
      <c r="T643" s="42"/>
    </row>
    <row r="644">
      <c r="E644" s="34"/>
      <c r="F644" s="34"/>
      <c r="G644" s="34"/>
      <c r="H644" s="34"/>
      <c r="I644" s="34"/>
      <c r="J644" s="34"/>
      <c r="K644" s="34"/>
      <c r="L644" s="34"/>
      <c r="M644" s="34"/>
      <c r="N644" s="42"/>
      <c r="O644" s="42"/>
      <c r="P644" s="42"/>
      <c r="Q644" s="42"/>
      <c r="R644" s="42"/>
      <c r="S644" s="42"/>
      <c r="T644" s="42"/>
    </row>
    <row r="645">
      <c r="E645" s="34"/>
      <c r="F645" s="34"/>
      <c r="G645" s="34"/>
      <c r="H645" s="34"/>
      <c r="I645" s="34"/>
      <c r="J645" s="34"/>
      <c r="K645" s="34"/>
      <c r="L645" s="34"/>
      <c r="M645" s="34"/>
      <c r="N645" s="42"/>
      <c r="O645" s="42"/>
      <c r="P645" s="42"/>
      <c r="Q645" s="42"/>
      <c r="R645" s="42"/>
      <c r="S645" s="42"/>
      <c r="T645" s="42"/>
    </row>
    <row r="646">
      <c r="E646" s="34"/>
      <c r="F646" s="34"/>
      <c r="G646" s="34"/>
      <c r="H646" s="34"/>
      <c r="I646" s="34"/>
      <c r="J646" s="34"/>
      <c r="K646" s="34"/>
      <c r="L646" s="34"/>
      <c r="M646" s="34"/>
      <c r="N646" s="42"/>
      <c r="O646" s="42"/>
      <c r="P646" s="42"/>
      <c r="Q646" s="42"/>
      <c r="R646" s="42"/>
      <c r="S646" s="42"/>
      <c r="T646" s="42"/>
    </row>
    <row r="647">
      <c r="E647" s="34"/>
      <c r="F647" s="34"/>
      <c r="G647" s="34"/>
      <c r="H647" s="34"/>
      <c r="I647" s="34"/>
      <c r="J647" s="34"/>
      <c r="K647" s="34"/>
      <c r="L647" s="34"/>
      <c r="M647" s="34"/>
      <c r="N647" s="42"/>
      <c r="O647" s="42"/>
      <c r="P647" s="42"/>
      <c r="Q647" s="42"/>
      <c r="R647" s="42"/>
      <c r="S647" s="42"/>
      <c r="T647" s="42"/>
    </row>
    <row r="648">
      <c r="E648" s="34"/>
      <c r="F648" s="34"/>
      <c r="G648" s="34"/>
      <c r="H648" s="34"/>
      <c r="I648" s="34"/>
      <c r="J648" s="34"/>
      <c r="K648" s="34"/>
      <c r="L648" s="34"/>
      <c r="M648" s="34"/>
      <c r="N648" s="42"/>
      <c r="O648" s="42"/>
      <c r="P648" s="42"/>
      <c r="Q648" s="42"/>
      <c r="R648" s="42"/>
      <c r="S648" s="42"/>
      <c r="T648" s="42"/>
    </row>
    <row r="649">
      <c r="E649" s="34"/>
      <c r="F649" s="34"/>
      <c r="G649" s="34"/>
      <c r="H649" s="34"/>
      <c r="I649" s="34"/>
      <c r="J649" s="34"/>
      <c r="K649" s="34"/>
      <c r="L649" s="34"/>
      <c r="M649" s="34"/>
      <c r="N649" s="42"/>
      <c r="O649" s="42"/>
      <c r="P649" s="42"/>
      <c r="Q649" s="42"/>
      <c r="R649" s="42"/>
      <c r="S649" s="42"/>
      <c r="T649" s="42"/>
    </row>
    <row r="650">
      <c r="E650" s="34"/>
      <c r="F650" s="34"/>
      <c r="G650" s="34"/>
      <c r="H650" s="34"/>
      <c r="I650" s="34"/>
      <c r="J650" s="34"/>
      <c r="K650" s="34"/>
      <c r="L650" s="34"/>
      <c r="M650" s="34"/>
      <c r="N650" s="42"/>
      <c r="O650" s="42"/>
      <c r="P650" s="42"/>
      <c r="Q650" s="42"/>
      <c r="R650" s="42"/>
      <c r="S650" s="42"/>
      <c r="T650" s="42"/>
    </row>
    <row r="651">
      <c r="E651" s="34"/>
      <c r="F651" s="34"/>
      <c r="G651" s="34"/>
      <c r="H651" s="34"/>
      <c r="I651" s="34"/>
      <c r="J651" s="34"/>
      <c r="K651" s="34"/>
      <c r="L651" s="34"/>
      <c r="M651" s="34"/>
      <c r="N651" s="42"/>
      <c r="O651" s="42"/>
      <c r="P651" s="42"/>
      <c r="Q651" s="42"/>
      <c r="R651" s="42"/>
      <c r="S651" s="42"/>
      <c r="T651" s="42"/>
    </row>
    <row r="652">
      <c r="E652" s="34"/>
      <c r="F652" s="34"/>
      <c r="G652" s="34"/>
      <c r="H652" s="34"/>
      <c r="I652" s="34"/>
      <c r="J652" s="34"/>
      <c r="K652" s="34"/>
      <c r="L652" s="34"/>
      <c r="M652" s="34"/>
      <c r="N652" s="42"/>
      <c r="O652" s="42"/>
      <c r="P652" s="42"/>
      <c r="Q652" s="42"/>
      <c r="R652" s="42"/>
      <c r="S652" s="42"/>
      <c r="T652" s="42"/>
    </row>
    <row r="653">
      <c r="E653" s="34"/>
      <c r="F653" s="34"/>
      <c r="G653" s="34"/>
      <c r="H653" s="34"/>
      <c r="I653" s="34"/>
      <c r="J653" s="34"/>
      <c r="K653" s="34"/>
      <c r="L653" s="34"/>
      <c r="M653" s="34"/>
      <c r="N653" s="42"/>
      <c r="O653" s="42"/>
      <c r="P653" s="42"/>
      <c r="Q653" s="42"/>
      <c r="R653" s="42"/>
      <c r="S653" s="42"/>
      <c r="T653" s="42"/>
    </row>
    <row r="654">
      <c r="E654" s="34"/>
      <c r="F654" s="34"/>
      <c r="G654" s="34"/>
      <c r="H654" s="34"/>
      <c r="I654" s="34"/>
      <c r="J654" s="34"/>
      <c r="K654" s="34"/>
      <c r="L654" s="34"/>
      <c r="M654" s="34"/>
      <c r="N654" s="42"/>
      <c r="O654" s="42"/>
      <c r="P654" s="42"/>
      <c r="Q654" s="42"/>
      <c r="R654" s="42"/>
      <c r="S654" s="42"/>
      <c r="T654" s="42"/>
    </row>
    <row r="655">
      <c r="E655" s="34"/>
      <c r="F655" s="34"/>
      <c r="G655" s="34"/>
      <c r="H655" s="34"/>
      <c r="I655" s="34"/>
      <c r="J655" s="34"/>
      <c r="K655" s="34"/>
      <c r="L655" s="34"/>
      <c r="M655" s="34"/>
      <c r="N655" s="42"/>
      <c r="O655" s="42"/>
      <c r="P655" s="42"/>
      <c r="Q655" s="42"/>
      <c r="R655" s="42"/>
      <c r="S655" s="42"/>
      <c r="T655" s="42"/>
    </row>
    <row r="656">
      <c r="E656" s="34"/>
      <c r="F656" s="34"/>
      <c r="G656" s="34"/>
      <c r="H656" s="34"/>
      <c r="I656" s="34"/>
      <c r="J656" s="34"/>
      <c r="K656" s="34"/>
      <c r="L656" s="34"/>
      <c r="M656" s="34"/>
      <c r="N656" s="42"/>
      <c r="O656" s="42"/>
      <c r="P656" s="42"/>
      <c r="Q656" s="42"/>
      <c r="R656" s="42"/>
      <c r="S656" s="42"/>
      <c r="T656" s="42"/>
    </row>
    <row r="657">
      <c r="E657" s="34"/>
      <c r="F657" s="34"/>
      <c r="G657" s="34"/>
      <c r="H657" s="34"/>
      <c r="I657" s="34"/>
      <c r="J657" s="34"/>
      <c r="K657" s="34"/>
      <c r="L657" s="34"/>
      <c r="M657" s="34"/>
      <c r="N657" s="42"/>
      <c r="O657" s="42"/>
      <c r="P657" s="42"/>
      <c r="Q657" s="42"/>
      <c r="R657" s="42"/>
      <c r="S657" s="42"/>
      <c r="T657" s="42"/>
    </row>
    <row r="658">
      <c r="E658" s="34"/>
      <c r="F658" s="34"/>
      <c r="G658" s="34"/>
      <c r="H658" s="34"/>
      <c r="I658" s="34"/>
      <c r="J658" s="34"/>
      <c r="K658" s="34"/>
      <c r="L658" s="34"/>
      <c r="M658" s="34"/>
      <c r="N658" s="42"/>
      <c r="O658" s="42"/>
      <c r="P658" s="42"/>
      <c r="Q658" s="42"/>
      <c r="R658" s="42"/>
      <c r="S658" s="42"/>
      <c r="T658" s="42"/>
    </row>
    <row r="659">
      <c r="E659" s="34"/>
      <c r="F659" s="34"/>
      <c r="G659" s="34"/>
      <c r="H659" s="34"/>
      <c r="I659" s="34"/>
      <c r="J659" s="34"/>
      <c r="K659" s="34"/>
      <c r="L659" s="34"/>
      <c r="M659" s="34"/>
      <c r="N659" s="42"/>
      <c r="O659" s="42"/>
      <c r="P659" s="42"/>
      <c r="Q659" s="42"/>
      <c r="R659" s="42"/>
      <c r="S659" s="42"/>
      <c r="T659" s="42"/>
    </row>
    <row r="660">
      <c r="E660" s="34"/>
      <c r="F660" s="34"/>
      <c r="G660" s="34"/>
      <c r="H660" s="34"/>
      <c r="I660" s="34"/>
      <c r="J660" s="34"/>
      <c r="K660" s="34"/>
      <c r="L660" s="34"/>
      <c r="M660" s="34"/>
      <c r="N660" s="42"/>
      <c r="O660" s="42"/>
      <c r="P660" s="42"/>
      <c r="Q660" s="42"/>
      <c r="R660" s="42"/>
      <c r="S660" s="42"/>
      <c r="T660" s="42"/>
    </row>
    <row r="661">
      <c r="E661" s="34"/>
      <c r="F661" s="34"/>
      <c r="G661" s="34"/>
      <c r="H661" s="34"/>
      <c r="I661" s="34"/>
      <c r="J661" s="34"/>
      <c r="K661" s="34"/>
      <c r="L661" s="34"/>
      <c r="M661" s="34"/>
      <c r="N661" s="42"/>
      <c r="O661" s="42"/>
      <c r="P661" s="42"/>
      <c r="Q661" s="42"/>
      <c r="R661" s="42"/>
      <c r="S661" s="42"/>
      <c r="T661" s="42"/>
    </row>
    <row r="662">
      <c r="E662" s="34"/>
      <c r="F662" s="34"/>
      <c r="G662" s="34"/>
      <c r="H662" s="34"/>
      <c r="I662" s="34"/>
      <c r="J662" s="34"/>
      <c r="K662" s="34"/>
      <c r="L662" s="34"/>
      <c r="M662" s="34"/>
      <c r="N662" s="42"/>
      <c r="O662" s="42"/>
      <c r="P662" s="42"/>
      <c r="Q662" s="42"/>
      <c r="R662" s="42"/>
      <c r="S662" s="42"/>
      <c r="T662" s="42"/>
    </row>
    <row r="663">
      <c r="E663" s="34"/>
      <c r="F663" s="34"/>
      <c r="G663" s="34"/>
      <c r="H663" s="34"/>
      <c r="I663" s="34"/>
      <c r="J663" s="34"/>
      <c r="K663" s="34"/>
      <c r="L663" s="34"/>
      <c r="M663" s="34"/>
      <c r="N663" s="42"/>
      <c r="O663" s="42"/>
      <c r="P663" s="42"/>
      <c r="Q663" s="42"/>
      <c r="R663" s="42"/>
      <c r="S663" s="42"/>
      <c r="T663" s="42"/>
    </row>
    <row r="664">
      <c r="E664" s="34"/>
      <c r="F664" s="34"/>
      <c r="G664" s="34"/>
      <c r="H664" s="34"/>
      <c r="I664" s="34"/>
      <c r="J664" s="34"/>
      <c r="K664" s="34"/>
      <c r="L664" s="34"/>
      <c r="M664" s="34"/>
      <c r="N664" s="42"/>
      <c r="O664" s="42"/>
      <c r="P664" s="42"/>
      <c r="Q664" s="42"/>
      <c r="R664" s="42"/>
      <c r="S664" s="42"/>
      <c r="T664" s="42"/>
    </row>
    <row r="665">
      <c r="E665" s="34"/>
      <c r="F665" s="34"/>
      <c r="G665" s="34"/>
      <c r="H665" s="34"/>
      <c r="I665" s="34"/>
      <c r="J665" s="34"/>
      <c r="K665" s="34"/>
      <c r="L665" s="34"/>
      <c r="M665" s="34"/>
      <c r="N665" s="42"/>
      <c r="O665" s="42"/>
      <c r="P665" s="42"/>
      <c r="Q665" s="42"/>
      <c r="R665" s="42"/>
      <c r="S665" s="42"/>
      <c r="T665" s="42"/>
    </row>
    <row r="666">
      <c r="E666" s="34"/>
      <c r="F666" s="34"/>
      <c r="G666" s="34"/>
      <c r="H666" s="34"/>
      <c r="I666" s="34"/>
      <c r="J666" s="34"/>
      <c r="K666" s="34"/>
      <c r="L666" s="34"/>
      <c r="M666" s="34"/>
      <c r="N666" s="42"/>
      <c r="O666" s="42"/>
      <c r="P666" s="42"/>
      <c r="Q666" s="42"/>
      <c r="R666" s="42"/>
      <c r="S666" s="42"/>
      <c r="T666" s="42"/>
    </row>
    <row r="667">
      <c r="E667" s="34"/>
      <c r="F667" s="34"/>
      <c r="G667" s="34"/>
      <c r="H667" s="34"/>
      <c r="I667" s="34"/>
      <c r="J667" s="34"/>
      <c r="K667" s="34"/>
      <c r="L667" s="34"/>
      <c r="M667" s="34"/>
      <c r="N667" s="42"/>
      <c r="O667" s="42"/>
      <c r="P667" s="42"/>
      <c r="Q667" s="42"/>
      <c r="R667" s="42"/>
      <c r="S667" s="42"/>
      <c r="T667" s="42"/>
    </row>
    <row r="668">
      <c r="E668" s="34"/>
      <c r="F668" s="34"/>
      <c r="G668" s="34"/>
      <c r="H668" s="34"/>
      <c r="I668" s="34"/>
      <c r="J668" s="34"/>
      <c r="K668" s="34"/>
      <c r="L668" s="34"/>
      <c r="M668" s="34"/>
      <c r="N668" s="42"/>
      <c r="O668" s="42"/>
      <c r="P668" s="42"/>
      <c r="Q668" s="42"/>
      <c r="R668" s="42"/>
      <c r="S668" s="42"/>
      <c r="T668" s="42"/>
    </row>
    <row r="669">
      <c r="E669" s="34"/>
      <c r="F669" s="34"/>
      <c r="G669" s="34"/>
      <c r="H669" s="34"/>
      <c r="I669" s="34"/>
      <c r="J669" s="34"/>
      <c r="K669" s="34"/>
      <c r="L669" s="34"/>
      <c r="M669" s="34"/>
      <c r="N669" s="42"/>
      <c r="O669" s="42"/>
      <c r="P669" s="42"/>
      <c r="Q669" s="42"/>
      <c r="R669" s="42"/>
      <c r="S669" s="42"/>
      <c r="T669" s="42"/>
    </row>
    <row r="670">
      <c r="E670" s="34"/>
      <c r="F670" s="34"/>
      <c r="G670" s="34"/>
      <c r="H670" s="34"/>
      <c r="I670" s="34"/>
      <c r="J670" s="34"/>
      <c r="K670" s="34"/>
      <c r="L670" s="34"/>
      <c r="M670" s="34"/>
      <c r="N670" s="42"/>
      <c r="O670" s="42"/>
      <c r="P670" s="42"/>
      <c r="Q670" s="42"/>
      <c r="R670" s="42"/>
      <c r="S670" s="42"/>
      <c r="T670" s="42"/>
    </row>
    <row r="671">
      <c r="E671" s="34"/>
      <c r="F671" s="34"/>
      <c r="G671" s="34"/>
      <c r="H671" s="34"/>
      <c r="I671" s="34"/>
      <c r="J671" s="34"/>
      <c r="K671" s="34"/>
      <c r="L671" s="34"/>
      <c r="M671" s="34"/>
      <c r="N671" s="42"/>
      <c r="O671" s="42"/>
      <c r="P671" s="42"/>
      <c r="Q671" s="42"/>
      <c r="R671" s="42"/>
      <c r="S671" s="42"/>
      <c r="T671" s="42"/>
    </row>
    <row r="672">
      <c r="E672" s="34"/>
      <c r="F672" s="34"/>
      <c r="G672" s="34"/>
      <c r="H672" s="34"/>
      <c r="I672" s="34"/>
      <c r="J672" s="34"/>
      <c r="K672" s="34"/>
      <c r="L672" s="34"/>
      <c r="M672" s="34"/>
      <c r="N672" s="42"/>
      <c r="O672" s="42"/>
      <c r="P672" s="42"/>
      <c r="Q672" s="42"/>
      <c r="R672" s="42"/>
      <c r="S672" s="42"/>
      <c r="T672" s="42"/>
    </row>
    <row r="673">
      <c r="E673" s="34"/>
      <c r="F673" s="34"/>
      <c r="G673" s="34"/>
      <c r="H673" s="34"/>
      <c r="I673" s="34"/>
      <c r="J673" s="34"/>
      <c r="K673" s="34"/>
      <c r="L673" s="34"/>
      <c r="M673" s="34"/>
      <c r="N673" s="42"/>
      <c r="O673" s="42"/>
      <c r="P673" s="42"/>
      <c r="Q673" s="42"/>
      <c r="R673" s="42"/>
      <c r="S673" s="42"/>
      <c r="T673" s="42"/>
    </row>
    <row r="674">
      <c r="E674" s="34"/>
      <c r="F674" s="34"/>
      <c r="G674" s="34"/>
      <c r="H674" s="34"/>
      <c r="I674" s="34"/>
      <c r="J674" s="34"/>
      <c r="K674" s="34"/>
      <c r="L674" s="34"/>
      <c r="M674" s="34"/>
      <c r="N674" s="42"/>
      <c r="O674" s="42"/>
      <c r="P674" s="42"/>
      <c r="Q674" s="42"/>
      <c r="R674" s="42"/>
      <c r="S674" s="42"/>
      <c r="T674" s="42"/>
    </row>
    <row r="675">
      <c r="E675" s="34"/>
      <c r="F675" s="34"/>
      <c r="G675" s="34"/>
      <c r="H675" s="34"/>
      <c r="I675" s="34"/>
      <c r="J675" s="34"/>
      <c r="K675" s="34"/>
      <c r="L675" s="34"/>
      <c r="M675" s="34"/>
      <c r="N675" s="42"/>
      <c r="O675" s="42"/>
      <c r="P675" s="42"/>
      <c r="Q675" s="42"/>
      <c r="R675" s="42"/>
      <c r="S675" s="42"/>
      <c r="T675" s="42"/>
    </row>
    <row r="676">
      <c r="E676" s="34"/>
      <c r="F676" s="34"/>
      <c r="G676" s="34"/>
      <c r="H676" s="34"/>
      <c r="I676" s="34"/>
      <c r="J676" s="34"/>
      <c r="K676" s="34"/>
      <c r="L676" s="34"/>
      <c r="M676" s="34"/>
      <c r="N676" s="42"/>
      <c r="O676" s="42"/>
      <c r="P676" s="42"/>
      <c r="Q676" s="42"/>
      <c r="R676" s="42"/>
      <c r="S676" s="42"/>
      <c r="T676" s="42"/>
    </row>
    <row r="677">
      <c r="E677" s="34"/>
      <c r="F677" s="34"/>
      <c r="G677" s="34"/>
      <c r="H677" s="34"/>
      <c r="I677" s="34"/>
      <c r="J677" s="34"/>
      <c r="K677" s="34"/>
      <c r="L677" s="34"/>
      <c r="M677" s="34"/>
      <c r="N677" s="42"/>
      <c r="O677" s="42"/>
      <c r="P677" s="42"/>
      <c r="Q677" s="42"/>
      <c r="R677" s="42"/>
      <c r="S677" s="42"/>
      <c r="T677" s="42"/>
    </row>
    <row r="678">
      <c r="E678" s="34"/>
      <c r="F678" s="34"/>
      <c r="G678" s="34"/>
      <c r="H678" s="34"/>
      <c r="I678" s="34"/>
      <c r="J678" s="34"/>
      <c r="K678" s="34"/>
      <c r="L678" s="34"/>
      <c r="M678" s="34"/>
      <c r="N678" s="42"/>
      <c r="O678" s="42"/>
      <c r="P678" s="42"/>
      <c r="Q678" s="42"/>
      <c r="R678" s="42"/>
      <c r="S678" s="42"/>
      <c r="T678" s="42"/>
    </row>
    <row r="679">
      <c r="E679" s="34"/>
      <c r="F679" s="34"/>
      <c r="G679" s="34"/>
      <c r="H679" s="34"/>
      <c r="I679" s="34"/>
      <c r="J679" s="34"/>
      <c r="K679" s="34"/>
      <c r="L679" s="34"/>
      <c r="M679" s="34"/>
      <c r="N679" s="42"/>
      <c r="O679" s="42"/>
      <c r="P679" s="42"/>
      <c r="Q679" s="42"/>
      <c r="R679" s="42"/>
      <c r="S679" s="42"/>
      <c r="T679" s="42"/>
    </row>
    <row r="680">
      <c r="E680" s="34"/>
      <c r="F680" s="34"/>
      <c r="G680" s="34"/>
      <c r="H680" s="34"/>
      <c r="I680" s="34"/>
      <c r="J680" s="34"/>
      <c r="K680" s="34"/>
      <c r="L680" s="34"/>
      <c r="M680" s="34"/>
      <c r="N680" s="42"/>
      <c r="O680" s="42"/>
      <c r="P680" s="42"/>
      <c r="Q680" s="42"/>
      <c r="R680" s="42"/>
      <c r="S680" s="42"/>
      <c r="T680" s="42"/>
    </row>
    <row r="681">
      <c r="E681" s="34"/>
      <c r="F681" s="34"/>
      <c r="G681" s="34"/>
      <c r="H681" s="34"/>
      <c r="I681" s="34"/>
      <c r="J681" s="34"/>
      <c r="K681" s="34"/>
      <c r="L681" s="34"/>
      <c r="M681" s="34"/>
      <c r="N681" s="42"/>
      <c r="O681" s="42"/>
      <c r="P681" s="42"/>
      <c r="Q681" s="42"/>
      <c r="R681" s="42"/>
      <c r="S681" s="42"/>
      <c r="T681" s="42"/>
    </row>
    <row r="682">
      <c r="E682" s="34"/>
      <c r="F682" s="34"/>
      <c r="G682" s="34"/>
      <c r="H682" s="34"/>
      <c r="I682" s="34"/>
      <c r="J682" s="34"/>
      <c r="K682" s="34"/>
      <c r="L682" s="34"/>
      <c r="M682" s="34"/>
      <c r="N682" s="42"/>
      <c r="O682" s="42"/>
      <c r="P682" s="42"/>
      <c r="Q682" s="42"/>
      <c r="R682" s="42"/>
      <c r="S682" s="42"/>
      <c r="T682" s="42"/>
    </row>
    <row r="683">
      <c r="E683" s="34"/>
      <c r="F683" s="34"/>
      <c r="G683" s="34"/>
      <c r="H683" s="34"/>
      <c r="I683" s="34"/>
      <c r="J683" s="34"/>
      <c r="K683" s="34"/>
      <c r="L683" s="34"/>
      <c r="M683" s="34"/>
      <c r="N683" s="42"/>
      <c r="O683" s="42"/>
      <c r="P683" s="42"/>
      <c r="Q683" s="42"/>
      <c r="R683" s="42"/>
      <c r="S683" s="42"/>
      <c r="T683" s="42"/>
    </row>
    <row r="684">
      <c r="E684" s="34"/>
      <c r="F684" s="34"/>
      <c r="G684" s="34"/>
      <c r="H684" s="34"/>
      <c r="I684" s="34"/>
      <c r="J684" s="34"/>
      <c r="K684" s="34"/>
      <c r="L684" s="34"/>
      <c r="M684" s="34"/>
      <c r="N684" s="42"/>
      <c r="O684" s="42"/>
      <c r="P684" s="42"/>
      <c r="Q684" s="42"/>
      <c r="R684" s="42"/>
      <c r="S684" s="42"/>
      <c r="T684" s="42"/>
    </row>
    <row r="685">
      <c r="E685" s="34"/>
      <c r="F685" s="34"/>
      <c r="G685" s="34"/>
      <c r="H685" s="34"/>
      <c r="I685" s="34"/>
      <c r="J685" s="34"/>
      <c r="K685" s="34"/>
      <c r="L685" s="34"/>
      <c r="M685" s="34"/>
      <c r="N685" s="42"/>
      <c r="O685" s="42"/>
      <c r="P685" s="42"/>
      <c r="Q685" s="42"/>
      <c r="R685" s="42"/>
      <c r="S685" s="42"/>
      <c r="T685" s="42"/>
    </row>
    <row r="686">
      <c r="E686" s="34"/>
      <c r="F686" s="34"/>
      <c r="G686" s="34"/>
      <c r="H686" s="34"/>
      <c r="I686" s="34"/>
      <c r="J686" s="34"/>
      <c r="K686" s="34"/>
      <c r="L686" s="34"/>
      <c r="M686" s="34"/>
      <c r="N686" s="42"/>
      <c r="O686" s="42"/>
      <c r="P686" s="42"/>
      <c r="Q686" s="42"/>
      <c r="R686" s="42"/>
      <c r="S686" s="42"/>
      <c r="T686" s="42"/>
    </row>
    <row r="687">
      <c r="E687" s="34"/>
      <c r="F687" s="34"/>
      <c r="G687" s="34"/>
      <c r="H687" s="34"/>
      <c r="I687" s="34"/>
      <c r="J687" s="34"/>
      <c r="K687" s="34"/>
      <c r="L687" s="34"/>
      <c r="M687" s="34"/>
      <c r="N687" s="42"/>
      <c r="O687" s="42"/>
      <c r="P687" s="42"/>
      <c r="Q687" s="42"/>
      <c r="R687" s="42"/>
      <c r="S687" s="42"/>
      <c r="T687" s="42"/>
    </row>
    <row r="688">
      <c r="E688" s="34"/>
      <c r="F688" s="34"/>
      <c r="G688" s="34"/>
      <c r="H688" s="34"/>
      <c r="I688" s="34"/>
      <c r="J688" s="34"/>
      <c r="K688" s="34"/>
      <c r="L688" s="34"/>
      <c r="M688" s="34"/>
      <c r="N688" s="42"/>
      <c r="O688" s="42"/>
      <c r="P688" s="42"/>
      <c r="Q688" s="42"/>
      <c r="R688" s="42"/>
      <c r="S688" s="42"/>
      <c r="T688" s="42"/>
    </row>
    <row r="689">
      <c r="E689" s="34"/>
      <c r="F689" s="34"/>
      <c r="G689" s="34"/>
      <c r="H689" s="34"/>
      <c r="I689" s="34"/>
      <c r="J689" s="34"/>
      <c r="K689" s="34"/>
      <c r="L689" s="34"/>
      <c r="M689" s="34"/>
      <c r="N689" s="42"/>
      <c r="O689" s="42"/>
      <c r="P689" s="42"/>
      <c r="Q689" s="42"/>
      <c r="R689" s="42"/>
      <c r="S689" s="42"/>
      <c r="T689" s="42"/>
    </row>
    <row r="690">
      <c r="E690" s="34"/>
      <c r="F690" s="34"/>
      <c r="G690" s="34"/>
      <c r="H690" s="34"/>
      <c r="I690" s="34"/>
      <c r="J690" s="34"/>
      <c r="K690" s="34"/>
      <c r="L690" s="34"/>
      <c r="M690" s="34"/>
      <c r="N690" s="42"/>
      <c r="O690" s="42"/>
      <c r="P690" s="42"/>
      <c r="Q690" s="42"/>
      <c r="R690" s="42"/>
      <c r="S690" s="42"/>
      <c r="T690" s="42"/>
    </row>
    <row r="691">
      <c r="E691" s="34"/>
      <c r="F691" s="34"/>
      <c r="G691" s="34"/>
      <c r="H691" s="34"/>
      <c r="I691" s="34"/>
      <c r="J691" s="34"/>
      <c r="K691" s="34"/>
      <c r="L691" s="34"/>
      <c r="M691" s="34"/>
      <c r="N691" s="42"/>
      <c r="O691" s="42"/>
      <c r="P691" s="42"/>
      <c r="Q691" s="42"/>
      <c r="R691" s="42"/>
      <c r="S691" s="42"/>
      <c r="T691" s="42"/>
    </row>
    <row r="692">
      <c r="E692" s="34"/>
      <c r="F692" s="34"/>
      <c r="G692" s="34"/>
      <c r="H692" s="34"/>
      <c r="I692" s="34"/>
      <c r="J692" s="34"/>
      <c r="K692" s="34"/>
      <c r="L692" s="34"/>
      <c r="M692" s="34"/>
      <c r="N692" s="42"/>
      <c r="O692" s="42"/>
      <c r="P692" s="42"/>
      <c r="Q692" s="42"/>
      <c r="R692" s="42"/>
      <c r="S692" s="42"/>
      <c r="T692" s="42"/>
    </row>
    <row r="693">
      <c r="E693" s="34"/>
      <c r="F693" s="34"/>
      <c r="G693" s="34"/>
      <c r="H693" s="34"/>
      <c r="I693" s="34"/>
      <c r="J693" s="34"/>
      <c r="K693" s="34"/>
      <c r="L693" s="34"/>
      <c r="M693" s="34"/>
      <c r="N693" s="42"/>
      <c r="O693" s="42"/>
      <c r="P693" s="42"/>
      <c r="Q693" s="42"/>
      <c r="R693" s="42"/>
      <c r="S693" s="42"/>
      <c r="T693" s="42"/>
    </row>
    <row r="694">
      <c r="E694" s="34"/>
      <c r="F694" s="34"/>
      <c r="G694" s="34"/>
      <c r="H694" s="34"/>
      <c r="I694" s="34"/>
      <c r="J694" s="34"/>
      <c r="K694" s="34"/>
      <c r="L694" s="34"/>
      <c r="M694" s="34"/>
      <c r="N694" s="42"/>
      <c r="O694" s="42"/>
      <c r="P694" s="42"/>
      <c r="Q694" s="42"/>
      <c r="R694" s="42"/>
      <c r="S694" s="42"/>
      <c r="T694" s="42"/>
    </row>
    <row r="695">
      <c r="E695" s="34"/>
      <c r="F695" s="34"/>
      <c r="G695" s="34"/>
      <c r="H695" s="34"/>
      <c r="I695" s="34"/>
      <c r="J695" s="34"/>
      <c r="K695" s="34"/>
      <c r="L695" s="34"/>
      <c r="M695" s="34"/>
      <c r="N695" s="42"/>
      <c r="O695" s="42"/>
      <c r="P695" s="42"/>
      <c r="Q695" s="42"/>
      <c r="R695" s="42"/>
      <c r="S695" s="42"/>
      <c r="T695" s="42"/>
    </row>
    <row r="696">
      <c r="E696" s="34"/>
      <c r="F696" s="34"/>
      <c r="G696" s="34"/>
      <c r="H696" s="34"/>
      <c r="I696" s="34"/>
      <c r="J696" s="34"/>
      <c r="K696" s="34"/>
      <c r="L696" s="34"/>
      <c r="M696" s="34"/>
      <c r="N696" s="42"/>
      <c r="O696" s="42"/>
      <c r="P696" s="42"/>
      <c r="Q696" s="42"/>
      <c r="R696" s="42"/>
      <c r="S696" s="42"/>
      <c r="T696" s="42"/>
    </row>
    <row r="697">
      <c r="E697" s="34"/>
      <c r="F697" s="34"/>
      <c r="G697" s="34"/>
      <c r="H697" s="34"/>
      <c r="I697" s="34"/>
      <c r="J697" s="34"/>
      <c r="K697" s="34"/>
      <c r="L697" s="34"/>
      <c r="M697" s="34"/>
      <c r="N697" s="42"/>
      <c r="O697" s="42"/>
      <c r="P697" s="42"/>
      <c r="Q697" s="42"/>
      <c r="R697" s="42"/>
      <c r="S697" s="42"/>
      <c r="T697" s="42"/>
    </row>
    <row r="698">
      <c r="E698" s="34"/>
      <c r="F698" s="34"/>
      <c r="G698" s="34"/>
      <c r="H698" s="34"/>
      <c r="I698" s="34"/>
      <c r="J698" s="34"/>
      <c r="K698" s="34"/>
      <c r="L698" s="34"/>
      <c r="M698" s="34"/>
      <c r="N698" s="42"/>
      <c r="O698" s="42"/>
      <c r="P698" s="42"/>
      <c r="Q698" s="42"/>
      <c r="R698" s="42"/>
      <c r="S698" s="42"/>
      <c r="T698" s="42"/>
    </row>
    <row r="699">
      <c r="E699" s="34"/>
      <c r="F699" s="34"/>
      <c r="G699" s="34"/>
      <c r="H699" s="34"/>
      <c r="I699" s="34"/>
      <c r="J699" s="34"/>
      <c r="K699" s="34"/>
      <c r="L699" s="34"/>
      <c r="M699" s="34"/>
      <c r="N699" s="42"/>
      <c r="O699" s="42"/>
      <c r="P699" s="42"/>
      <c r="Q699" s="42"/>
      <c r="R699" s="42"/>
      <c r="S699" s="42"/>
      <c r="T699" s="42"/>
    </row>
    <row r="700">
      <c r="E700" s="34"/>
      <c r="F700" s="34"/>
      <c r="G700" s="34"/>
      <c r="H700" s="34"/>
      <c r="I700" s="34"/>
      <c r="J700" s="34"/>
      <c r="K700" s="34"/>
      <c r="L700" s="34"/>
      <c r="M700" s="34"/>
      <c r="N700" s="42"/>
      <c r="O700" s="42"/>
      <c r="P700" s="42"/>
      <c r="Q700" s="42"/>
      <c r="R700" s="42"/>
      <c r="S700" s="42"/>
      <c r="T700" s="42"/>
    </row>
    <row r="701">
      <c r="E701" s="34"/>
      <c r="F701" s="34"/>
      <c r="G701" s="34"/>
      <c r="H701" s="34"/>
      <c r="I701" s="34"/>
      <c r="J701" s="34"/>
      <c r="K701" s="34"/>
      <c r="L701" s="34"/>
      <c r="M701" s="34"/>
      <c r="N701" s="42"/>
      <c r="O701" s="42"/>
      <c r="P701" s="42"/>
      <c r="Q701" s="42"/>
      <c r="R701" s="42"/>
      <c r="S701" s="42"/>
      <c r="T701" s="42"/>
    </row>
    <row r="702">
      <c r="E702" s="34"/>
      <c r="F702" s="34"/>
      <c r="G702" s="34"/>
      <c r="H702" s="34"/>
      <c r="I702" s="34"/>
      <c r="J702" s="34"/>
      <c r="K702" s="34"/>
      <c r="L702" s="34"/>
      <c r="M702" s="34"/>
      <c r="N702" s="42"/>
      <c r="O702" s="42"/>
      <c r="P702" s="42"/>
      <c r="Q702" s="42"/>
      <c r="R702" s="42"/>
      <c r="S702" s="42"/>
      <c r="T702" s="42"/>
    </row>
    <row r="703">
      <c r="E703" s="34"/>
      <c r="F703" s="34"/>
      <c r="G703" s="34"/>
      <c r="H703" s="34"/>
      <c r="I703" s="34"/>
      <c r="J703" s="34"/>
      <c r="K703" s="34"/>
      <c r="L703" s="34"/>
      <c r="M703" s="34"/>
      <c r="N703" s="42"/>
      <c r="O703" s="42"/>
      <c r="P703" s="42"/>
      <c r="Q703" s="42"/>
      <c r="R703" s="42"/>
      <c r="S703" s="42"/>
      <c r="T703" s="42"/>
    </row>
    <row r="704">
      <c r="E704" s="34"/>
      <c r="F704" s="34"/>
      <c r="G704" s="34"/>
      <c r="H704" s="34"/>
      <c r="I704" s="34"/>
      <c r="J704" s="34"/>
      <c r="K704" s="34"/>
      <c r="L704" s="34"/>
      <c r="M704" s="34"/>
      <c r="N704" s="42"/>
      <c r="O704" s="42"/>
      <c r="P704" s="42"/>
      <c r="Q704" s="42"/>
      <c r="R704" s="42"/>
      <c r="S704" s="42"/>
      <c r="T704" s="42"/>
    </row>
    <row r="705">
      <c r="E705" s="34"/>
      <c r="F705" s="34"/>
      <c r="G705" s="34"/>
      <c r="H705" s="34"/>
      <c r="I705" s="34"/>
      <c r="J705" s="34"/>
      <c r="K705" s="34"/>
      <c r="L705" s="34"/>
      <c r="M705" s="34"/>
      <c r="N705" s="42"/>
      <c r="O705" s="42"/>
      <c r="P705" s="42"/>
      <c r="Q705" s="42"/>
      <c r="R705" s="42"/>
      <c r="S705" s="42"/>
      <c r="T705" s="42"/>
    </row>
    <row r="706">
      <c r="E706" s="34"/>
      <c r="F706" s="34"/>
      <c r="G706" s="34"/>
      <c r="H706" s="34"/>
      <c r="I706" s="34"/>
      <c r="J706" s="34"/>
      <c r="K706" s="34"/>
      <c r="L706" s="34"/>
      <c r="M706" s="34"/>
      <c r="N706" s="42"/>
      <c r="O706" s="42"/>
      <c r="P706" s="42"/>
      <c r="Q706" s="42"/>
      <c r="R706" s="42"/>
      <c r="S706" s="42"/>
      <c r="T706" s="42"/>
    </row>
    <row r="707">
      <c r="E707" s="34"/>
      <c r="F707" s="34"/>
      <c r="G707" s="34"/>
      <c r="H707" s="34"/>
      <c r="I707" s="34"/>
      <c r="J707" s="34"/>
      <c r="K707" s="34"/>
      <c r="L707" s="34"/>
      <c r="M707" s="34"/>
      <c r="N707" s="42"/>
      <c r="O707" s="42"/>
      <c r="P707" s="42"/>
      <c r="Q707" s="42"/>
      <c r="R707" s="42"/>
      <c r="S707" s="42"/>
      <c r="T707" s="42"/>
    </row>
    <row r="708">
      <c r="E708" s="34"/>
      <c r="F708" s="34"/>
      <c r="G708" s="34"/>
      <c r="H708" s="34"/>
      <c r="I708" s="34"/>
      <c r="J708" s="34"/>
      <c r="K708" s="34"/>
      <c r="L708" s="34"/>
      <c r="M708" s="34"/>
      <c r="N708" s="42"/>
      <c r="O708" s="42"/>
      <c r="P708" s="42"/>
      <c r="Q708" s="42"/>
      <c r="R708" s="42"/>
      <c r="S708" s="42"/>
      <c r="T708" s="42"/>
    </row>
    <row r="709">
      <c r="E709" s="34"/>
      <c r="F709" s="34"/>
      <c r="G709" s="34"/>
      <c r="H709" s="34"/>
      <c r="I709" s="34"/>
      <c r="J709" s="34"/>
      <c r="K709" s="34"/>
      <c r="L709" s="34"/>
      <c r="M709" s="34"/>
      <c r="N709" s="42"/>
      <c r="O709" s="42"/>
      <c r="P709" s="42"/>
      <c r="Q709" s="42"/>
      <c r="R709" s="42"/>
      <c r="S709" s="42"/>
      <c r="T709" s="42"/>
    </row>
    <row r="710">
      <c r="E710" s="34"/>
      <c r="F710" s="34"/>
      <c r="G710" s="34"/>
      <c r="H710" s="34"/>
      <c r="I710" s="34"/>
      <c r="J710" s="34"/>
      <c r="K710" s="34"/>
      <c r="L710" s="34"/>
      <c r="M710" s="34"/>
      <c r="N710" s="42"/>
      <c r="O710" s="42"/>
      <c r="P710" s="42"/>
      <c r="Q710" s="42"/>
      <c r="R710" s="42"/>
      <c r="S710" s="42"/>
      <c r="T710" s="42"/>
    </row>
    <row r="711">
      <c r="E711" s="34"/>
      <c r="F711" s="34"/>
      <c r="G711" s="34"/>
      <c r="H711" s="34"/>
      <c r="I711" s="34"/>
      <c r="J711" s="34"/>
      <c r="K711" s="34"/>
      <c r="L711" s="34"/>
      <c r="M711" s="34"/>
      <c r="N711" s="42"/>
      <c r="O711" s="42"/>
      <c r="P711" s="42"/>
      <c r="Q711" s="42"/>
      <c r="R711" s="42"/>
      <c r="S711" s="42"/>
      <c r="T711" s="42"/>
    </row>
    <row r="712">
      <c r="E712" s="34"/>
      <c r="F712" s="34"/>
      <c r="G712" s="34"/>
      <c r="H712" s="34"/>
      <c r="I712" s="34"/>
      <c r="J712" s="34"/>
      <c r="K712" s="34"/>
      <c r="L712" s="34"/>
      <c r="M712" s="34"/>
      <c r="N712" s="42"/>
      <c r="O712" s="42"/>
      <c r="P712" s="42"/>
      <c r="Q712" s="42"/>
      <c r="R712" s="42"/>
      <c r="S712" s="42"/>
      <c r="T712" s="42"/>
    </row>
    <row r="713">
      <c r="E713" s="34"/>
      <c r="F713" s="34"/>
      <c r="G713" s="34"/>
      <c r="H713" s="34"/>
      <c r="I713" s="34"/>
      <c r="J713" s="34"/>
      <c r="K713" s="34"/>
      <c r="L713" s="34"/>
      <c r="M713" s="34"/>
      <c r="N713" s="42"/>
      <c r="O713" s="42"/>
      <c r="P713" s="42"/>
      <c r="Q713" s="42"/>
      <c r="R713" s="42"/>
      <c r="S713" s="42"/>
      <c r="T713" s="42"/>
    </row>
    <row r="714">
      <c r="E714" s="34"/>
      <c r="F714" s="34"/>
      <c r="G714" s="34"/>
      <c r="H714" s="34"/>
      <c r="I714" s="34"/>
      <c r="J714" s="34"/>
      <c r="K714" s="34"/>
      <c r="L714" s="34"/>
      <c r="M714" s="34"/>
      <c r="N714" s="42"/>
      <c r="O714" s="42"/>
      <c r="P714" s="42"/>
      <c r="Q714" s="42"/>
      <c r="R714" s="42"/>
      <c r="S714" s="42"/>
      <c r="T714" s="42"/>
    </row>
    <row r="715">
      <c r="E715" s="34"/>
      <c r="F715" s="34"/>
      <c r="G715" s="34"/>
      <c r="H715" s="34"/>
      <c r="I715" s="34"/>
      <c r="J715" s="34"/>
      <c r="K715" s="34"/>
      <c r="L715" s="34"/>
      <c r="M715" s="34"/>
      <c r="N715" s="42"/>
      <c r="O715" s="42"/>
      <c r="P715" s="42"/>
      <c r="Q715" s="42"/>
      <c r="R715" s="42"/>
      <c r="S715" s="42"/>
      <c r="T715" s="42"/>
    </row>
    <row r="716">
      <c r="E716" s="34"/>
      <c r="F716" s="34"/>
      <c r="G716" s="34"/>
      <c r="H716" s="34"/>
      <c r="I716" s="34"/>
      <c r="J716" s="34"/>
      <c r="K716" s="34"/>
      <c r="L716" s="34"/>
      <c r="M716" s="34"/>
      <c r="N716" s="42"/>
      <c r="O716" s="42"/>
      <c r="P716" s="42"/>
      <c r="Q716" s="42"/>
      <c r="R716" s="42"/>
      <c r="S716" s="42"/>
      <c r="T716" s="42"/>
    </row>
    <row r="717">
      <c r="E717" s="34"/>
      <c r="F717" s="34"/>
      <c r="G717" s="34"/>
      <c r="H717" s="34"/>
      <c r="I717" s="34"/>
      <c r="J717" s="34"/>
      <c r="K717" s="34"/>
      <c r="L717" s="34"/>
      <c r="M717" s="34"/>
      <c r="N717" s="42"/>
      <c r="O717" s="42"/>
      <c r="P717" s="42"/>
      <c r="Q717" s="42"/>
      <c r="R717" s="42"/>
      <c r="S717" s="42"/>
      <c r="T717" s="42"/>
    </row>
    <row r="718">
      <c r="E718" s="34"/>
      <c r="F718" s="34"/>
      <c r="G718" s="34"/>
      <c r="H718" s="34"/>
      <c r="I718" s="34"/>
      <c r="J718" s="34"/>
      <c r="K718" s="34"/>
      <c r="L718" s="34"/>
      <c r="M718" s="34"/>
      <c r="N718" s="42"/>
      <c r="O718" s="42"/>
      <c r="P718" s="42"/>
      <c r="Q718" s="42"/>
      <c r="R718" s="42"/>
      <c r="S718" s="42"/>
      <c r="T718" s="42"/>
    </row>
    <row r="719">
      <c r="E719" s="34"/>
      <c r="F719" s="34"/>
      <c r="G719" s="34"/>
      <c r="H719" s="34"/>
      <c r="I719" s="34"/>
      <c r="J719" s="34"/>
      <c r="K719" s="34"/>
      <c r="L719" s="34"/>
      <c r="M719" s="34"/>
      <c r="N719" s="42"/>
      <c r="O719" s="42"/>
      <c r="P719" s="42"/>
      <c r="Q719" s="42"/>
      <c r="R719" s="42"/>
      <c r="S719" s="42"/>
      <c r="T719" s="42"/>
    </row>
    <row r="720">
      <c r="E720" s="34"/>
      <c r="F720" s="34"/>
      <c r="G720" s="34"/>
      <c r="H720" s="34"/>
      <c r="I720" s="34"/>
      <c r="J720" s="34"/>
      <c r="K720" s="34"/>
      <c r="L720" s="34"/>
      <c r="M720" s="34"/>
      <c r="N720" s="42"/>
      <c r="O720" s="42"/>
      <c r="P720" s="42"/>
      <c r="Q720" s="42"/>
      <c r="R720" s="42"/>
      <c r="S720" s="42"/>
      <c r="T720" s="42"/>
    </row>
    <row r="721">
      <c r="E721" s="34"/>
      <c r="F721" s="34"/>
      <c r="G721" s="34"/>
      <c r="H721" s="34"/>
      <c r="I721" s="34"/>
      <c r="J721" s="34"/>
      <c r="K721" s="34"/>
      <c r="L721" s="34"/>
      <c r="M721" s="34"/>
      <c r="N721" s="42"/>
      <c r="O721" s="42"/>
      <c r="P721" s="42"/>
      <c r="Q721" s="42"/>
      <c r="R721" s="42"/>
      <c r="S721" s="42"/>
      <c r="T721" s="42"/>
    </row>
    <row r="722">
      <c r="E722" s="34"/>
      <c r="F722" s="34"/>
      <c r="G722" s="34"/>
      <c r="H722" s="34"/>
      <c r="I722" s="34"/>
      <c r="J722" s="34"/>
      <c r="K722" s="34"/>
      <c r="L722" s="34"/>
      <c r="M722" s="34"/>
      <c r="N722" s="42"/>
      <c r="O722" s="42"/>
      <c r="P722" s="42"/>
      <c r="Q722" s="42"/>
      <c r="R722" s="42"/>
      <c r="S722" s="42"/>
      <c r="T722" s="42"/>
    </row>
    <row r="723">
      <c r="E723" s="34"/>
      <c r="F723" s="34"/>
      <c r="G723" s="34"/>
      <c r="H723" s="34"/>
      <c r="I723" s="34"/>
      <c r="J723" s="34"/>
      <c r="K723" s="34"/>
      <c r="L723" s="34"/>
      <c r="M723" s="34"/>
      <c r="N723" s="42"/>
      <c r="O723" s="42"/>
      <c r="P723" s="42"/>
      <c r="Q723" s="42"/>
      <c r="R723" s="42"/>
      <c r="S723" s="42"/>
      <c r="T723" s="42"/>
    </row>
    <row r="724">
      <c r="E724" s="34"/>
      <c r="F724" s="34"/>
      <c r="G724" s="34"/>
      <c r="H724" s="34"/>
      <c r="I724" s="34"/>
      <c r="J724" s="34"/>
      <c r="K724" s="34"/>
      <c r="L724" s="34"/>
      <c r="M724" s="34"/>
      <c r="N724" s="42"/>
      <c r="O724" s="42"/>
      <c r="P724" s="42"/>
      <c r="Q724" s="42"/>
      <c r="R724" s="42"/>
      <c r="S724" s="42"/>
      <c r="T724" s="42"/>
    </row>
    <row r="725">
      <c r="E725" s="34"/>
      <c r="F725" s="34"/>
      <c r="G725" s="34"/>
      <c r="H725" s="34"/>
      <c r="I725" s="34"/>
      <c r="J725" s="34"/>
      <c r="K725" s="34"/>
      <c r="L725" s="34"/>
      <c r="M725" s="34"/>
      <c r="N725" s="42"/>
      <c r="O725" s="42"/>
      <c r="P725" s="42"/>
      <c r="Q725" s="42"/>
      <c r="R725" s="42"/>
      <c r="S725" s="42"/>
      <c r="T725" s="42"/>
    </row>
    <row r="726">
      <c r="E726" s="34"/>
      <c r="F726" s="34"/>
      <c r="G726" s="34"/>
      <c r="H726" s="34"/>
      <c r="I726" s="34"/>
      <c r="J726" s="34"/>
      <c r="K726" s="34"/>
      <c r="L726" s="34"/>
      <c r="M726" s="34"/>
      <c r="N726" s="42"/>
      <c r="O726" s="42"/>
      <c r="P726" s="42"/>
      <c r="Q726" s="42"/>
      <c r="R726" s="42"/>
      <c r="S726" s="42"/>
      <c r="T726" s="42"/>
    </row>
    <row r="727">
      <c r="E727" s="34"/>
      <c r="F727" s="34"/>
      <c r="G727" s="34"/>
      <c r="H727" s="34"/>
      <c r="I727" s="34"/>
      <c r="J727" s="34"/>
      <c r="K727" s="34"/>
      <c r="L727" s="34"/>
      <c r="M727" s="34"/>
      <c r="N727" s="42"/>
      <c r="O727" s="42"/>
      <c r="P727" s="42"/>
      <c r="Q727" s="42"/>
      <c r="R727" s="42"/>
      <c r="S727" s="42"/>
      <c r="T727" s="42"/>
    </row>
    <row r="728">
      <c r="E728" s="34"/>
      <c r="F728" s="34"/>
      <c r="G728" s="34"/>
      <c r="H728" s="34"/>
      <c r="I728" s="34"/>
      <c r="J728" s="34"/>
      <c r="K728" s="34"/>
      <c r="L728" s="34"/>
      <c r="M728" s="34"/>
      <c r="N728" s="42"/>
      <c r="O728" s="42"/>
      <c r="P728" s="42"/>
      <c r="Q728" s="42"/>
      <c r="R728" s="42"/>
      <c r="S728" s="42"/>
      <c r="T728" s="42"/>
    </row>
    <row r="729">
      <c r="E729" s="34"/>
      <c r="F729" s="34"/>
      <c r="G729" s="34"/>
      <c r="H729" s="34"/>
      <c r="I729" s="34"/>
      <c r="J729" s="34"/>
      <c r="K729" s="34"/>
      <c r="L729" s="34"/>
      <c r="M729" s="34"/>
      <c r="N729" s="42"/>
      <c r="O729" s="42"/>
      <c r="P729" s="42"/>
      <c r="Q729" s="42"/>
      <c r="R729" s="42"/>
      <c r="S729" s="42"/>
      <c r="T729" s="42"/>
    </row>
    <row r="730">
      <c r="E730" s="34"/>
      <c r="F730" s="34"/>
      <c r="G730" s="34"/>
      <c r="H730" s="34"/>
      <c r="I730" s="34"/>
      <c r="J730" s="34"/>
      <c r="K730" s="34"/>
      <c r="L730" s="34"/>
      <c r="M730" s="34"/>
      <c r="N730" s="42"/>
      <c r="O730" s="42"/>
      <c r="P730" s="42"/>
      <c r="Q730" s="42"/>
      <c r="R730" s="42"/>
      <c r="S730" s="42"/>
      <c r="T730" s="42"/>
    </row>
    <row r="731">
      <c r="E731" s="34"/>
      <c r="F731" s="34"/>
      <c r="G731" s="34"/>
      <c r="H731" s="34"/>
      <c r="I731" s="34"/>
      <c r="J731" s="34"/>
      <c r="K731" s="34"/>
      <c r="L731" s="34"/>
      <c r="M731" s="34"/>
      <c r="N731" s="42"/>
      <c r="O731" s="42"/>
      <c r="P731" s="42"/>
      <c r="Q731" s="42"/>
      <c r="R731" s="42"/>
      <c r="S731" s="42"/>
      <c r="T731" s="42"/>
    </row>
    <row r="732">
      <c r="E732" s="34"/>
      <c r="F732" s="34"/>
      <c r="G732" s="34"/>
      <c r="H732" s="34"/>
      <c r="I732" s="34"/>
      <c r="J732" s="34"/>
      <c r="K732" s="34"/>
      <c r="L732" s="34"/>
      <c r="M732" s="34"/>
      <c r="N732" s="42"/>
      <c r="O732" s="42"/>
      <c r="P732" s="42"/>
      <c r="Q732" s="42"/>
      <c r="R732" s="42"/>
      <c r="S732" s="42"/>
      <c r="T732" s="42"/>
    </row>
    <row r="733">
      <c r="E733" s="34"/>
      <c r="F733" s="34"/>
      <c r="G733" s="34"/>
      <c r="H733" s="34"/>
      <c r="I733" s="34"/>
      <c r="J733" s="34"/>
      <c r="K733" s="34"/>
      <c r="L733" s="34"/>
      <c r="M733" s="34"/>
      <c r="N733" s="42"/>
      <c r="O733" s="42"/>
      <c r="P733" s="42"/>
      <c r="Q733" s="42"/>
      <c r="R733" s="42"/>
      <c r="S733" s="42"/>
      <c r="T733" s="42"/>
    </row>
    <row r="734">
      <c r="E734" s="34"/>
      <c r="F734" s="34"/>
      <c r="G734" s="34"/>
      <c r="H734" s="34"/>
      <c r="I734" s="34"/>
      <c r="J734" s="34"/>
      <c r="K734" s="34"/>
      <c r="L734" s="34"/>
      <c r="M734" s="34"/>
      <c r="N734" s="42"/>
      <c r="O734" s="42"/>
      <c r="P734" s="42"/>
      <c r="Q734" s="42"/>
      <c r="R734" s="42"/>
      <c r="S734" s="42"/>
      <c r="T734" s="42"/>
    </row>
    <row r="735">
      <c r="E735" s="34"/>
      <c r="F735" s="34"/>
      <c r="G735" s="34"/>
      <c r="H735" s="34"/>
      <c r="I735" s="34"/>
      <c r="J735" s="34"/>
      <c r="K735" s="34"/>
      <c r="L735" s="34"/>
      <c r="M735" s="34"/>
      <c r="N735" s="42"/>
      <c r="O735" s="42"/>
      <c r="P735" s="42"/>
      <c r="Q735" s="42"/>
      <c r="R735" s="42"/>
      <c r="S735" s="42"/>
      <c r="T735" s="42"/>
    </row>
    <row r="736">
      <c r="E736" s="34"/>
      <c r="F736" s="34"/>
      <c r="G736" s="34"/>
      <c r="H736" s="34"/>
      <c r="I736" s="34"/>
      <c r="J736" s="34"/>
      <c r="K736" s="34"/>
      <c r="L736" s="34"/>
      <c r="M736" s="34"/>
      <c r="N736" s="42"/>
      <c r="O736" s="42"/>
      <c r="P736" s="42"/>
      <c r="Q736" s="42"/>
      <c r="R736" s="42"/>
      <c r="S736" s="42"/>
      <c r="T736" s="42"/>
    </row>
    <row r="737">
      <c r="E737" s="34"/>
      <c r="F737" s="34"/>
      <c r="G737" s="34"/>
      <c r="H737" s="34"/>
      <c r="I737" s="34"/>
      <c r="J737" s="34"/>
      <c r="K737" s="34"/>
      <c r="L737" s="34"/>
      <c r="M737" s="34"/>
      <c r="N737" s="42"/>
      <c r="O737" s="42"/>
      <c r="P737" s="42"/>
      <c r="Q737" s="42"/>
      <c r="R737" s="42"/>
      <c r="S737" s="42"/>
      <c r="T737" s="42"/>
    </row>
    <row r="738">
      <c r="E738" s="34"/>
      <c r="F738" s="34"/>
      <c r="G738" s="34"/>
      <c r="H738" s="34"/>
      <c r="I738" s="34"/>
      <c r="J738" s="34"/>
      <c r="K738" s="34"/>
      <c r="L738" s="34"/>
      <c r="M738" s="34"/>
      <c r="N738" s="42"/>
      <c r="O738" s="42"/>
      <c r="P738" s="42"/>
      <c r="Q738" s="42"/>
      <c r="R738" s="42"/>
      <c r="S738" s="42"/>
      <c r="T738" s="42"/>
    </row>
    <row r="739">
      <c r="E739" s="34"/>
      <c r="F739" s="34"/>
      <c r="G739" s="34"/>
      <c r="H739" s="34"/>
      <c r="I739" s="34"/>
      <c r="J739" s="34"/>
      <c r="K739" s="34"/>
      <c r="L739" s="34"/>
      <c r="M739" s="34"/>
      <c r="N739" s="42"/>
      <c r="O739" s="42"/>
      <c r="P739" s="42"/>
      <c r="Q739" s="42"/>
      <c r="R739" s="42"/>
      <c r="S739" s="42"/>
      <c r="T739" s="42"/>
    </row>
    <row r="740">
      <c r="E740" s="34"/>
      <c r="F740" s="34"/>
      <c r="G740" s="34"/>
      <c r="H740" s="34"/>
      <c r="I740" s="34"/>
      <c r="J740" s="34"/>
      <c r="K740" s="34"/>
      <c r="L740" s="34"/>
      <c r="M740" s="34"/>
      <c r="N740" s="42"/>
      <c r="O740" s="42"/>
      <c r="P740" s="42"/>
      <c r="Q740" s="42"/>
      <c r="R740" s="42"/>
      <c r="S740" s="42"/>
      <c r="T740" s="42"/>
    </row>
    <row r="741">
      <c r="E741" s="34"/>
      <c r="F741" s="34"/>
      <c r="G741" s="34"/>
      <c r="H741" s="34"/>
      <c r="I741" s="34"/>
      <c r="J741" s="34"/>
      <c r="K741" s="34"/>
      <c r="L741" s="34"/>
      <c r="M741" s="34"/>
      <c r="N741" s="42"/>
      <c r="O741" s="42"/>
      <c r="P741" s="42"/>
      <c r="Q741" s="42"/>
      <c r="R741" s="42"/>
      <c r="S741" s="42"/>
      <c r="T741" s="42"/>
    </row>
    <row r="742">
      <c r="E742" s="34"/>
      <c r="F742" s="34"/>
      <c r="G742" s="34"/>
      <c r="H742" s="34"/>
      <c r="I742" s="34"/>
      <c r="J742" s="34"/>
      <c r="K742" s="34"/>
      <c r="L742" s="34"/>
      <c r="M742" s="34"/>
      <c r="N742" s="42"/>
      <c r="O742" s="42"/>
      <c r="P742" s="42"/>
      <c r="Q742" s="42"/>
      <c r="R742" s="42"/>
      <c r="S742" s="42"/>
      <c r="T742" s="42"/>
    </row>
    <row r="743">
      <c r="E743" s="34"/>
      <c r="F743" s="34"/>
      <c r="G743" s="34"/>
      <c r="H743" s="34"/>
      <c r="I743" s="34"/>
      <c r="J743" s="34"/>
      <c r="K743" s="34"/>
      <c r="L743" s="34"/>
      <c r="M743" s="34"/>
      <c r="N743" s="42"/>
      <c r="O743" s="42"/>
      <c r="P743" s="42"/>
      <c r="Q743" s="42"/>
      <c r="R743" s="42"/>
      <c r="S743" s="42"/>
      <c r="T743" s="42"/>
    </row>
    <row r="744">
      <c r="E744" s="34"/>
      <c r="F744" s="34"/>
      <c r="G744" s="34"/>
      <c r="H744" s="34"/>
      <c r="I744" s="34"/>
      <c r="J744" s="34"/>
      <c r="K744" s="34"/>
      <c r="L744" s="34"/>
      <c r="M744" s="34"/>
      <c r="N744" s="42"/>
      <c r="O744" s="42"/>
      <c r="P744" s="42"/>
      <c r="Q744" s="42"/>
      <c r="R744" s="42"/>
      <c r="S744" s="42"/>
      <c r="T744" s="42"/>
    </row>
    <row r="745">
      <c r="E745" s="34"/>
      <c r="F745" s="34"/>
      <c r="G745" s="34"/>
      <c r="H745" s="34"/>
      <c r="I745" s="34"/>
      <c r="J745" s="34"/>
      <c r="K745" s="34"/>
      <c r="L745" s="34"/>
      <c r="M745" s="34"/>
      <c r="N745" s="42"/>
      <c r="O745" s="42"/>
      <c r="P745" s="42"/>
      <c r="Q745" s="42"/>
      <c r="R745" s="42"/>
      <c r="S745" s="42"/>
      <c r="T745" s="42"/>
    </row>
    <row r="746">
      <c r="E746" s="34"/>
      <c r="F746" s="34"/>
      <c r="G746" s="34"/>
      <c r="H746" s="34"/>
      <c r="I746" s="34"/>
      <c r="J746" s="34"/>
      <c r="K746" s="34"/>
      <c r="L746" s="34"/>
      <c r="M746" s="34"/>
      <c r="N746" s="42"/>
      <c r="O746" s="42"/>
      <c r="P746" s="42"/>
      <c r="Q746" s="42"/>
      <c r="R746" s="42"/>
      <c r="S746" s="42"/>
      <c r="T746" s="42"/>
    </row>
    <row r="747">
      <c r="E747" s="34"/>
      <c r="F747" s="34"/>
      <c r="G747" s="34"/>
      <c r="H747" s="34"/>
      <c r="I747" s="34"/>
      <c r="J747" s="34"/>
      <c r="K747" s="34"/>
      <c r="L747" s="34"/>
      <c r="M747" s="34"/>
      <c r="N747" s="42"/>
      <c r="O747" s="42"/>
      <c r="P747" s="42"/>
      <c r="Q747" s="42"/>
      <c r="R747" s="42"/>
      <c r="S747" s="42"/>
      <c r="T747" s="42"/>
    </row>
    <row r="748">
      <c r="E748" s="34"/>
      <c r="F748" s="34"/>
      <c r="G748" s="34"/>
      <c r="H748" s="34"/>
      <c r="I748" s="34"/>
      <c r="J748" s="34"/>
      <c r="K748" s="34"/>
      <c r="L748" s="34"/>
      <c r="M748" s="34"/>
      <c r="N748" s="42"/>
      <c r="O748" s="42"/>
      <c r="P748" s="42"/>
      <c r="Q748" s="42"/>
      <c r="R748" s="42"/>
      <c r="S748" s="42"/>
      <c r="T748" s="42"/>
    </row>
    <row r="749">
      <c r="E749" s="34"/>
      <c r="F749" s="34"/>
      <c r="G749" s="34"/>
      <c r="H749" s="34"/>
      <c r="I749" s="34"/>
      <c r="J749" s="34"/>
      <c r="K749" s="34"/>
      <c r="L749" s="34"/>
      <c r="M749" s="34"/>
      <c r="N749" s="42"/>
      <c r="O749" s="42"/>
      <c r="P749" s="42"/>
      <c r="Q749" s="42"/>
      <c r="R749" s="42"/>
      <c r="S749" s="42"/>
      <c r="T749" s="42"/>
    </row>
    <row r="750">
      <c r="E750" s="34"/>
      <c r="F750" s="34"/>
      <c r="G750" s="34"/>
      <c r="H750" s="34"/>
      <c r="I750" s="34"/>
      <c r="J750" s="34"/>
      <c r="K750" s="34"/>
      <c r="L750" s="34"/>
      <c r="M750" s="34"/>
      <c r="N750" s="42"/>
      <c r="O750" s="42"/>
      <c r="P750" s="42"/>
      <c r="Q750" s="42"/>
      <c r="R750" s="42"/>
      <c r="S750" s="42"/>
      <c r="T750" s="42"/>
    </row>
    <row r="751">
      <c r="E751" s="34"/>
      <c r="F751" s="34"/>
      <c r="G751" s="34"/>
      <c r="H751" s="34"/>
      <c r="I751" s="34"/>
      <c r="J751" s="34"/>
      <c r="K751" s="34"/>
      <c r="L751" s="34"/>
      <c r="M751" s="34"/>
      <c r="N751" s="42"/>
      <c r="O751" s="42"/>
      <c r="P751" s="42"/>
      <c r="Q751" s="42"/>
      <c r="R751" s="42"/>
      <c r="S751" s="42"/>
      <c r="T751" s="42"/>
    </row>
    <row r="752">
      <c r="E752" s="34"/>
      <c r="F752" s="34"/>
      <c r="G752" s="34"/>
      <c r="H752" s="34"/>
      <c r="I752" s="34"/>
      <c r="J752" s="34"/>
      <c r="K752" s="34"/>
      <c r="L752" s="34"/>
      <c r="M752" s="34"/>
      <c r="N752" s="42"/>
      <c r="O752" s="42"/>
      <c r="P752" s="42"/>
      <c r="Q752" s="42"/>
      <c r="R752" s="42"/>
      <c r="S752" s="42"/>
      <c r="T752" s="42"/>
    </row>
    <row r="753">
      <c r="E753" s="34"/>
      <c r="F753" s="34"/>
      <c r="G753" s="34"/>
      <c r="H753" s="34"/>
      <c r="I753" s="34"/>
      <c r="J753" s="34"/>
      <c r="K753" s="34"/>
      <c r="L753" s="34"/>
      <c r="M753" s="34"/>
      <c r="N753" s="42"/>
      <c r="O753" s="42"/>
      <c r="P753" s="42"/>
      <c r="Q753" s="42"/>
      <c r="R753" s="42"/>
      <c r="S753" s="42"/>
      <c r="T753" s="42"/>
    </row>
    <row r="754">
      <c r="E754" s="34"/>
      <c r="F754" s="34"/>
      <c r="G754" s="34"/>
      <c r="H754" s="34"/>
      <c r="I754" s="34"/>
      <c r="J754" s="34"/>
      <c r="K754" s="34"/>
      <c r="L754" s="34"/>
      <c r="M754" s="34"/>
      <c r="N754" s="42"/>
      <c r="O754" s="42"/>
      <c r="P754" s="42"/>
      <c r="Q754" s="42"/>
      <c r="R754" s="42"/>
      <c r="S754" s="42"/>
      <c r="T754" s="42"/>
    </row>
    <row r="755">
      <c r="E755" s="34"/>
      <c r="F755" s="34"/>
      <c r="G755" s="34"/>
      <c r="H755" s="34"/>
      <c r="I755" s="34"/>
      <c r="J755" s="34"/>
      <c r="K755" s="34"/>
      <c r="L755" s="34"/>
      <c r="M755" s="34"/>
      <c r="N755" s="42"/>
      <c r="O755" s="42"/>
      <c r="P755" s="42"/>
      <c r="Q755" s="42"/>
      <c r="R755" s="42"/>
      <c r="S755" s="42"/>
      <c r="T755" s="42"/>
    </row>
    <row r="756">
      <c r="E756" s="34"/>
      <c r="F756" s="34"/>
      <c r="G756" s="34"/>
      <c r="H756" s="34"/>
      <c r="I756" s="34"/>
      <c r="J756" s="34"/>
      <c r="K756" s="34"/>
      <c r="L756" s="34"/>
      <c r="M756" s="34"/>
      <c r="N756" s="42"/>
      <c r="O756" s="42"/>
      <c r="P756" s="42"/>
      <c r="Q756" s="42"/>
      <c r="R756" s="42"/>
      <c r="S756" s="42"/>
      <c r="T756" s="42"/>
    </row>
    <row r="757">
      <c r="E757" s="34"/>
      <c r="F757" s="34"/>
      <c r="G757" s="34"/>
      <c r="H757" s="34"/>
      <c r="I757" s="34"/>
      <c r="J757" s="34"/>
      <c r="K757" s="34"/>
      <c r="L757" s="34"/>
      <c r="M757" s="34"/>
      <c r="N757" s="42"/>
      <c r="O757" s="42"/>
      <c r="P757" s="42"/>
      <c r="Q757" s="42"/>
      <c r="R757" s="42"/>
      <c r="S757" s="42"/>
      <c r="T757" s="42"/>
    </row>
    <row r="758">
      <c r="E758" s="34"/>
      <c r="F758" s="34"/>
      <c r="G758" s="34"/>
      <c r="H758" s="34"/>
      <c r="I758" s="34"/>
      <c r="J758" s="34"/>
      <c r="K758" s="34"/>
      <c r="L758" s="34"/>
      <c r="M758" s="34"/>
      <c r="N758" s="42"/>
      <c r="O758" s="42"/>
      <c r="P758" s="42"/>
      <c r="Q758" s="42"/>
      <c r="R758" s="42"/>
      <c r="S758" s="42"/>
      <c r="T758" s="42"/>
    </row>
    <row r="759">
      <c r="E759" s="34"/>
      <c r="F759" s="34"/>
      <c r="G759" s="34"/>
      <c r="H759" s="34"/>
      <c r="I759" s="34"/>
      <c r="J759" s="34"/>
      <c r="K759" s="34"/>
      <c r="L759" s="34"/>
      <c r="M759" s="34"/>
      <c r="N759" s="42"/>
      <c r="O759" s="42"/>
      <c r="P759" s="42"/>
      <c r="Q759" s="42"/>
      <c r="R759" s="42"/>
      <c r="S759" s="42"/>
      <c r="T759" s="42"/>
    </row>
    <row r="760">
      <c r="E760" s="34"/>
      <c r="F760" s="34"/>
      <c r="G760" s="34"/>
      <c r="H760" s="34"/>
      <c r="I760" s="34"/>
      <c r="J760" s="34"/>
      <c r="K760" s="34"/>
      <c r="L760" s="34"/>
      <c r="M760" s="34"/>
      <c r="N760" s="42"/>
      <c r="O760" s="42"/>
      <c r="P760" s="42"/>
      <c r="Q760" s="42"/>
      <c r="R760" s="42"/>
      <c r="S760" s="42"/>
      <c r="T760" s="42"/>
    </row>
    <row r="761">
      <c r="E761" s="34"/>
      <c r="F761" s="34"/>
      <c r="G761" s="34"/>
      <c r="H761" s="34"/>
      <c r="I761" s="34"/>
      <c r="J761" s="34"/>
      <c r="K761" s="34"/>
      <c r="L761" s="34"/>
      <c r="M761" s="34"/>
      <c r="N761" s="42"/>
      <c r="O761" s="42"/>
      <c r="P761" s="42"/>
      <c r="Q761" s="42"/>
      <c r="R761" s="42"/>
      <c r="S761" s="42"/>
      <c r="T761" s="42"/>
    </row>
    <row r="762">
      <c r="E762" s="34"/>
      <c r="F762" s="34"/>
      <c r="G762" s="34"/>
      <c r="H762" s="34"/>
      <c r="I762" s="34"/>
      <c r="J762" s="34"/>
      <c r="K762" s="34"/>
      <c r="L762" s="34"/>
      <c r="M762" s="34"/>
      <c r="N762" s="42"/>
      <c r="O762" s="42"/>
      <c r="P762" s="42"/>
      <c r="Q762" s="42"/>
      <c r="R762" s="42"/>
      <c r="S762" s="42"/>
      <c r="T762" s="42"/>
    </row>
    <row r="763">
      <c r="E763" s="34"/>
      <c r="F763" s="34"/>
      <c r="G763" s="34"/>
      <c r="H763" s="34"/>
      <c r="I763" s="34"/>
      <c r="J763" s="34"/>
      <c r="K763" s="34"/>
      <c r="L763" s="34"/>
      <c r="M763" s="34"/>
      <c r="N763" s="42"/>
      <c r="O763" s="42"/>
      <c r="P763" s="42"/>
      <c r="Q763" s="42"/>
      <c r="R763" s="42"/>
      <c r="S763" s="42"/>
      <c r="T763" s="42"/>
    </row>
    <row r="764">
      <c r="E764" s="34"/>
      <c r="F764" s="34"/>
      <c r="G764" s="34"/>
      <c r="H764" s="34"/>
      <c r="I764" s="34"/>
      <c r="J764" s="34"/>
      <c r="K764" s="34"/>
      <c r="L764" s="34"/>
      <c r="M764" s="34"/>
      <c r="N764" s="42"/>
      <c r="O764" s="42"/>
      <c r="P764" s="42"/>
      <c r="Q764" s="42"/>
      <c r="R764" s="42"/>
      <c r="S764" s="42"/>
      <c r="T764" s="42"/>
    </row>
    <row r="765">
      <c r="E765" s="34"/>
      <c r="F765" s="34"/>
      <c r="G765" s="34"/>
      <c r="H765" s="34"/>
      <c r="I765" s="34"/>
      <c r="J765" s="34"/>
      <c r="K765" s="34"/>
      <c r="L765" s="34"/>
      <c r="M765" s="34"/>
      <c r="N765" s="42"/>
      <c r="O765" s="42"/>
      <c r="P765" s="42"/>
      <c r="Q765" s="42"/>
      <c r="R765" s="42"/>
      <c r="S765" s="42"/>
      <c r="T765" s="42"/>
    </row>
    <row r="766">
      <c r="E766" s="34"/>
      <c r="F766" s="34"/>
      <c r="G766" s="34"/>
      <c r="H766" s="34"/>
      <c r="I766" s="34"/>
      <c r="J766" s="34"/>
      <c r="K766" s="34"/>
      <c r="L766" s="34"/>
      <c r="M766" s="34"/>
      <c r="N766" s="42"/>
      <c r="O766" s="42"/>
      <c r="P766" s="42"/>
      <c r="Q766" s="42"/>
      <c r="R766" s="42"/>
      <c r="S766" s="42"/>
      <c r="T766" s="42"/>
    </row>
    <row r="767">
      <c r="E767" s="34"/>
      <c r="F767" s="34"/>
      <c r="G767" s="34"/>
      <c r="H767" s="34"/>
      <c r="I767" s="34"/>
      <c r="J767" s="34"/>
      <c r="K767" s="34"/>
      <c r="L767" s="34"/>
      <c r="M767" s="34"/>
      <c r="N767" s="42"/>
      <c r="O767" s="42"/>
      <c r="P767" s="42"/>
      <c r="Q767" s="42"/>
      <c r="R767" s="42"/>
      <c r="S767" s="42"/>
      <c r="T767" s="42"/>
    </row>
    <row r="768">
      <c r="E768" s="34"/>
      <c r="F768" s="34"/>
      <c r="G768" s="34"/>
      <c r="H768" s="34"/>
      <c r="I768" s="34"/>
      <c r="J768" s="34"/>
      <c r="K768" s="34"/>
      <c r="L768" s="34"/>
      <c r="M768" s="34"/>
      <c r="N768" s="42"/>
      <c r="O768" s="42"/>
      <c r="P768" s="42"/>
      <c r="Q768" s="42"/>
      <c r="R768" s="42"/>
      <c r="S768" s="42"/>
      <c r="T768" s="42"/>
    </row>
    <row r="769">
      <c r="E769" s="34"/>
      <c r="F769" s="34"/>
      <c r="G769" s="34"/>
      <c r="H769" s="34"/>
      <c r="I769" s="34"/>
      <c r="J769" s="34"/>
      <c r="K769" s="34"/>
      <c r="L769" s="34"/>
      <c r="M769" s="34"/>
      <c r="N769" s="42"/>
      <c r="O769" s="42"/>
      <c r="P769" s="42"/>
      <c r="Q769" s="42"/>
      <c r="R769" s="42"/>
      <c r="S769" s="42"/>
      <c r="T769" s="42"/>
    </row>
    <row r="770">
      <c r="E770" s="34"/>
      <c r="F770" s="34"/>
      <c r="G770" s="34"/>
      <c r="H770" s="34"/>
      <c r="I770" s="34"/>
      <c r="J770" s="34"/>
      <c r="K770" s="34"/>
      <c r="L770" s="34"/>
      <c r="M770" s="34"/>
      <c r="N770" s="42"/>
      <c r="O770" s="42"/>
      <c r="P770" s="42"/>
      <c r="Q770" s="42"/>
      <c r="R770" s="42"/>
      <c r="S770" s="42"/>
      <c r="T770" s="42"/>
    </row>
    <row r="771">
      <c r="E771" s="34"/>
      <c r="F771" s="34"/>
      <c r="G771" s="34"/>
      <c r="H771" s="34"/>
      <c r="I771" s="34"/>
      <c r="J771" s="34"/>
      <c r="K771" s="34"/>
      <c r="L771" s="34"/>
      <c r="M771" s="34"/>
      <c r="N771" s="42"/>
      <c r="O771" s="42"/>
      <c r="P771" s="42"/>
      <c r="Q771" s="42"/>
      <c r="R771" s="42"/>
      <c r="S771" s="42"/>
      <c r="T771" s="42"/>
    </row>
    <row r="772">
      <c r="E772" s="34"/>
      <c r="F772" s="34"/>
      <c r="G772" s="34"/>
      <c r="H772" s="34"/>
      <c r="I772" s="34"/>
      <c r="J772" s="34"/>
      <c r="K772" s="34"/>
      <c r="L772" s="34"/>
      <c r="M772" s="34"/>
      <c r="N772" s="42"/>
      <c r="O772" s="42"/>
      <c r="P772" s="42"/>
      <c r="Q772" s="42"/>
      <c r="R772" s="42"/>
      <c r="S772" s="42"/>
      <c r="T772" s="42"/>
    </row>
    <row r="773">
      <c r="E773" s="34"/>
      <c r="F773" s="34"/>
      <c r="G773" s="34"/>
      <c r="H773" s="34"/>
      <c r="I773" s="34"/>
      <c r="J773" s="34"/>
      <c r="K773" s="34"/>
      <c r="L773" s="34"/>
      <c r="M773" s="34"/>
      <c r="N773" s="42"/>
      <c r="O773" s="42"/>
      <c r="P773" s="42"/>
      <c r="Q773" s="42"/>
      <c r="R773" s="42"/>
      <c r="S773" s="42"/>
      <c r="T773" s="42"/>
    </row>
    <row r="774">
      <c r="E774" s="34"/>
      <c r="F774" s="34"/>
      <c r="G774" s="34"/>
      <c r="H774" s="34"/>
      <c r="I774" s="34"/>
      <c r="J774" s="34"/>
      <c r="K774" s="34"/>
      <c r="L774" s="34"/>
      <c r="M774" s="34"/>
      <c r="N774" s="42"/>
      <c r="O774" s="42"/>
      <c r="P774" s="42"/>
      <c r="Q774" s="42"/>
      <c r="R774" s="42"/>
      <c r="S774" s="42"/>
      <c r="T774" s="42"/>
    </row>
    <row r="775">
      <c r="E775" s="34"/>
      <c r="F775" s="34"/>
      <c r="G775" s="34"/>
      <c r="H775" s="34"/>
      <c r="I775" s="34"/>
      <c r="J775" s="34"/>
      <c r="K775" s="34"/>
      <c r="L775" s="34"/>
      <c r="M775" s="34"/>
      <c r="N775" s="42"/>
      <c r="O775" s="42"/>
      <c r="P775" s="42"/>
      <c r="Q775" s="42"/>
      <c r="R775" s="42"/>
      <c r="S775" s="42"/>
      <c r="T775" s="42"/>
    </row>
    <row r="776">
      <c r="E776" s="34"/>
      <c r="F776" s="34"/>
      <c r="G776" s="34"/>
      <c r="H776" s="34"/>
      <c r="I776" s="34"/>
      <c r="J776" s="34"/>
      <c r="K776" s="34"/>
      <c r="L776" s="34"/>
      <c r="M776" s="34"/>
      <c r="N776" s="42"/>
      <c r="O776" s="42"/>
      <c r="P776" s="42"/>
      <c r="Q776" s="42"/>
      <c r="R776" s="42"/>
      <c r="S776" s="42"/>
      <c r="T776" s="42"/>
    </row>
    <row r="777">
      <c r="E777" s="34"/>
      <c r="F777" s="34"/>
      <c r="G777" s="34"/>
      <c r="H777" s="34"/>
      <c r="I777" s="34"/>
      <c r="J777" s="34"/>
      <c r="K777" s="34"/>
      <c r="L777" s="34"/>
      <c r="M777" s="34"/>
      <c r="N777" s="42"/>
      <c r="O777" s="42"/>
      <c r="P777" s="42"/>
      <c r="Q777" s="42"/>
      <c r="R777" s="42"/>
      <c r="S777" s="42"/>
      <c r="T777" s="42"/>
    </row>
    <row r="778">
      <c r="E778" s="34"/>
      <c r="F778" s="34"/>
      <c r="G778" s="34"/>
      <c r="H778" s="34"/>
      <c r="I778" s="34"/>
      <c r="J778" s="34"/>
      <c r="K778" s="34"/>
      <c r="L778" s="34"/>
      <c r="M778" s="34"/>
      <c r="N778" s="42"/>
      <c r="O778" s="42"/>
      <c r="P778" s="42"/>
      <c r="Q778" s="42"/>
      <c r="R778" s="42"/>
      <c r="S778" s="42"/>
      <c r="T778" s="42"/>
    </row>
    <row r="779">
      <c r="E779" s="34"/>
      <c r="F779" s="34"/>
      <c r="G779" s="34"/>
      <c r="H779" s="34"/>
      <c r="I779" s="34"/>
      <c r="J779" s="34"/>
      <c r="K779" s="34"/>
      <c r="L779" s="34"/>
      <c r="M779" s="34"/>
      <c r="N779" s="42"/>
      <c r="O779" s="42"/>
      <c r="P779" s="42"/>
      <c r="Q779" s="42"/>
      <c r="R779" s="42"/>
      <c r="S779" s="42"/>
      <c r="T779" s="42"/>
    </row>
    <row r="780">
      <c r="E780" s="34"/>
      <c r="F780" s="34"/>
      <c r="G780" s="34"/>
      <c r="H780" s="34"/>
      <c r="I780" s="34"/>
      <c r="J780" s="34"/>
      <c r="K780" s="34"/>
      <c r="L780" s="34"/>
      <c r="M780" s="34"/>
      <c r="N780" s="42"/>
      <c r="O780" s="42"/>
      <c r="P780" s="42"/>
      <c r="Q780" s="42"/>
      <c r="R780" s="42"/>
      <c r="S780" s="42"/>
      <c r="T780" s="42"/>
    </row>
    <row r="781">
      <c r="E781" s="34"/>
      <c r="F781" s="34"/>
      <c r="G781" s="34"/>
      <c r="H781" s="34"/>
      <c r="I781" s="34"/>
      <c r="J781" s="34"/>
      <c r="K781" s="34"/>
      <c r="L781" s="34"/>
      <c r="M781" s="34"/>
      <c r="N781" s="42"/>
      <c r="O781" s="42"/>
      <c r="P781" s="42"/>
      <c r="Q781" s="42"/>
      <c r="R781" s="42"/>
      <c r="S781" s="42"/>
      <c r="T781" s="42"/>
    </row>
    <row r="782">
      <c r="E782" s="34"/>
      <c r="F782" s="34"/>
      <c r="G782" s="34"/>
      <c r="H782" s="34"/>
      <c r="I782" s="34"/>
      <c r="J782" s="34"/>
      <c r="K782" s="34"/>
      <c r="L782" s="34"/>
      <c r="M782" s="34"/>
      <c r="N782" s="42"/>
      <c r="O782" s="42"/>
      <c r="P782" s="42"/>
      <c r="Q782" s="42"/>
      <c r="R782" s="42"/>
      <c r="S782" s="42"/>
      <c r="T782" s="42"/>
    </row>
    <row r="783">
      <c r="E783" s="34"/>
      <c r="F783" s="34"/>
      <c r="G783" s="34"/>
      <c r="H783" s="34"/>
      <c r="I783" s="34"/>
      <c r="J783" s="34"/>
      <c r="K783" s="34"/>
      <c r="L783" s="34"/>
      <c r="M783" s="34"/>
      <c r="N783" s="42"/>
      <c r="O783" s="42"/>
      <c r="P783" s="42"/>
      <c r="Q783" s="42"/>
      <c r="R783" s="42"/>
      <c r="S783" s="42"/>
      <c r="T783" s="42"/>
    </row>
    <row r="784">
      <c r="E784" s="34"/>
      <c r="F784" s="34"/>
      <c r="G784" s="34"/>
      <c r="H784" s="34"/>
      <c r="I784" s="34"/>
      <c r="J784" s="34"/>
      <c r="K784" s="34"/>
      <c r="L784" s="34"/>
      <c r="M784" s="34"/>
      <c r="N784" s="42"/>
      <c r="O784" s="42"/>
      <c r="P784" s="42"/>
      <c r="Q784" s="42"/>
      <c r="R784" s="42"/>
      <c r="S784" s="42"/>
      <c r="T784" s="42"/>
    </row>
    <row r="785">
      <c r="E785" s="34"/>
      <c r="F785" s="34"/>
      <c r="G785" s="34"/>
      <c r="H785" s="34"/>
      <c r="I785" s="34"/>
      <c r="J785" s="34"/>
      <c r="K785" s="34"/>
      <c r="L785" s="34"/>
      <c r="M785" s="34"/>
      <c r="N785" s="42"/>
      <c r="O785" s="42"/>
      <c r="P785" s="42"/>
      <c r="Q785" s="42"/>
      <c r="R785" s="42"/>
      <c r="S785" s="42"/>
      <c r="T785" s="42"/>
    </row>
    <row r="786">
      <c r="E786" s="34"/>
      <c r="F786" s="34"/>
      <c r="G786" s="34"/>
      <c r="H786" s="34"/>
      <c r="I786" s="34"/>
      <c r="J786" s="34"/>
      <c r="K786" s="34"/>
      <c r="L786" s="34"/>
      <c r="M786" s="34"/>
      <c r="N786" s="42"/>
      <c r="O786" s="42"/>
      <c r="P786" s="42"/>
      <c r="Q786" s="42"/>
      <c r="R786" s="42"/>
      <c r="S786" s="42"/>
      <c r="T786" s="42"/>
    </row>
    <row r="787">
      <c r="E787" s="34"/>
      <c r="F787" s="34"/>
      <c r="G787" s="34"/>
      <c r="H787" s="34"/>
      <c r="I787" s="34"/>
      <c r="J787" s="34"/>
      <c r="K787" s="34"/>
      <c r="L787" s="34"/>
      <c r="M787" s="34"/>
      <c r="N787" s="42"/>
      <c r="O787" s="42"/>
      <c r="P787" s="42"/>
      <c r="Q787" s="42"/>
      <c r="R787" s="42"/>
      <c r="S787" s="42"/>
      <c r="T787" s="42"/>
    </row>
    <row r="788">
      <c r="E788" s="34"/>
      <c r="F788" s="34"/>
      <c r="G788" s="34"/>
      <c r="H788" s="34"/>
      <c r="I788" s="34"/>
      <c r="J788" s="34"/>
      <c r="K788" s="34"/>
      <c r="L788" s="34"/>
      <c r="M788" s="34"/>
      <c r="N788" s="42"/>
      <c r="O788" s="42"/>
      <c r="P788" s="42"/>
      <c r="Q788" s="42"/>
      <c r="R788" s="42"/>
      <c r="S788" s="42"/>
      <c r="T788" s="42"/>
    </row>
    <row r="789">
      <c r="E789" s="34"/>
      <c r="F789" s="34"/>
      <c r="G789" s="34"/>
      <c r="H789" s="34"/>
      <c r="I789" s="34"/>
      <c r="J789" s="34"/>
      <c r="K789" s="34"/>
      <c r="L789" s="34"/>
      <c r="M789" s="34"/>
      <c r="N789" s="42"/>
      <c r="O789" s="42"/>
      <c r="P789" s="42"/>
      <c r="Q789" s="42"/>
      <c r="R789" s="42"/>
      <c r="S789" s="42"/>
      <c r="T789" s="42"/>
    </row>
    <row r="790">
      <c r="E790" s="34"/>
      <c r="F790" s="34"/>
      <c r="G790" s="34"/>
      <c r="H790" s="34"/>
      <c r="I790" s="34"/>
      <c r="J790" s="34"/>
      <c r="K790" s="34"/>
      <c r="L790" s="34"/>
      <c r="M790" s="34"/>
      <c r="N790" s="42"/>
      <c r="O790" s="42"/>
      <c r="P790" s="42"/>
      <c r="Q790" s="42"/>
      <c r="R790" s="42"/>
      <c r="S790" s="42"/>
      <c r="T790" s="42"/>
    </row>
    <row r="791">
      <c r="E791" s="34"/>
      <c r="F791" s="34"/>
      <c r="G791" s="34"/>
      <c r="H791" s="34"/>
      <c r="I791" s="34"/>
      <c r="J791" s="34"/>
      <c r="K791" s="34"/>
      <c r="L791" s="34"/>
      <c r="M791" s="34"/>
      <c r="N791" s="42"/>
      <c r="O791" s="42"/>
      <c r="P791" s="42"/>
      <c r="Q791" s="42"/>
      <c r="R791" s="42"/>
      <c r="S791" s="42"/>
      <c r="T791" s="42"/>
    </row>
    <row r="792">
      <c r="E792" s="34"/>
      <c r="F792" s="34"/>
      <c r="G792" s="34"/>
      <c r="H792" s="34"/>
      <c r="I792" s="34"/>
      <c r="J792" s="34"/>
      <c r="K792" s="34"/>
      <c r="L792" s="34"/>
      <c r="M792" s="34"/>
      <c r="N792" s="42"/>
      <c r="O792" s="42"/>
      <c r="P792" s="42"/>
      <c r="Q792" s="42"/>
      <c r="R792" s="42"/>
      <c r="S792" s="42"/>
      <c r="T792" s="42"/>
    </row>
    <row r="793">
      <c r="E793" s="34"/>
      <c r="F793" s="34"/>
      <c r="G793" s="34"/>
      <c r="H793" s="34"/>
      <c r="I793" s="34"/>
      <c r="J793" s="34"/>
      <c r="K793" s="34"/>
      <c r="L793" s="34"/>
      <c r="M793" s="34"/>
      <c r="N793" s="42"/>
      <c r="O793" s="42"/>
      <c r="P793" s="42"/>
      <c r="Q793" s="42"/>
      <c r="R793" s="42"/>
      <c r="S793" s="42"/>
      <c r="T793" s="42"/>
    </row>
    <row r="794">
      <c r="E794" s="34"/>
      <c r="F794" s="34"/>
      <c r="G794" s="34"/>
      <c r="H794" s="34"/>
      <c r="I794" s="34"/>
      <c r="J794" s="34"/>
      <c r="K794" s="34"/>
      <c r="L794" s="34"/>
      <c r="M794" s="34"/>
      <c r="N794" s="42"/>
      <c r="O794" s="42"/>
      <c r="P794" s="42"/>
      <c r="Q794" s="42"/>
      <c r="R794" s="42"/>
      <c r="S794" s="42"/>
      <c r="T794" s="42"/>
    </row>
    <row r="795">
      <c r="E795" s="34"/>
      <c r="F795" s="34"/>
      <c r="G795" s="34"/>
      <c r="H795" s="34"/>
      <c r="I795" s="34"/>
      <c r="J795" s="34"/>
      <c r="K795" s="34"/>
      <c r="L795" s="34"/>
      <c r="M795" s="34"/>
      <c r="N795" s="42"/>
      <c r="O795" s="42"/>
      <c r="P795" s="42"/>
      <c r="Q795" s="42"/>
      <c r="R795" s="42"/>
      <c r="S795" s="42"/>
      <c r="T795" s="42"/>
    </row>
    <row r="796">
      <c r="E796" s="34"/>
      <c r="F796" s="34"/>
      <c r="G796" s="34"/>
      <c r="H796" s="34"/>
      <c r="I796" s="34"/>
      <c r="J796" s="34"/>
      <c r="K796" s="34"/>
      <c r="L796" s="34"/>
      <c r="M796" s="34"/>
      <c r="N796" s="42"/>
      <c r="O796" s="42"/>
      <c r="P796" s="42"/>
      <c r="Q796" s="42"/>
      <c r="R796" s="42"/>
      <c r="S796" s="42"/>
      <c r="T796" s="42"/>
    </row>
    <row r="797">
      <c r="E797" s="34"/>
      <c r="F797" s="34"/>
      <c r="G797" s="34"/>
      <c r="H797" s="34"/>
      <c r="I797" s="34"/>
      <c r="J797" s="34"/>
      <c r="K797" s="34"/>
      <c r="L797" s="34"/>
      <c r="M797" s="34"/>
      <c r="N797" s="42"/>
      <c r="O797" s="42"/>
      <c r="P797" s="42"/>
      <c r="Q797" s="42"/>
      <c r="R797" s="42"/>
      <c r="S797" s="42"/>
      <c r="T797" s="42"/>
    </row>
    <row r="798">
      <c r="E798" s="34"/>
      <c r="F798" s="34"/>
      <c r="G798" s="34"/>
      <c r="H798" s="34"/>
      <c r="I798" s="34"/>
      <c r="J798" s="34"/>
      <c r="K798" s="34"/>
      <c r="L798" s="34"/>
      <c r="M798" s="34"/>
      <c r="N798" s="42"/>
      <c r="O798" s="42"/>
      <c r="P798" s="42"/>
      <c r="Q798" s="42"/>
      <c r="R798" s="42"/>
      <c r="S798" s="42"/>
      <c r="T798" s="42"/>
    </row>
    <row r="799">
      <c r="E799" s="34"/>
      <c r="F799" s="34"/>
      <c r="G799" s="34"/>
      <c r="H799" s="34"/>
      <c r="I799" s="34"/>
      <c r="J799" s="34"/>
      <c r="K799" s="34"/>
      <c r="L799" s="34"/>
      <c r="M799" s="34"/>
      <c r="N799" s="42"/>
      <c r="O799" s="42"/>
      <c r="P799" s="42"/>
      <c r="Q799" s="42"/>
      <c r="R799" s="42"/>
      <c r="S799" s="42"/>
      <c r="T799" s="42"/>
    </row>
    <row r="800">
      <c r="E800" s="34"/>
      <c r="F800" s="34"/>
      <c r="G800" s="34"/>
      <c r="H800" s="34"/>
      <c r="I800" s="34"/>
      <c r="J800" s="34"/>
      <c r="K800" s="34"/>
      <c r="L800" s="34"/>
      <c r="M800" s="34"/>
      <c r="N800" s="42"/>
      <c r="O800" s="42"/>
      <c r="P800" s="42"/>
      <c r="Q800" s="42"/>
      <c r="R800" s="42"/>
      <c r="S800" s="42"/>
      <c r="T800" s="42"/>
    </row>
    <row r="801">
      <c r="E801" s="34"/>
      <c r="F801" s="34"/>
      <c r="G801" s="34"/>
      <c r="H801" s="34"/>
      <c r="I801" s="34"/>
      <c r="J801" s="34"/>
      <c r="K801" s="34"/>
      <c r="L801" s="34"/>
      <c r="M801" s="34"/>
      <c r="N801" s="42"/>
      <c r="O801" s="42"/>
      <c r="P801" s="42"/>
      <c r="Q801" s="42"/>
      <c r="R801" s="42"/>
      <c r="S801" s="42"/>
      <c r="T801" s="42"/>
    </row>
    <row r="802">
      <c r="E802" s="34"/>
      <c r="F802" s="34"/>
      <c r="G802" s="34"/>
      <c r="H802" s="34"/>
      <c r="I802" s="34"/>
      <c r="J802" s="34"/>
      <c r="K802" s="34"/>
      <c r="L802" s="34"/>
      <c r="M802" s="34"/>
      <c r="N802" s="42"/>
      <c r="O802" s="42"/>
      <c r="P802" s="42"/>
      <c r="Q802" s="42"/>
      <c r="R802" s="42"/>
      <c r="S802" s="42"/>
      <c r="T802" s="42"/>
    </row>
    <row r="803">
      <c r="E803" s="34"/>
      <c r="F803" s="34"/>
      <c r="G803" s="34"/>
      <c r="H803" s="34"/>
      <c r="I803" s="34"/>
      <c r="J803" s="34"/>
      <c r="K803" s="34"/>
      <c r="L803" s="34"/>
      <c r="M803" s="34"/>
      <c r="N803" s="42"/>
      <c r="O803" s="42"/>
      <c r="P803" s="42"/>
      <c r="Q803" s="42"/>
      <c r="R803" s="42"/>
      <c r="S803" s="42"/>
      <c r="T803" s="42"/>
    </row>
    <row r="804">
      <c r="E804" s="34"/>
      <c r="F804" s="34"/>
      <c r="G804" s="34"/>
      <c r="H804" s="34"/>
      <c r="I804" s="34"/>
      <c r="J804" s="34"/>
      <c r="K804" s="34"/>
      <c r="L804" s="34"/>
      <c r="M804" s="34"/>
      <c r="N804" s="42"/>
      <c r="O804" s="42"/>
      <c r="P804" s="42"/>
      <c r="Q804" s="42"/>
      <c r="R804" s="42"/>
      <c r="S804" s="42"/>
      <c r="T804" s="42"/>
    </row>
    <row r="805">
      <c r="E805" s="34"/>
      <c r="F805" s="34"/>
      <c r="G805" s="34"/>
      <c r="H805" s="34"/>
      <c r="I805" s="34"/>
      <c r="J805" s="34"/>
      <c r="K805" s="34"/>
      <c r="L805" s="34"/>
      <c r="M805" s="34"/>
      <c r="N805" s="42"/>
      <c r="O805" s="42"/>
      <c r="P805" s="42"/>
      <c r="Q805" s="42"/>
      <c r="R805" s="42"/>
      <c r="S805" s="42"/>
      <c r="T805" s="42"/>
    </row>
    <row r="806">
      <c r="E806" s="34"/>
      <c r="F806" s="34"/>
      <c r="G806" s="34"/>
      <c r="H806" s="34"/>
      <c r="I806" s="34"/>
      <c r="J806" s="34"/>
      <c r="K806" s="34"/>
      <c r="L806" s="34"/>
      <c r="M806" s="34"/>
      <c r="N806" s="42"/>
      <c r="O806" s="42"/>
      <c r="P806" s="42"/>
      <c r="Q806" s="42"/>
      <c r="R806" s="42"/>
      <c r="S806" s="42"/>
      <c r="T806" s="42"/>
    </row>
    <row r="807">
      <c r="E807" s="34"/>
      <c r="F807" s="34"/>
      <c r="G807" s="34"/>
      <c r="H807" s="34"/>
      <c r="I807" s="34"/>
      <c r="J807" s="34"/>
      <c r="K807" s="34"/>
      <c r="L807" s="34"/>
      <c r="M807" s="34"/>
      <c r="N807" s="42"/>
      <c r="O807" s="42"/>
      <c r="P807" s="42"/>
      <c r="Q807" s="42"/>
      <c r="R807" s="42"/>
      <c r="S807" s="42"/>
      <c r="T807" s="42"/>
    </row>
    <row r="808">
      <c r="E808" s="34"/>
      <c r="F808" s="34"/>
      <c r="G808" s="34"/>
      <c r="H808" s="34"/>
      <c r="I808" s="34"/>
      <c r="J808" s="34"/>
      <c r="K808" s="34"/>
      <c r="L808" s="34"/>
      <c r="M808" s="34"/>
      <c r="N808" s="42"/>
      <c r="O808" s="42"/>
      <c r="P808" s="42"/>
      <c r="Q808" s="42"/>
      <c r="R808" s="42"/>
      <c r="S808" s="42"/>
      <c r="T808" s="42"/>
    </row>
    <row r="809">
      <c r="E809" s="34"/>
      <c r="F809" s="34"/>
      <c r="G809" s="34"/>
      <c r="H809" s="34"/>
      <c r="I809" s="34"/>
      <c r="J809" s="34"/>
      <c r="K809" s="34"/>
      <c r="L809" s="34"/>
      <c r="M809" s="34"/>
      <c r="N809" s="42"/>
      <c r="O809" s="42"/>
      <c r="P809" s="42"/>
      <c r="Q809" s="42"/>
      <c r="R809" s="42"/>
      <c r="S809" s="42"/>
      <c r="T809" s="42"/>
    </row>
    <row r="810">
      <c r="E810" s="34"/>
      <c r="F810" s="34"/>
      <c r="G810" s="34"/>
      <c r="H810" s="34"/>
      <c r="I810" s="34"/>
      <c r="J810" s="34"/>
      <c r="K810" s="34"/>
      <c r="L810" s="34"/>
      <c r="M810" s="34"/>
      <c r="N810" s="42"/>
      <c r="O810" s="42"/>
      <c r="P810" s="42"/>
      <c r="Q810" s="42"/>
      <c r="R810" s="42"/>
      <c r="S810" s="42"/>
      <c r="T810" s="42"/>
    </row>
    <row r="811">
      <c r="E811" s="34"/>
      <c r="F811" s="34"/>
      <c r="G811" s="34"/>
      <c r="H811" s="34"/>
      <c r="I811" s="34"/>
      <c r="J811" s="34"/>
      <c r="K811" s="34"/>
      <c r="L811" s="34"/>
      <c r="M811" s="34"/>
      <c r="N811" s="42"/>
      <c r="O811" s="42"/>
      <c r="P811" s="42"/>
      <c r="Q811" s="42"/>
      <c r="R811" s="42"/>
      <c r="S811" s="42"/>
      <c r="T811" s="42"/>
    </row>
    <row r="812">
      <c r="E812" s="34"/>
      <c r="F812" s="34"/>
      <c r="G812" s="34"/>
      <c r="H812" s="34"/>
      <c r="I812" s="34"/>
      <c r="J812" s="34"/>
      <c r="K812" s="34"/>
      <c r="L812" s="34"/>
      <c r="M812" s="34"/>
      <c r="N812" s="42"/>
      <c r="O812" s="42"/>
      <c r="P812" s="42"/>
      <c r="Q812" s="42"/>
      <c r="R812" s="42"/>
      <c r="S812" s="42"/>
      <c r="T812" s="42"/>
    </row>
    <row r="813">
      <c r="E813" s="34"/>
      <c r="F813" s="34"/>
      <c r="G813" s="34"/>
      <c r="H813" s="34"/>
      <c r="I813" s="34"/>
      <c r="J813" s="34"/>
      <c r="K813" s="34"/>
      <c r="L813" s="34"/>
      <c r="M813" s="34"/>
      <c r="N813" s="42"/>
      <c r="O813" s="42"/>
      <c r="P813" s="42"/>
      <c r="Q813" s="42"/>
      <c r="R813" s="42"/>
      <c r="S813" s="42"/>
      <c r="T813" s="42"/>
    </row>
    <row r="814">
      <c r="E814" s="34"/>
      <c r="F814" s="34"/>
      <c r="G814" s="34"/>
      <c r="H814" s="34"/>
      <c r="I814" s="34"/>
      <c r="J814" s="34"/>
      <c r="K814" s="34"/>
      <c r="L814" s="34"/>
      <c r="M814" s="34"/>
      <c r="N814" s="42"/>
      <c r="O814" s="42"/>
      <c r="P814" s="42"/>
      <c r="Q814" s="42"/>
      <c r="R814" s="42"/>
      <c r="S814" s="42"/>
      <c r="T814" s="42"/>
    </row>
    <row r="815">
      <c r="E815" s="34"/>
      <c r="F815" s="34"/>
      <c r="G815" s="34"/>
      <c r="H815" s="34"/>
      <c r="I815" s="34"/>
      <c r="J815" s="34"/>
      <c r="K815" s="34"/>
      <c r="L815" s="34"/>
      <c r="M815" s="34"/>
      <c r="N815" s="42"/>
      <c r="O815" s="42"/>
      <c r="P815" s="42"/>
      <c r="Q815" s="42"/>
      <c r="R815" s="42"/>
      <c r="S815" s="42"/>
      <c r="T815" s="42"/>
    </row>
    <row r="816">
      <c r="E816" s="34"/>
      <c r="F816" s="34"/>
      <c r="G816" s="34"/>
      <c r="H816" s="34"/>
      <c r="I816" s="34"/>
      <c r="J816" s="34"/>
      <c r="K816" s="34"/>
      <c r="L816" s="34"/>
      <c r="M816" s="34"/>
      <c r="N816" s="42"/>
      <c r="O816" s="42"/>
      <c r="P816" s="42"/>
      <c r="Q816" s="42"/>
      <c r="R816" s="42"/>
      <c r="S816" s="42"/>
      <c r="T816" s="42"/>
    </row>
    <row r="817">
      <c r="E817" s="34"/>
      <c r="F817" s="34"/>
      <c r="G817" s="34"/>
      <c r="H817" s="34"/>
      <c r="I817" s="34"/>
      <c r="J817" s="34"/>
      <c r="K817" s="34"/>
      <c r="L817" s="34"/>
      <c r="M817" s="34"/>
      <c r="N817" s="42"/>
      <c r="O817" s="42"/>
      <c r="P817" s="42"/>
      <c r="Q817" s="42"/>
      <c r="R817" s="42"/>
      <c r="S817" s="42"/>
      <c r="T817" s="42"/>
    </row>
    <row r="818">
      <c r="E818" s="34"/>
      <c r="F818" s="34"/>
      <c r="G818" s="34"/>
      <c r="H818" s="34"/>
      <c r="I818" s="34"/>
      <c r="J818" s="34"/>
      <c r="K818" s="34"/>
      <c r="L818" s="34"/>
      <c r="M818" s="34"/>
      <c r="N818" s="42"/>
      <c r="O818" s="42"/>
      <c r="P818" s="42"/>
      <c r="Q818" s="42"/>
      <c r="R818" s="42"/>
      <c r="S818" s="42"/>
      <c r="T818" s="42"/>
    </row>
    <row r="819">
      <c r="E819" s="34"/>
      <c r="F819" s="34"/>
      <c r="G819" s="34"/>
      <c r="H819" s="34"/>
      <c r="I819" s="34"/>
      <c r="J819" s="34"/>
      <c r="K819" s="34"/>
      <c r="L819" s="34"/>
      <c r="M819" s="34"/>
      <c r="N819" s="42"/>
      <c r="O819" s="42"/>
      <c r="P819" s="42"/>
      <c r="Q819" s="42"/>
      <c r="R819" s="42"/>
      <c r="S819" s="42"/>
      <c r="T819" s="42"/>
    </row>
    <row r="820">
      <c r="E820" s="34"/>
      <c r="F820" s="34"/>
      <c r="G820" s="34"/>
      <c r="H820" s="34"/>
      <c r="I820" s="34"/>
      <c r="J820" s="34"/>
      <c r="K820" s="34"/>
      <c r="L820" s="34"/>
      <c r="M820" s="34"/>
      <c r="N820" s="42"/>
      <c r="O820" s="42"/>
      <c r="P820" s="42"/>
      <c r="Q820" s="42"/>
      <c r="R820" s="42"/>
      <c r="S820" s="42"/>
      <c r="T820" s="42"/>
    </row>
    <row r="821">
      <c r="E821" s="34"/>
      <c r="F821" s="34"/>
      <c r="G821" s="34"/>
      <c r="H821" s="34"/>
      <c r="I821" s="34"/>
      <c r="J821" s="34"/>
      <c r="K821" s="34"/>
      <c r="L821" s="34"/>
      <c r="M821" s="34"/>
      <c r="N821" s="42"/>
      <c r="O821" s="42"/>
      <c r="P821" s="42"/>
      <c r="Q821" s="42"/>
      <c r="R821" s="42"/>
      <c r="S821" s="42"/>
      <c r="T821" s="42"/>
    </row>
    <row r="822">
      <c r="E822" s="34"/>
      <c r="F822" s="34"/>
      <c r="G822" s="34"/>
      <c r="H822" s="34"/>
      <c r="I822" s="34"/>
      <c r="J822" s="34"/>
      <c r="K822" s="34"/>
      <c r="L822" s="34"/>
      <c r="M822" s="34"/>
      <c r="N822" s="42"/>
      <c r="O822" s="42"/>
      <c r="P822" s="42"/>
      <c r="Q822" s="42"/>
      <c r="R822" s="42"/>
      <c r="S822" s="42"/>
      <c r="T822" s="42"/>
    </row>
    <row r="823">
      <c r="E823" s="34"/>
      <c r="F823" s="34"/>
      <c r="G823" s="34"/>
      <c r="H823" s="34"/>
      <c r="I823" s="34"/>
      <c r="J823" s="34"/>
      <c r="K823" s="34"/>
      <c r="L823" s="34"/>
      <c r="M823" s="34"/>
      <c r="N823" s="42"/>
      <c r="O823" s="42"/>
      <c r="P823" s="42"/>
      <c r="Q823" s="42"/>
      <c r="R823" s="42"/>
      <c r="S823" s="42"/>
      <c r="T823" s="42"/>
    </row>
    <row r="824">
      <c r="E824" s="34"/>
      <c r="F824" s="34"/>
      <c r="G824" s="34"/>
      <c r="H824" s="34"/>
      <c r="I824" s="34"/>
      <c r="J824" s="34"/>
      <c r="K824" s="34"/>
      <c r="L824" s="34"/>
      <c r="M824" s="34"/>
      <c r="N824" s="42"/>
      <c r="O824" s="42"/>
      <c r="P824" s="42"/>
      <c r="Q824" s="42"/>
      <c r="R824" s="42"/>
      <c r="S824" s="42"/>
      <c r="T824" s="42"/>
    </row>
    <row r="825">
      <c r="E825" s="34"/>
      <c r="F825" s="34"/>
      <c r="G825" s="34"/>
      <c r="H825" s="34"/>
      <c r="I825" s="34"/>
      <c r="J825" s="34"/>
      <c r="K825" s="34"/>
      <c r="L825" s="34"/>
      <c r="M825" s="34"/>
      <c r="N825" s="42"/>
      <c r="O825" s="42"/>
      <c r="P825" s="42"/>
      <c r="Q825" s="42"/>
      <c r="R825" s="42"/>
      <c r="S825" s="42"/>
      <c r="T825" s="42"/>
    </row>
    <row r="826">
      <c r="E826" s="34"/>
      <c r="F826" s="34"/>
      <c r="G826" s="34"/>
      <c r="H826" s="34"/>
      <c r="I826" s="34"/>
      <c r="J826" s="34"/>
      <c r="K826" s="34"/>
      <c r="L826" s="34"/>
      <c r="M826" s="34"/>
      <c r="N826" s="42"/>
      <c r="O826" s="42"/>
      <c r="P826" s="42"/>
      <c r="Q826" s="42"/>
      <c r="R826" s="42"/>
      <c r="S826" s="42"/>
      <c r="T826" s="42"/>
    </row>
    <row r="827">
      <c r="E827" s="34"/>
      <c r="F827" s="34"/>
      <c r="G827" s="34"/>
      <c r="H827" s="34"/>
      <c r="I827" s="34"/>
      <c r="J827" s="34"/>
      <c r="K827" s="34"/>
      <c r="L827" s="34"/>
      <c r="M827" s="34"/>
      <c r="N827" s="42"/>
      <c r="O827" s="42"/>
      <c r="P827" s="42"/>
      <c r="Q827" s="42"/>
      <c r="R827" s="42"/>
      <c r="S827" s="42"/>
      <c r="T827" s="42"/>
    </row>
    <row r="828">
      <c r="E828" s="34"/>
      <c r="F828" s="34"/>
      <c r="G828" s="34"/>
      <c r="H828" s="34"/>
      <c r="I828" s="34"/>
      <c r="J828" s="34"/>
      <c r="K828" s="34"/>
      <c r="L828" s="34"/>
      <c r="M828" s="34"/>
      <c r="N828" s="42"/>
      <c r="O828" s="42"/>
      <c r="P828" s="42"/>
      <c r="Q828" s="42"/>
      <c r="R828" s="42"/>
      <c r="S828" s="42"/>
      <c r="T828" s="42"/>
    </row>
    <row r="829">
      <c r="E829" s="34"/>
      <c r="F829" s="34"/>
      <c r="G829" s="34"/>
      <c r="H829" s="34"/>
      <c r="I829" s="34"/>
      <c r="J829" s="34"/>
      <c r="K829" s="34"/>
      <c r="L829" s="34"/>
      <c r="M829" s="34"/>
      <c r="N829" s="42"/>
      <c r="O829" s="42"/>
      <c r="P829" s="42"/>
      <c r="Q829" s="42"/>
      <c r="R829" s="42"/>
      <c r="S829" s="42"/>
      <c r="T829" s="42"/>
    </row>
    <row r="830">
      <c r="E830" s="34"/>
      <c r="F830" s="34"/>
      <c r="G830" s="34"/>
      <c r="H830" s="34"/>
      <c r="I830" s="34"/>
      <c r="J830" s="34"/>
      <c r="K830" s="34"/>
      <c r="L830" s="34"/>
      <c r="M830" s="34"/>
      <c r="N830" s="42"/>
      <c r="O830" s="42"/>
      <c r="P830" s="42"/>
      <c r="Q830" s="42"/>
      <c r="R830" s="42"/>
      <c r="S830" s="42"/>
      <c r="T830" s="42"/>
    </row>
    <row r="831">
      <c r="E831" s="34"/>
      <c r="F831" s="34"/>
      <c r="G831" s="34"/>
      <c r="H831" s="34"/>
      <c r="I831" s="34"/>
      <c r="J831" s="34"/>
      <c r="K831" s="34"/>
      <c r="L831" s="34"/>
      <c r="M831" s="34"/>
      <c r="N831" s="42"/>
      <c r="O831" s="42"/>
      <c r="P831" s="42"/>
      <c r="Q831" s="42"/>
      <c r="R831" s="42"/>
      <c r="S831" s="42"/>
      <c r="T831" s="42"/>
    </row>
    <row r="832">
      <c r="E832" s="34"/>
      <c r="F832" s="34"/>
      <c r="G832" s="34"/>
      <c r="H832" s="34"/>
      <c r="I832" s="34"/>
      <c r="J832" s="34"/>
      <c r="K832" s="34"/>
      <c r="L832" s="34"/>
      <c r="M832" s="34"/>
      <c r="N832" s="42"/>
      <c r="O832" s="42"/>
      <c r="P832" s="42"/>
      <c r="Q832" s="42"/>
      <c r="R832" s="42"/>
      <c r="S832" s="42"/>
      <c r="T832" s="42"/>
    </row>
    <row r="833">
      <c r="E833" s="34"/>
      <c r="F833" s="34"/>
      <c r="G833" s="34"/>
      <c r="H833" s="34"/>
      <c r="I833" s="34"/>
      <c r="J833" s="34"/>
      <c r="K833" s="34"/>
      <c r="L833" s="34"/>
      <c r="M833" s="34"/>
      <c r="N833" s="42"/>
      <c r="O833" s="42"/>
      <c r="P833" s="42"/>
      <c r="Q833" s="42"/>
      <c r="R833" s="42"/>
      <c r="S833" s="42"/>
      <c r="T833" s="42"/>
    </row>
    <row r="834">
      <c r="E834" s="34"/>
      <c r="F834" s="34"/>
      <c r="G834" s="34"/>
      <c r="H834" s="34"/>
      <c r="I834" s="34"/>
      <c r="J834" s="34"/>
      <c r="K834" s="34"/>
      <c r="L834" s="34"/>
      <c r="M834" s="34"/>
      <c r="N834" s="42"/>
      <c r="O834" s="42"/>
      <c r="P834" s="42"/>
      <c r="Q834" s="42"/>
      <c r="R834" s="42"/>
      <c r="S834" s="42"/>
      <c r="T834" s="42"/>
    </row>
    <row r="835">
      <c r="E835" s="34"/>
      <c r="F835" s="34"/>
      <c r="G835" s="34"/>
      <c r="H835" s="34"/>
      <c r="I835" s="34"/>
      <c r="J835" s="34"/>
      <c r="K835" s="34"/>
      <c r="L835" s="34"/>
      <c r="M835" s="34"/>
      <c r="N835" s="42"/>
      <c r="O835" s="42"/>
      <c r="P835" s="42"/>
      <c r="Q835" s="42"/>
      <c r="R835" s="42"/>
      <c r="S835" s="42"/>
      <c r="T835" s="42"/>
    </row>
    <row r="836">
      <c r="E836" s="34"/>
      <c r="F836" s="34"/>
      <c r="G836" s="34"/>
      <c r="H836" s="34"/>
      <c r="I836" s="34"/>
      <c r="J836" s="34"/>
      <c r="K836" s="34"/>
      <c r="L836" s="34"/>
      <c r="M836" s="34"/>
      <c r="N836" s="42"/>
      <c r="O836" s="42"/>
      <c r="P836" s="42"/>
      <c r="Q836" s="42"/>
      <c r="R836" s="42"/>
      <c r="S836" s="42"/>
      <c r="T836" s="42"/>
    </row>
    <row r="837">
      <c r="E837" s="34"/>
      <c r="F837" s="34"/>
      <c r="G837" s="34"/>
      <c r="H837" s="34"/>
      <c r="I837" s="34"/>
      <c r="J837" s="34"/>
      <c r="K837" s="34"/>
      <c r="L837" s="34"/>
      <c r="M837" s="34"/>
      <c r="N837" s="42"/>
      <c r="O837" s="42"/>
      <c r="P837" s="42"/>
      <c r="Q837" s="42"/>
      <c r="R837" s="42"/>
      <c r="S837" s="42"/>
      <c r="T837" s="42"/>
    </row>
    <row r="838">
      <c r="E838" s="34"/>
      <c r="F838" s="34"/>
      <c r="G838" s="34"/>
      <c r="H838" s="34"/>
      <c r="I838" s="34"/>
      <c r="J838" s="34"/>
      <c r="K838" s="34"/>
      <c r="L838" s="34"/>
      <c r="M838" s="34"/>
      <c r="N838" s="42"/>
      <c r="O838" s="42"/>
      <c r="P838" s="42"/>
      <c r="Q838" s="42"/>
      <c r="R838" s="42"/>
      <c r="S838" s="42"/>
      <c r="T838" s="42"/>
    </row>
    <row r="839">
      <c r="E839" s="34"/>
      <c r="F839" s="34"/>
      <c r="G839" s="34"/>
      <c r="H839" s="34"/>
      <c r="I839" s="34"/>
      <c r="J839" s="34"/>
      <c r="K839" s="34"/>
      <c r="L839" s="34"/>
      <c r="M839" s="34"/>
      <c r="N839" s="42"/>
      <c r="O839" s="42"/>
      <c r="P839" s="42"/>
      <c r="Q839" s="42"/>
      <c r="R839" s="42"/>
      <c r="S839" s="42"/>
      <c r="T839" s="42"/>
    </row>
    <row r="840">
      <c r="E840" s="34"/>
      <c r="F840" s="34"/>
      <c r="G840" s="34"/>
      <c r="H840" s="34"/>
      <c r="I840" s="34"/>
      <c r="J840" s="34"/>
      <c r="K840" s="34"/>
      <c r="L840" s="34"/>
      <c r="M840" s="34"/>
      <c r="N840" s="42"/>
      <c r="O840" s="42"/>
      <c r="P840" s="42"/>
      <c r="Q840" s="42"/>
      <c r="R840" s="42"/>
      <c r="S840" s="42"/>
      <c r="T840" s="42"/>
    </row>
    <row r="841">
      <c r="E841" s="34"/>
      <c r="F841" s="34"/>
      <c r="G841" s="34"/>
      <c r="H841" s="34"/>
      <c r="I841" s="34"/>
      <c r="J841" s="34"/>
      <c r="K841" s="34"/>
      <c r="L841" s="34"/>
      <c r="M841" s="34"/>
      <c r="N841" s="42"/>
      <c r="O841" s="42"/>
      <c r="P841" s="42"/>
      <c r="Q841" s="42"/>
      <c r="R841" s="42"/>
      <c r="S841" s="42"/>
      <c r="T841" s="42"/>
    </row>
    <row r="842">
      <c r="E842" s="34"/>
      <c r="F842" s="34"/>
      <c r="G842" s="34"/>
      <c r="H842" s="34"/>
      <c r="I842" s="34"/>
      <c r="J842" s="34"/>
      <c r="K842" s="34"/>
      <c r="L842" s="34"/>
      <c r="M842" s="34"/>
      <c r="N842" s="42"/>
      <c r="O842" s="42"/>
      <c r="P842" s="42"/>
      <c r="Q842" s="42"/>
      <c r="R842" s="42"/>
      <c r="S842" s="42"/>
      <c r="T842" s="42"/>
    </row>
    <row r="843">
      <c r="E843" s="34"/>
      <c r="F843" s="34"/>
      <c r="G843" s="34"/>
      <c r="H843" s="34"/>
      <c r="I843" s="34"/>
      <c r="J843" s="34"/>
      <c r="K843" s="34"/>
      <c r="L843" s="34"/>
      <c r="M843" s="34"/>
      <c r="N843" s="42"/>
      <c r="O843" s="42"/>
      <c r="P843" s="42"/>
      <c r="Q843" s="42"/>
      <c r="R843" s="42"/>
      <c r="S843" s="42"/>
      <c r="T843" s="42"/>
    </row>
    <row r="844">
      <c r="E844" s="34"/>
      <c r="F844" s="34"/>
      <c r="G844" s="34"/>
      <c r="H844" s="34"/>
      <c r="I844" s="34"/>
      <c r="J844" s="34"/>
      <c r="K844" s="34"/>
      <c r="L844" s="34"/>
      <c r="M844" s="34"/>
      <c r="N844" s="42"/>
      <c r="O844" s="42"/>
      <c r="P844" s="42"/>
      <c r="Q844" s="42"/>
      <c r="R844" s="42"/>
      <c r="S844" s="42"/>
      <c r="T844" s="42"/>
    </row>
    <row r="845">
      <c r="E845" s="34"/>
      <c r="F845" s="34"/>
      <c r="G845" s="34"/>
      <c r="H845" s="34"/>
      <c r="I845" s="34"/>
      <c r="J845" s="34"/>
      <c r="K845" s="34"/>
      <c r="L845" s="34"/>
      <c r="M845" s="34"/>
      <c r="N845" s="42"/>
      <c r="O845" s="42"/>
      <c r="P845" s="42"/>
      <c r="Q845" s="42"/>
      <c r="R845" s="42"/>
      <c r="S845" s="42"/>
      <c r="T845" s="42"/>
    </row>
    <row r="846">
      <c r="E846" s="34"/>
      <c r="F846" s="34"/>
      <c r="G846" s="34"/>
      <c r="H846" s="34"/>
      <c r="I846" s="34"/>
      <c r="J846" s="34"/>
      <c r="K846" s="34"/>
      <c r="L846" s="34"/>
      <c r="M846" s="34"/>
      <c r="N846" s="42"/>
      <c r="O846" s="42"/>
      <c r="P846" s="42"/>
      <c r="Q846" s="42"/>
      <c r="R846" s="42"/>
      <c r="S846" s="42"/>
      <c r="T846" s="42"/>
    </row>
    <row r="847">
      <c r="E847" s="34"/>
      <c r="F847" s="34"/>
      <c r="G847" s="34"/>
      <c r="H847" s="34"/>
      <c r="I847" s="34"/>
      <c r="J847" s="34"/>
      <c r="K847" s="34"/>
      <c r="L847" s="34"/>
      <c r="M847" s="34"/>
      <c r="N847" s="42"/>
      <c r="O847" s="42"/>
      <c r="P847" s="42"/>
      <c r="Q847" s="42"/>
      <c r="R847" s="42"/>
      <c r="S847" s="42"/>
      <c r="T847" s="42"/>
    </row>
    <row r="848">
      <c r="E848" s="34"/>
      <c r="F848" s="34"/>
      <c r="G848" s="34"/>
      <c r="H848" s="34"/>
      <c r="I848" s="34"/>
      <c r="J848" s="34"/>
      <c r="K848" s="34"/>
      <c r="L848" s="34"/>
      <c r="M848" s="34"/>
      <c r="N848" s="42"/>
      <c r="O848" s="42"/>
      <c r="P848" s="42"/>
      <c r="Q848" s="42"/>
      <c r="R848" s="42"/>
      <c r="S848" s="42"/>
      <c r="T848" s="42"/>
    </row>
    <row r="849">
      <c r="E849" s="34"/>
      <c r="F849" s="34"/>
      <c r="G849" s="34"/>
      <c r="H849" s="34"/>
      <c r="I849" s="34"/>
      <c r="J849" s="34"/>
      <c r="K849" s="34"/>
      <c r="L849" s="34"/>
      <c r="M849" s="34"/>
      <c r="N849" s="42"/>
      <c r="O849" s="42"/>
      <c r="P849" s="42"/>
      <c r="Q849" s="42"/>
      <c r="R849" s="42"/>
      <c r="S849" s="42"/>
      <c r="T849" s="42"/>
    </row>
    <row r="850">
      <c r="E850" s="34"/>
      <c r="F850" s="34"/>
      <c r="G850" s="34"/>
      <c r="H850" s="34"/>
      <c r="I850" s="34"/>
      <c r="J850" s="34"/>
      <c r="K850" s="34"/>
      <c r="L850" s="34"/>
      <c r="M850" s="34"/>
      <c r="N850" s="42"/>
      <c r="O850" s="42"/>
      <c r="P850" s="42"/>
      <c r="Q850" s="42"/>
      <c r="R850" s="42"/>
      <c r="S850" s="42"/>
      <c r="T850" s="42"/>
    </row>
    <row r="851">
      <c r="E851" s="34"/>
      <c r="F851" s="34"/>
      <c r="G851" s="34"/>
      <c r="H851" s="34"/>
      <c r="I851" s="34"/>
      <c r="J851" s="34"/>
      <c r="K851" s="34"/>
      <c r="L851" s="34"/>
      <c r="M851" s="34"/>
      <c r="N851" s="42"/>
      <c r="O851" s="42"/>
      <c r="P851" s="42"/>
      <c r="Q851" s="42"/>
      <c r="R851" s="42"/>
      <c r="S851" s="42"/>
      <c r="T851" s="42"/>
    </row>
    <row r="852">
      <c r="E852" s="34"/>
      <c r="F852" s="34"/>
      <c r="G852" s="34"/>
      <c r="H852" s="34"/>
      <c r="I852" s="34"/>
      <c r="J852" s="34"/>
      <c r="K852" s="34"/>
      <c r="L852" s="34"/>
      <c r="M852" s="34"/>
      <c r="N852" s="42"/>
      <c r="O852" s="42"/>
      <c r="P852" s="42"/>
      <c r="Q852" s="42"/>
      <c r="R852" s="42"/>
      <c r="S852" s="42"/>
      <c r="T852" s="42"/>
    </row>
    <row r="853">
      <c r="E853" s="34"/>
      <c r="F853" s="34"/>
      <c r="G853" s="34"/>
      <c r="H853" s="34"/>
      <c r="I853" s="34"/>
      <c r="J853" s="34"/>
      <c r="K853" s="34"/>
      <c r="L853" s="34"/>
      <c r="M853" s="34"/>
      <c r="N853" s="42"/>
      <c r="O853" s="42"/>
      <c r="P853" s="42"/>
      <c r="Q853" s="42"/>
      <c r="R853" s="42"/>
      <c r="S853" s="42"/>
      <c r="T853" s="42"/>
    </row>
    <row r="854">
      <c r="E854" s="34"/>
      <c r="F854" s="34"/>
      <c r="G854" s="34"/>
      <c r="H854" s="34"/>
      <c r="I854" s="34"/>
      <c r="J854" s="34"/>
      <c r="K854" s="34"/>
      <c r="L854" s="34"/>
      <c r="M854" s="34"/>
      <c r="N854" s="42"/>
      <c r="O854" s="42"/>
      <c r="P854" s="42"/>
      <c r="Q854" s="42"/>
      <c r="R854" s="42"/>
      <c r="S854" s="42"/>
      <c r="T854" s="42"/>
    </row>
    <row r="855">
      <c r="E855" s="34"/>
      <c r="F855" s="34"/>
      <c r="G855" s="34"/>
      <c r="H855" s="34"/>
      <c r="I855" s="34"/>
      <c r="J855" s="34"/>
      <c r="K855" s="34"/>
      <c r="L855" s="34"/>
      <c r="M855" s="34"/>
      <c r="N855" s="42"/>
      <c r="O855" s="42"/>
      <c r="P855" s="42"/>
      <c r="Q855" s="42"/>
      <c r="R855" s="42"/>
      <c r="S855" s="42"/>
      <c r="T855" s="42"/>
    </row>
    <row r="856">
      <c r="E856" s="34"/>
      <c r="F856" s="34"/>
      <c r="G856" s="34"/>
      <c r="H856" s="34"/>
      <c r="I856" s="34"/>
      <c r="J856" s="34"/>
      <c r="K856" s="34"/>
      <c r="L856" s="34"/>
      <c r="M856" s="34"/>
      <c r="N856" s="42"/>
      <c r="O856" s="42"/>
      <c r="P856" s="42"/>
      <c r="Q856" s="42"/>
      <c r="R856" s="42"/>
      <c r="S856" s="42"/>
      <c r="T856" s="42"/>
    </row>
    <row r="857">
      <c r="E857" s="34"/>
      <c r="F857" s="34"/>
      <c r="G857" s="34"/>
      <c r="H857" s="34"/>
      <c r="I857" s="34"/>
      <c r="J857" s="34"/>
      <c r="K857" s="34"/>
      <c r="L857" s="34"/>
      <c r="M857" s="34"/>
      <c r="N857" s="42"/>
      <c r="O857" s="42"/>
      <c r="P857" s="42"/>
      <c r="Q857" s="42"/>
      <c r="R857" s="42"/>
      <c r="S857" s="42"/>
      <c r="T857" s="42"/>
    </row>
    <row r="858">
      <c r="E858" s="34"/>
      <c r="F858" s="34"/>
      <c r="G858" s="34"/>
      <c r="H858" s="34"/>
      <c r="I858" s="34"/>
      <c r="J858" s="34"/>
      <c r="K858" s="34"/>
      <c r="L858" s="34"/>
      <c r="M858" s="34"/>
      <c r="N858" s="42"/>
      <c r="O858" s="42"/>
      <c r="P858" s="42"/>
      <c r="Q858" s="42"/>
      <c r="R858" s="42"/>
      <c r="S858" s="42"/>
      <c r="T858" s="42"/>
    </row>
    <row r="859">
      <c r="E859" s="34"/>
      <c r="F859" s="34"/>
      <c r="G859" s="34"/>
      <c r="H859" s="34"/>
      <c r="I859" s="34"/>
      <c r="J859" s="34"/>
      <c r="K859" s="34"/>
      <c r="L859" s="34"/>
      <c r="M859" s="34"/>
      <c r="N859" s="42"/>
      <c r="O859" s="42"/>
      <c r="P859" s="42"/>
      <c r="Q859" s="42"/>
      <c r="R859" s="42"/>
      <c r="S859" s="42"/>
      <c r="T859" s="42"/>
    </row>
    <row r="860">
      <c r="E860" s="34"/>
      <c r="F860" s="34"/>
      <c r="G860" s="34"/>
      <c r="H860" s="34"/>
      <c r="I860" s="34"/>
      <c r="J860" s="34"/>
      <c r="K860" s="34"/>
      <c r="L860" s="34"/>
      <c r="M860" s="34"/>
      <c r="N860" s="42"/>
      <c r="O860" s="42"/>
      <c r="P860" s="42"/>
      <c r="Q860" s="42"/>
      <c r="R860" s="42"/>
      <c r="S860" s="42"/>
      <c r="T860" s="42"/>
    </row>
    <row r="861">
      <c r="E861" s="34"/>
      <c r="F861" s="34"/>
      <c r="G861" s="34"/>
      <c r="H861" s="34"/>
      <c r="I861" s="34"/>
      <c r="J861" s="34"/>
      <c r="K861" s="34"/>
      <c r="L861" s="34"/>
      <c r="M861" s="34"/>
      <c r="N861" s="42"/>
      <c r="O861" s="42"/>
      <c r="P861" s="42"/>
      <c r="Q861" s="42"/>
      <c r="R861" s="42"/>
      <c r="S861" s="42"/>
      <c r="T861" s="42"/>
    </row>
    <row r="862">
      <c r="E862" s="34"/>
      <c r="F862" s="34"/>
      <c r="G862" s="34"/>
      <c r="H862" s="34"/>
      <c r="I862" s="34"/>
      <c r="J862" s="34"/>
      <c r="K862" s="34"/>
      <c r="L862" s="34"/>
      <c r="M862" s="34"/>
      <c r="N862" s="42"/>
      <c r="O862" s="42"/>
      <c r="P862" s="42"/>
      <c r="Q862" s="42"/>
      <c r="R862" s="42"/>
      <c r="S862" s="42"/>
      <c r="T862" s="42"/>
    </row>
    <row r="863">
      <c r="E863" s="34"/>
      <c r="F863" s="34"/>
      <c r="G863" s="34"/>
      <c r="H863" s="34"/>
      <c r="I863" s="34"/>
      <c r="J863" s="34"/>
      <c r="K863" s="34"/>
      <c r="L863" s="34"/>
      <c r="M863" s="34"/>
      <c r="N863" s="42"/>
      <c r="O863" s="42"/>
      <c r="P863" s="42"/>
      <c r="Q863" s="42"/>
      <c r="R863" s="42"/>
      <c r="S863" s="42"/>
      <c r="T863" s="42"/>
    </row>
    <row r="864">
      <c r="E864" s="34"/>
      <c r="F864" s="34"/>
      <c r="G864" s="34"/>
      <c r="H864" s="34"/>
      <c r="I864" s="34"/>
      <c r="J864" s="34"/>
      <c r="K864" s="34"/>
      <c r="L864" s="34"/>
      <c r="M864" s="34"/>
      <c r="N864" s="42"/>
      <c r="O864" s="42"/>
      <c r="P864" s="42"/>
      <c r="Q864" s="42"/>
      <c r="R864" s="42"/>
      <c r="S864" s="42"/>
      <c r="T864" s="42"/>
    </row>
    <row r="865">
      <c r="E865" s="34"/>
      <c r="F865" s="34"/>
      <c r="G865" s="34"/>
      <c r="H865" s="34"/>
      <c r="I865" s="34"/>
      <c r="J865" s="34"/>
      <c r="K865" s="34"/>
      <c r="L865" s="34"/>
      <c r="M865" s="34"/>
      <c r="N865" s="42"/>
      <c r="O865" s="42"/>
      <c r="P865" s="42"/>
      <c r="Q865" s="42"/>
      <c r="R865" s="42"/>
      <c r="S865" s="42"/>
      <c r="T865" s="42"/>
    </row>
    <row r="866">
      <c r="E866" s="34"/>
      <c r="F866" s="34"/>
      <c r="G866" s="34"/>
      <c r="H866" s="34"/>
      <c r="I866" s="34"/>
      <c r="J866" s="34"/>
      <c r="K866" s="34"/>
      <c r="L866" s="34"/>
      <c r="M866" s="34"/>
      <c r="N866" s="42"/>
      <c r="O866" s="42"/>
      <c r="P866" s="42"/>
      <c r="Q866" s="42"/>
      <c r="R866" s="42"/>
      <c r="S866" s="42"/>
      <c r="T866" s="42"/>
    </row>
    <row r="867">
      <c r="E867" s="34"/>
      <c r="F867" s="34"/>
      <c r="G867" s="34"/>
      <c r="H867" s="34"/>
      <c r="I867" s="34"/>
      <c r="J867" s="34"/>
      <c r="K867" s="34"/>
      <c r="L867" s="34"/>
      <c r="M867" s="34"/>
      <c r="N867" s="42"/>
      <c r="O867" s="42"/>
      <c r="P867" s="42"/>
      <c r="Q867" s="42"/>
      <c r="R867" s="42"/>
      <c r="S867" s="42"/>
      <c r="T867" s="42"/>
    </row>
    <row r="868">
      <c r="E868" s="34"/>
      <c r="F868" s="34"/>
      <c r="G868" s="34"/>
      <c r="H868" s="34"/>
      <c r="I868" s="34"/>
      <c r="J868" s="34"/>
      <c r="K868" s="34"/>
      <c r="L868" s="34"/>
      <c r="M868" s="34"/>
      <c r="N868" s="42"/>
      <c r="O868" s="42"/>
      <c r="P868" s="42"/>
      <c r="Q868" s="42"/>
      <c r="R868" s="42"/>
      <c r="S868" s="42"/>
      <c r="T868" s="42"/>
    </row>
    <row r="869">
      <c r="E869" s="34"/>
      <c r="F869" s="34"/>
      <c r="G869" s="34"/>
      <c r="H869" s="34"/>
      <c r="I869" s="34"/>
      <c r="J869" s="34"/>
      <c r="K869" s="34"/>
      <c r="L869" s="34"/>
      <c r="M869" s="34"/>
      <c r="N869" s="42"/>
      <c r="O869" s="42"/>
      <c r="P869" s="42"/>
      <c r="Q869" s="42"/>
      <c r="R869" s="42"/>
      <c r="S869" s="42"/>
      <c r="T869" s="42"/>
    </row>
    <row r="870">
      <c r="E870" s="34"/>
      <c r="F870" s="34"/>
      <c r="G870" s="34"/>
      <c r="H870" s="34"/>
      <c r="I870" s="34"/>
      <c r="J870" s="34"/>
      <c r="K870" s="34"/>
      <c r="L870" s="34"/>
      <c r="M870" s="34"/>
      <c r="N870" s="42"/>
      <c r="O870" s="42"/>
      <c r="P870" s="42"/>
      <c r="Q870" s="42"/>
      <c r="R870" s="42"/>
      <c r="S870" s="42"/>
      <c r="T870" s="42"/>
    </row>
    <row r="871">
      <c r="E871" s="34"/>
      <c r="F871" s="34"/>
      <c r="G871" s="34"/>
      <c r="H871" s="34"/>
      <c r="I871" s="34"/>
      <c r="J871" s="34"/>
      <c r="K871" s="34"/>
      <c r="L871" s="34"/>
      <c r="M871" s="34"/>
      <c r="N871" s="42"/>
      <c r="O871" s="42"/>
      <c r="P871" s="42"/>
      <c r="Q871" s="42"/>
      <c r="R871" s="42"/>
      <c r="S871" s="42"/>
      <c r="T871" s="42"/>
    </row>
    <row r="872">
      <c r="E872" s="34"/>
      <c r="F872" s="34"/>
      <c r="G872" s="34"/>
      <c r="H872" s="34"/>
      <c r="I872" s="34"/>
      <c r="J872" s="34"/>
      <c r="K872" s="34"/>
      <c r="L872" s="34"/>
      <c r="M872" s="34"/>
      <c r="N872" s="42"/>
      <c r="O872" s="42"/>
      <c r="P872" s="42"/>
      <c r="Q872" s="42"/>
      <c r="R872" s="42"/>
      <c r="S872" s="42"/>
      <c r="T872" s="42"/>
    </row>
    <row r="873">
      <c r="E873" s="34"/>
      <c r="F873" s="34"/>
      <c r="G873" s="34"/>
      <c r="H873" s="34"/>
      <c r="I873" s="34"/>
      <c r="J873" s="34"/>
      <c r="K873" s="34"/>
      <c r="L873" s="34"/>
      <c r="M873" s="34"/>
      <c r="N873" s="42"/>
      <c r="O873" s="42"/>
      <c r="P873" s="42"/>
      <c r="Q873" s="42"/>
      <c r="R873" s="42"/>
      <c r="S873" s="42"/>
      <c r="T873" s="42"/>
    </row>
    <row r="874">
      <c r="E874" s="34"/>
      <c r="F874" s="34"/>
      <c r="G874" s="34"/>
      <c r="H874" s="34"/>
      <c r="I874" s="34"/>
      <c r="J874" s="34"/>
      <c r="K874" s="34"/>
      <c r="L874" s="34"/>
      <c r="M874" s="34"/>
      <c r="N874" s="42"/>
      <c r="O874" s="42"/>
      <c r="P874" s="42"/>
      <c r="Q874" s="42"/>
      <c r="R874" s="42"/>
      <c r="S874" s="42"/>
      <c r="T874" s="42"/>
    </row>
    <row r="875">
      <c r="E875" s="34"/>
      <c r="F875" s="34"/>
      <c r="G875" s="34"/>
      <c r="H875" s="34"/>
      <c r="I875" s="34"/>
      <c r="J875" s="34"/>
      <c r="K875" s="34"/>
      <c r="L875" s="34"/>
      <c r="M875" s="34"/>
      <c r="N875" s="42"/>
      <c r="O875" s="42"/>
      <c r="P875" s="42"/>
      <c r="Q875" s="42"/>
      <c r="R875" s="42"/>
      <c r="S875" s="42"/>
      <c r="T875" s="42"/>
    </row>
    <row r="876">
      <c r="E876" s="34"/>
      <c r="F876" s="34"/>
      <c r="G876" s="34"/>
      <c r="H876" s="34"/>
      <c r="I876" s="34"/>
      <c r="J876" s="34"/>
      <c r="K876" s="34"/>
      <c r="L876" s="34"/>
      <c r="M876" s="34"/>
      <c r="N876" s="42"/>
      <c r="O876" s="42"/>
      <c r="P876" s="42"/>
      <c r="Q876" s="42"/>
      <c r="R876" s="42"/>
      <c r="S876" s="42"/>
      <c r="T876" s="42"/>
    </row>
    <row r="877">
      <c r="E877" s="34"/>
      <c r="F877" s="34"/>
      <c r="G877" s="34"/>
      <c r="H877" s="34"/>
      <c r="I877" s="34"/>
      <c r="J877" s="34"/>
      <c r="K877" s="34"/>
      <c r="L877" s="34"/>
      <c r="M877" s="34"/>
      <c r="N877" s="42"/>
      <c r="O877" s="42"/>
      <c r="P877" s="42"/>
      <c r="Q877" s="42"/>
      <c r="R877" s="42"/>
      <c r="S877" s="42"/>
      <c r="T877" s="42"/>
    </row>
    <row r="878">
      <c r="E878" s="34"/>
      <c r="F878" s="34"/>
      <c r="G878" s="34"/>
      <c r="H878" s="34"/>
      <c r="I878" s="34"/>
      <c r="J878" s="34"/>
      <c r="K878" s="34"/>
      <c r="L878" s="34"/>
      <c r="M878" s="34"/>
      <c r="N878" s="42"/>
      <c r="O878" s="42"/>
      <c r="P878" s="42"/>
      <c r="Q878" s="42"/>
      <c r="R878" s="42"/>
      <c r="S878" s="42"/>
      <c r="T878" s="42"/>
    </row>
    <row r="879">
      <c r="E879" s="34"/>
      <c r="F879" s="34"/>
      <c r="G879" s="34"/>
      <c r="H879" s="34"/>
      <c r="I879" s="34"/>
      <c r="J879" s="34"/>
      <c r="K879" s="34"/>
      <c r="L879" s="34"/>
      <c r="M879" s="34"/>
      <c r="N879" s="42"/>
      <c r="O879" s="42"/>
      <c r="P879" s="42"/>
      <c r="Q879" s="42"/>
      <c r="R879" s="42"/>
      <c r="S879" s="42"/>
      <c r="T879" s="42"/>
    </row>
    <row r="880">
      <c r="E880" s="34"/>
      <c r="F880" s="34"/>
      <c r="G880" s="34"/>
      <c r="H880" s="34"/>
      <c r="I880" s="34"/>
      <c r="J880" s="34"/>
      <c r="K880" s="34"/>
      <c r="L880" s="34"/>
      <c r="M880" s="34"/>
      <c r="N880" s="42"/>
      <c r="O880" s="42"/>
      <c r="P880" s="42"/>
      <c r="Q880" s="42"/>
      <c r="R880" s="42"/>
      <c r="S880" s="42"/>
      <c r="T880" s="42"/>
    </row>
    <row r="881">
      <c r="E881" s="34"/>
      <c r="F881" s="34"/>
      <c r="G881" s="34"/>
      <c r="H881" s="34"/>
      <c r="I881" s="34"/>
      <c r="J881" s="34"/>
      <c r="K881" s="34"/>
      <c r="L881" s="34"/>
      <c r="M881" s="34"/>
      <c r="N881" s="42"/>
      <c r="O881" s="42"/>
      <c r="P881" s="42"/>
      <c r="Q881" s="42"/>
      <c r="R881" s="42"/>
      <c r="S881" s="42"/>
      <c r="T881" s="42"/>
    </row>
    <row r="882">
      <c r="E882" s="34"/>
      <c r="F882" s="34"/>
      <c r="G882" s="34"/>
      <c r="H882" s="34"/>
      <c r="I882" s="34"/>
      <c r="J882" s="34"/>
      <c r="K882" s="34"/>
      <c r="L882" s="34"/>
      <c r="M882" s="34"/>
      <c r="N882" s="42"/>
      <c r="O882" s="42"/>
      <c r="P882" s="42"/>
      <c r="Q882" s="42"/>
      <c r="R882" s="42"/>
      <c r="S882" s="42"/>
      <c r="T882" s="42"/>
    </row>
    <row r="883">
      <c r="E883" s="34"/>
      <c r="F883" s="34"/>
      <c r="G883" s="34"/>
      <c r="H883" s="34"/>
      <c r="I883" s="34"/>
      <c r="J883" s="34"/>
      <c r="K883" s="34"/>
      <c r="L883" s="34"/>
      <c r="M883" s="34"/>
      <c r="N883" s="42"/>
      <c r="O883" s="42"/>
      <c r="P883" s="42"/>
      <c r="Q883" s="42"/>
      <c r="R883" s="42"/>
      <c r="S883" s="42"/>
      <c r="T883" s="42"/>
    </row>
    <row r="884">
      <c r="E884" s="34"/>
      <c r="F884" s="34"/>
      <c r="G884" s="34"/>
      <c r="H884" s="34"/>
      <c r="I884" s="34"/>
      <c r="J884" s="34"/>
      <c r="K884" s="34"/>
      <c r="L884" s="34"/>
      <c r="M884" s="34"/>
      <c r="N884" s="42"/>
      <c r="O884" s="42"/>
      <c r="P884" s="42"/>
      <c r="Q884" s="42"/>
      <c r="R884" s="42"/>
      <c r="S884" s="42"/>
      <c r="T884" s="42"/>
    </row>
    <row r="885">
      <c r="E885" s="34"/>
      <c r="F885" s="34"/>
      <c r="G885" s="34"/>
      <c r="H885" s="34"/>
      <c r="I885" s="34"/>
      <c r="J885" s="34"/>
      <c r="K885" s="34"/>
      <c r="L885" s="34"/>
      <c r="M885" s="34"/>
      <c r="N885" s="42"/>
      <c r="O885" s="42"/>
      <c r="P885" s="42"/>
      <c r="Q885" s="42"/>
      <c r="R885" s="42"/>
      <c r="S885" s="42"/>
      <c r="T885" s="42"/>
    </row>
    <row r="886">
      <c r="E886" s="34"/>
      <c r="F886" s="34"/>
      <c r="G886" s="34"/>
      <c r="H886" s="34"/>
      <c r="I886" s="34"/>
      <c r="J886" s="34"/>
      <c r="K886" s="34"/>
      <c r="L886" s="34"/>
      <c r="M886" s="34"/>
      <c r="N886" s="42"/>
      <c r="O886" s="42"/>
      <c r="P886" s="42"/>
      <c r="Q886" s="42"/>
      <c r="R886" s="42"/>
      <c r="S886" s="42"/>
      <c r="T886" s="42"/>
    </row>
    <row r="887">
      <c r="E887" s="34"/>
      <c r="F887" s="34"/>
      <c r="G887" s="34"/>
      <c r="H887" s="34"/>
      <c r="I887" s="34"/>
      <c r="J887" s="34"/>
      <c r="K887" s="34"/>
      <c r="L887" s="34"/>
      <c r="M887" s="34"/>
      <c r="N887" s="42"/>
      <c r="O887" s="42"/>
      <c r="P887" s="42"/>
      <c r="Q887" s="42"/>
      <c r="R887" s="42"/>
      <c r="S887" s="42"/>
      <c r="T887" s="42"/>
    </row>
    <row r="888">
      <c r="E888" s="34"/>
      <c r="F888" s="34"/>
      <c r="G888" s="34"/>
      <c r="H888" s="34"/>
      <c r="I888" s="34"/>
      <c r="J888" s="34"/>
      <c r="K888" s="34"/>
      <c r="L888" s="34"/>
      <c r="M888" s="34"/>
      <c r="N888" s="42"/>
      <c r="O888" s="42"/>
      <c r="P888" s="42"/>
      <c r="Q888" s="42"/>
      <c r="R888" s="42"/>
      <c r="S888" s="42"/>
      <c r="T888" s="42"/>
    </row>
    <row r="889">
      <c r="E889" s="34"/>
      <c r="F889" s="34"/>
      <c r="G889" s="34"/>
      <c r="H889" s="34"/>
      <c r="I889" s="34"/>
      <c r="J889" s="34"/>
      <c r="K889" s="34"/>
      <c r="L889" s="34"/>
      <c r="M889" s="34"/>
      <c r="N889" s="42"/>
      <c r="O889" s="42"/>
      <c r="P889" s="42"/>
      <c r="Q889" s="42"/>
      <c r="R889" s="42"/>
      <c r="S889" s="42"/>
      <c r="T889" s="42"/>
    </row>
    <row r="890">
      <c r="E890" s="34"/>
      <c r="F890" s="34"/>
      <c r="G890" s="34"/>
      <c r="H890" s="34"/>
      <c r="I890" s="34"/>
      <c r="J890" s="34"/>
      <c r="K890" s="34"/>
      <c r="L890" s="34"/>
      <c r="M890" s="34"/>
      <c r="N890" s="42"/>
      <c r="O890" s="42"/>
      <c r="P890" s="42"/>
      <c r="Q890" s="42"/>
      <c r="R890" s="42"/>
      <c r="S890" s="42"/>
      <c r="T890" s="42"/>
    </row>
    <row r="891">
      <c r="E891" s="34"/>
      <c r="F891" s="34"/>
      <c r="G891" s="34"/>
      <c r="H891" s="34"/>
      <c r="I891" s="34"/>
      <c r="J891" s="34"/>
      <c r="K891" s="34"/>
      <c r="L891" s="34"/>
      <c r="M891" s="34"/>
      <c r="N891" s="42"/>
      <c r="O891" s="42"/>
      <c r="P891" s="42"/>
      <c r="Q891" s="42"/>
      <c r="R891" s="42"/>
      <c r="S891" s="42"/>
      <c r="T891" s="42"/>
    </row>
    <row r="892">
      <c r="E892" s="34"/>
      <c r="F892" s="34"/>
      <c r="G892" s="34"/>
      <c r="H892" s="34"/>
      <c r="I892" s="34"/>
      <c r="J892" s="34"/>
      <c r="K892" s="34"/>
      <c r="L892" s="34"/>
      <c r="M892" s="34"/>
      <c r="N892" s="42"/>
      <c r="O892" s="42"/>
      <c r="P892" s="42"/>
      <c r="Q892" s="42"/>
      <c r="R892" s="42"/>
      <c r="S892" s="42"/>
      <c r="T892" s="42"/>
    </row>
    <row r="893">
      <c r="E893" s="34"/>
      <c r="F893" s="34"/>
      <c r="G893" s="34"/>
      <c r="H893" s="34"/>
      <c r="I893" s="34"/>
      <c r="J893" s="34"/>
      <c r="K893" s="34"/>
      <c r="L893" s="34"/>
      <c r="M893" s="34"/>
      <c r="N893" s="42"/>
      <c r="O893" s="42"/>
      <c r="P893" s="42"/>
      <c r="Q893" s="42"/>
      <c r="R893" s="42"/>
      <c r="S893" s="42"/>
      <c r="T893" s="42"/>
    </row>
    <row r="894">
      <c r="E894" s="34"/>
      <c r="F894" s="34"/>
      <c r="G894" s="34"/>
      <c r="H894" s="34"/>
      <c r="I894" s="34"/>
      <c r="J894" s="34"/>
      <c r="K894" s="34"/>
      <c r="L894" s="34"/>
      <c r="M894" s="34"/>
      <c r="N894" s="42"/>
      <c r="O894" s="42"/>
      <c r="P894" s="42"/>
      <c r="Q894" s="42"/>
      <c r="R894" s="42"/>
      <c r="S894" s="42"/>
      <c r="T894" s="42"/>
    </row>
    <row r="895">
      <c r="E895" s="34"/>
      <c r="F895" s="34"/>
      <c r="G895" s="34"/>
      <c r="H895" s="34"/>
      <c r="I895" s="34"/>
      <c r="J895" s="34"/>
      <c r="K895" s="34"/>
      <c r="L895" s="34"/>
      <c r="M895" s="34"/>
      <c r="N895" s="42"/>
      <c r="O895" s="42"/>
      <c r="P895" s="42"/>
      <c r="Q895" s="42"/>
      <c r="R895" s="42"/>
      <c r="S895" s="42"/>
      <c r="T895" s="42"/>
    </row>
    <row r="896">
      <c r="E896" s="34"/>
      <c r="F896" s="34"/>
      <c r="G896" s="34"/>
      <c r="H896" s="34"/>
      <c r="I896" s="34"/>
      <c r="J896" s="34"/>
      <c r="K896" s="34"/>
      <c r="L896" s="34"/>
      <c r="M896" s="34"/>
      <c r="N896" s="42"/>
      <c r="O896" s="42"/>
      <c r="P896" s="42"/>
      <c r="Q896" s="42"/>
      <c r="R896" s="42"/>
      <c r="S896" s="42"/>
      <c r="T896" s="42"/>
    </row>
    <row r="897">
      <c r="E897" s="34"/>
      <c r="F897" s="34"/>
      <c r="G897" s="34"/>
      <c r="H897" s="34"/>
      <c r="I897" s="34"/>
      <c r="J897" s="34"/>
      <c r="K897" s="34"/>
      <c r="L897" s="34"/>
      <c r="M897" s="34"/>
      <c r="N897" s="42"/>
      <c r="O897" s="42"/>
      <c r="P897" s="42"/>
      <c r="Q897" s="42"/>
      <c r="R897" s="42"/>
      <c r="S897" s="42"/>
      <c r="T897" s="42"/>
    </row>
    <row r="898">
      <c r="E898" s="34"/>
      <c r="F898" s="34"/>
      <c r="G898" s="34"/>
      <c r="H898" s="34"/>
      <c r="I898" s="34"/>
      <c r="J898" s="34"/>
      <c r="K898" s="34"/>
      <c r="L898" s="34"/>
      <c r="M898" s="34"/>
      <c r="N898" s="42"/>
      <c r="O898" s="42"/>
      <c r="P898" s="42"/>
      <c r="Q898" s="42"/>
      <c r="R898" s="42"/>
      <c r="S898" s="42"/>
      <c r="T898" s="42"/>
    </row>
    <row r="899">
      <c r="E899" s="34"/>
      <c r="F899" s="34"/>
      <c r="G899" s="34"/>
      <c r="H899" s="34"/>
      <c r="I899" s="34"/>
      <c r="J899" s="34"/>
      <c r="K899" s="34"/>
      <c r="L899" s="34"/>
      <c r="M899" s="34"/>
      <c r="N899" s="42"/>
      <c r="O899" s="42"/>
      <c r="P899" s="42"/>
      <c r="Q899" s="42"/>
      <c r="R899" s="42"/>
      <c r="S899" s="42"/>
      <c r="T899" s="42"/>
    </row>
    <row r="900">
      <c r="E900" s="34"/>
      <c r="F900" s="34"/>
      <c r="G900" s="34"/>
      <c r="H900" s="34"/>
      <c r="I900" s="34"/>
      <c r="J900" s="34"/>
      <c r="K900" s="34"/>
      <c r="L900" s="34"/>
      <c r="M900" s="34"/>
      <c r="N900" s="42"/>
      <c r="O900" s="42"/>
      <c r="P900" s="42"/>
      <c r="Q900" s="42"/>
      <c r="R900" s="42"/>
      <c r="S900" s="42"/>
      <c r="T900" s="42"/>
    </row>
    <row r="901">
      <c r="E901" s="34"/>
      <c r="F901" s="34"/>
      <c r="G901" s="34"/>
      <c r="H901" s="34"/>
      <c r="I901" s="34"/>
      <c r="J901" s="34"/>
      <c r="K901" s="34"/>
      <c r="L901" s="34"/>
      <c r="M901" s="34"/>
      <c r="N901" s="42"/>
      <c r="O901" s="42"/>
      <c r="P901" s="42"/>
      <c r="Q901" s="42"/>
      <c r="R901" s="42"/>
      <c r="S901" s="42"/>
      <c r="T901" s="42"/>
    </row>
    <row r="902">
      <c r="E902" s="34"/>
      <c r="F902" s="34"/>
      <c r="G902" s="34"/>
      <c r="H902" s="34"/>
      <c r="I902" s="34"/>
      <c r="J902" s="34"/>
      <c r="K902" s="34"/>
      <c r="L902" s="34"/>
      <c r="M902" s="34"/>
      <c r="N902" s="42"/>
      <c r="O902" s="42"/>
      <c r="P902" s="42"/>
      <c r="Q902" s="42"/>
      <c r="R902" s="42"/>
      <c r="S902" s="42"/>
      <c r="T902" s="42"/>
    </row>
    <row r="903">
      <c r="E903" s="34"/>
      <c r="F903" s="34"/>
      <c r="G903" s="34"/>
      <c r="H903" s="34"/>
      <c r="I903" s="34"/>
      <c r="J903" s="34"/>
      <c r="K903" s="34"/>
      <c r="L903" s="34"/>
      <c r="M903" s="34"/>
      <c r="N903" s="42"/>
      <c r="O903" s="42"/>
      <c r="P903" s="42"/>
      <c r="Q903" s="42"/>
      <c r="R903" s="42"/>
      <c r="S903" s="42"/>
      <c r="T903" s="42"/>
    </row>
    <row r="904">
      <c r="E904" s="34"/>
      <c r="F904" s="34"/>
      <c r="G904" s="34"/>
      <c r="H904" s="34"/>
      <c r="I904" s="34"/>
      <c r="J904" s="34"/>
      <c r="K904" s="34"/>
      <c r="L904" s="34"/>
      <c r="M904" s="34"/>
      <c r="N904" s="42"/>
      <c r="O904" s="42"/>
      <c r="P904" s="42"/>
      <c r="Q904" s="42"/>
      <c r="R904" s="42"/>
      <c r="S904" s="42"/>
      <c r="T904" s="42"/>
    </row>
    <row r="905">
      <c r="E905" s="34"/>
      <c r="F905" s="34"/>
      <c r="G905" s="34"/>
      <c r="H905" s="34"/>
      <c r="I905" s="34"/>
      <c r="J905" s="34"/>
      <c r="K905" s="34"/>
      <c r="L905" s="34"/>
      <c r="M905" s="34"/>
      <c r="N905" s="42"/>
      <c r="O905" s="42"/>
      <c r="P905" s="42"/>
      <c r="Q905" s="42"/>
      <c r="R905" s="42"/>
      <c r="S905" s="42"/>
      <c r="T905" s="42"/>
    </row>
    <row r="906">
      <c r="E906" s="34"/>
      <c r="F906" s="34"/>
      <c r="G906" s="34"/>
      <c r="H906" s="34"/>
      <c r="I906" s="34"/>
      <c r="J906" s="34"/>
      <c r="K906" s="34"/>
      <c r="L906" s="34"/>
      <c r="M906" s="34"/>
      <c r="N906" s="42"/>
      <c r="O906" s="42"/>
      <c r="P906" s="42"/>
      <c r="Q906" s="42"/>
      <c r="R906" s="42"/>
      <c r="S906" s="42"/>
      <c r="T906" s="42"/>
    </row>
    <row r="907">
      <c r="E907" s="34"/>
      <c r="F907" s="34"/>
      <c r="G907" s="34"/>
      <c r="H907" s="34"/>
      <c r="I907" s="34"/>
      <c r="J907" s="34"/>
      <c r="K907" s="34"/>
      <c r="L907" s="34"/>
      <c r="M907" s="34"/>
      <c r="N907" s="42"/>
      <c r="O907" s="42"/>
      <c r="P907" s="42"/>
      <c r="Q907" s="42"/>
      <c r="R907" s="42"/>
      <c r="S907" s="42"/>
      <c r="T907" s="42"/>
    </row>
    <row r="908">
      <c r="E908" s="34"/>
      <c r="F908" s="34"/>
      <c r="G908" s="34"/>
      <c r="H908" s="34"/>
      <c r="I908" s="34"/>
      <c r="J908" s="34"/>
      <c r="K908" s="34"/>
      <c r="L908" s="34"/>
      <c r="M908" s="34"/>
      <c r="N908" s="42"/>
      <c r="O908" s="42"/>
      <c r="P908" s="42"/>
      <c r="Q908" s="42"/>
      <c r="R908" s="42"/>
      <c r="S908" s="42"/>
      <c r="T908" s="42"/>
    </row>
    <row r="909">
      <c r="E909" s="34"/>
      <c r="F909" s="34"/>
      <c r="G909" s="34"/>
      <c r="H909" s="34"/>
      <c r="I909" s="34"/>
      <c r="J909" s="34"/>
      <c r="K909" s="34"/>
      <c r="L909" s="34"/>
      <c r="M909" s="34"/>
      <c r="N909" s="42"/>
      <c r="O909" s="42"/>
      <c r="P909" s="42"/>
      <c r="Q909" s="42"/>
      <c r="R909" s="42"/>
      <c r="S909" s="42"/>
      <c r="T909" s="42"/>
    </row>
    <row r="910">
      <c r="E910" s="34"/>
      <c r="F910" s="34"/>
      <c r="G910" s="34"/>
      <c r="H910" s="34"/>
      <c r="I910" s="34"/>
      <c r="J910" s="34"/>
      <c r="K910" s="34"/>
      <c r="L910" s="34"/>
      <c r="M910" s="34"/>
      <c r="N910" s="42"/>
      <c r="O910" s="42"/>
      <c r="P910" s="42"/>
      <c r="Q910" s="42"/>
      <c r="R910" s="42"/>
      <c r="S910" s="42"/>
      <c r="T910" s="42"/>
    </row>
    <row r="911">
      <c r="E911" s="34"/>
      <c r="F911" s="34"/>
      <c r="G911" s="34"/>
      <c r="H911" s="34"/>
      <c r="I911" s="34"/>
      <c r="J911" s="34"/>
      <c r="K911" s="34"/>
      <c r="L911" s="34"/>
      <c r="M911" s="34"/>
      <c r="N911" s="42"/>
      <c r="O911" s="42"/>
      <c r="P911" s="42"/>
      <c r="Q911" s="42"/>
      <c r="R911" s="42"/>
      <c r="S911" s="42"/>
      <c r="T911" s="42"/>
    </row>
    <row r="912">
      <c r="E912" s="34"/>
      <c r="F912" s="34"/>
      <c r="G912" s="34"/>
      <c r="H912" s="34"/>
      <c r="I912" s="34"/>
      <c r="J912" s="34"/>
      <c r="K912" s="34"/>
      <c r="L912" s="34"/>
      <c r="M912" s="34"/>
      <c r="N912" s="42"/>
      <c r="O912" s="42"/>
      <c r="P912" s="42"/>
      <c r="Q912" s="42"/>
      <c r="R912" s="42"/>
      <c r="S912" s="42"/>
      <c r="T912" s="42"/>
    </row>
    <row r="913">
      <c r="E913" s="34"/>
      <c r="F913" s="34"/>
      <c r="G913" s="34"/>
      <c r="H913" s="34"/>
      <c r="I913" s="34"/>
      <c r="J913" s="34"/>
      <c r="K913" s="34"/>
      <c r="L913" s="34"/>
      <c r="M913" s="34"/>
      <c r="N913" s="42"/>
      <c r="O913" s="42"/>
      <c r="P913" s="42"/>
      <c r="Q913" s="42"/>
      <c r="R913" s="42"/>
      <c r="S913" s="42"/>
      <c r="T913" s="42"/>
    </row>
    <row r="914">
      <c r="E914" s="34"/>
      <c r="F914" s="34"/>
      <c r="G914" s="34"/>
      <c r="H914" s="34"/>
      <c r="I914" s="34"/>
      <c r="J914" s="34"/>
      <c r="K914" s="34"/>
      <c r="L914" s="34"/>
      <c r="M914" s="34"/>
      <c r="N914" s="42"/>
      <c r="O914" s="42"/>
      <c r="P914" s="42"/>
      <c r="Q914" s="42"/>
      <c r="R914" s="42"/>
      <c r="S914" s="42"/>
      <c r="T914" s="42"/>
    </row>
    <row r="915">
      <c r="E915" s="34"/>
      <c r="F915" s="34"/>
      <c r="G915" s="34"/>
      <c r="H915" s="34"/>
      <c r="I915" s="34"/>
      <c r="J915" s="34"/>
      <c r="K915" s="34"/>
      <c r="L915" s="34"/>
      <c r="M915" s="34"/>
      <c r="N915" s="42"/>
      <c r="O915" s="42"/>
      <c r="P915" s="42"/>
      <c r="Q915" s="42"/>
      <c r="R915" s="42"/>
      <c r="S915" s="42"/>
      <c r="T915" s="42"/>
    </row>
    <row r="916">
      <c r="E916" s="34"/>
      <c r="F916" s="34"/>
      <c r="G916" s="34"/>
      <c r="H916" s="34"/>
      <c r="I916" s="34"/>
      <c r="J916" s="34"/>
      <c r="K916" s="34"/>
      <c r="L916" s="34"/>
      <c r="M916" s="34"/>
      <c r="N916" s="42"/>
      <c r="O916" s="42"/>
      <c r="P916" s="42"/>
      <c r="Q916" s="42"/>
      <c r="R916" s="42"/>
      <c r="S916" s="42"/>
      <c r="T916" s="42"/>
    </row>
    <row r="917">
      <c r="E917" s="34"/>
      <c r="F917" s="34"/>
      <c r="G917" s="34"/>
      <c r="H917" s="34"/>
      <c r="I917" s="34"/>
      <c r="J917" s="34"/>
      <c r="K917" s="34"/>
      <c r="L917" s="34"/>
      <c r="M917" s="34"/>
      <c r="N917" s="42"/>
      <c r="O917" s="42"/>
      <c r="P917" s="42"/>
      <c r="Q917" s="42"/>
      <c r="R917" s="42"/>
      <c r="S917" s="42"/>
      <c r="T917" s="42"/>
    </row>
    <row r="918">
      <c r="E918" s="34"/>
      <c r="F918" s="34"/>
      <c r="G918" s="34"/>
      <c r="H918" s="34"/>
      <c r="I918" s="34"/>
      <c r="J918" s="34"/>
      <c r="K918" s="34"/>
      <c r="L918" s="34"/>
      <c r="M918" s="34"/>
      <c r="N918" s="42"/>
      <c r="O918" s="42"/>
      <c r="P918" s="42"/>
      <c r="Q918" s="42"/>
      <c r="R918" s="42"/>
      <c r="S918" s="42"/>
      <c r="T918" s="42"/>
    </row>
    <row r="919">
      <c r="E919" s="34"/>
      <c r="F919" s="34"/>
      <c r="G919" s="34"/>
      <c r="H919" s="34"/>
      <c r="I919" s="34"/>
      <c r="J919" s="34"/>
      <c r="K919" s="34"/>
      <c r="L919" s="34"/>
      <c r="M919" s="34"/>
      <c r="N919" s="42"/>
      <c r="O919" s="42"/>
      <c r="P919" s="42"/>
      <c r="Q919" s="42"/>
      <c r="R919" s="42"/>
      <c r="S919" s="42"/>
      <c r="T919" s="42"/>
    </row>
    <row r="920">
      <c r="E920" s="34"/>
      <c r="F920" s="34"/>
      <c r="G920" s="34"/>
      <c r="H920" s="34"/>
      <c r="I920" s="34"/>
      <c r="J920" s="34"/>
      <c r="K920" s="34"/>
      <c r="L920" s="34"/>
      <c r="M920" s="34"/>
      <c r="N920" s="42"/>
      <c r="O920" s="42"/>
      <c r="P920" s="42"/>
      <c r="Q920" s="42"/>
      <c r="R920" s="42"/>
      <c r="S920" s="42"/>
      <c r="T920" s="42"/>
    </row>
    <row r="921">
      <c r="E921" s="34"/>
      <c r="F921" s="34"/>
      <c r="G921" s="34"/>
      <c r="H921" s="34"/>
      <c r="I921" s="34"/>
      <c r="J921" s="34"/>
      <c r="K921" s="34"/>
      <c r="L921" s="34"/>
      <c r="M921" s="34"/>
      <c r="N921" s="42"/>
      <c r="O921" s="42"/>
      <c r="P921" s="42"/>
      <c r="Q921" s="42"/>
      <c r="R921" s="42"/>
      <c r="S921" s="42"/>
      <c r="T921" s="42"/>
    </row>
    <row r="922">
      <c r="E922" s="34"/>
      <c r="F922" s="34"/>
      <c r="G922" s="34"/>
      <c r="H922" s="34"/>
      <c r="I922" s="34"/>
      <c r="J922" s="34"/>
      <c r="K922" s="34"/>
      <c r="L922" s="34"/>
      <c r="M922" s="34"/>
      <c r="N922" s="42"/>
      <c r="O922" s="42"/>
      <c r="P922" s="42"/>
      <c r="Q922" s="42"/>
      <c r="R922" s="42"/>
      <c r="S922" s="42"/>
      <c r="T922" s="42"/>
    </row>
    <row r="923">
      <c r="E923" s="34"/>
      <c r="F923" s="34"/>
      <c r="G923" s="34"/>
      <c r="H923" s="34"/>
      <c r="I923" s="34"/>
      <c r="J923" s="34"/>
      <c r="K923" s="34"/>
      <c r="L923" s="34"/>
      <c r="M923" s="34"/>
      <c r="N923" s="42"/>
      <c r="O923" s="42"/>
      <c r="P923" s="42"/>
      <c r="Q923" s="42"/>
      <c r="R923" s="42"/>
      <c r="S923" s="42"/>
      <c r="T923" s="42"/>
    </row>
    <row r="924">
      <c r="E924" s="34"/>
      <c r="F924" s="34"/>
      <c r="G924" s="34"/>
      <c r="H924" s="34"/>
      <c r="I924" s="34"/>
      <c r="J924" s="34"/>
      <c r="K924" s="34"/>
      <c r="L924" s="34"/>
      <c r="M924" s="34"/>
      <c r="N924" s="42"/>
      <c r="O924" s="42"/>
      <c r="P924" s="42"/>
      <c r="Q924" s="42"/>
      <c r="R924" s="42"/>
      <c r="S924" s="42"/>
      <c r="T924" s="42"/>
    </row>
    <row r="925">
      <c r="E925" s="34"/>
      <c r="F925" s="34"/>
      <c r="G925" s="34"/>
      <c r="H925" s="34"/>
      <c r="I925" s="34"/>
      <c r="J925" s="34"/>
      <c r="K925" s="34"/>
      <c r="L925" s="34"/>
      <c r="M925" s="34"/>
      <c r="N925" s="42"/>
      <c r="O925" s="42"/>
      <c r="P925" s="42"/>
      <c r="Q925" s="42"/>
      <c r="R925" s="42"/>
      <c r="S925" s="42"/>
      <c r="T925" s="42"/>
    </row>
    <row r="926">
      <c r="E926" s="34"/>
      <c r="F926" s="34"/>
      <c r="G926" s="34"/>
      <c r="H926" s="34"/>
      <c r="I926" s="34"/>
      <c r="J926" s="34"/>
      <c r="K926" s="34"/>
      <c r="L926" s="34"/>
      <c r="M926" s="34"/>
      <c r="N926" s="42"/>
      <c r="O926" s="42"/>
      <c r="P926" s="42"/>
      <c r="Q926" s="42"/>
      <c r="R926" s="42"/>
      <c r="S926" s="42"/>
      <c r="T926" s="42"/>
    </row>
    <row r="927">
      <c r="E927" s="34"/>
      <c r="F927" s="34"/>
      <c r="G927" s="34"/>
      <c r="H927" s="34"/>
      <c r="I927" s="34"/>
      <c r="J927" s="34"/>
      <c r="K927" s="34"/>
      <c r="L927" s="34"/>
      <c r="M927" s="34"/>
      <c r="N927" s="42"/>
      <c r="O927" s="42"/>
      <c r="P927" s="42"/>
      <c r="Q927" s="42"/>
      <c r="R927" s="42"/>
      <c r="S927" s="42"/>
      <c r="T927" s="42"/>
    </row>
    <row r="928">
      <c r="E928" s="34"/>
      <c r="F928" s="34"/>
      <c r="G928" s="34"/>
      <c r="H928" s="34"/>
      <c r="I928" s="34"/>
      <c r="J928" s="34"/>
      <c r="K928" s="34"/>
      <c r="L928" s="34"/>
      <c r="M928" s="34"/>
      <c r="N928" s="42"/>
      <c r="O928" s="42"/>
      <c r="P928" s="42"/>
      <c r="Q928" s="42"/>
      <c r="R928" s="42"/>
      <c r="S928" s="42"/>
      <c r="T928" s="42"/>
    </row>
    <row r="929">
      <c r="E929" s="34"/>
      <c r="F929" s="34"/>
      <c r="G929" s="34"/>
      <c r="H929" s="34"/>
      <c r="I929" s="34"/>
      <c r="J929" s="34"/>
      <c r="K929" s="34"/>
      <c r="L929" s="34"/>
      <c r="M929" s="34"/>
      <c r="N929" s="42"/>
      <c r="O929" s="42"/>
      <c r="P929" s="42"/>
      <c r="Q929" s="42"/>
      <c r="R929" s="42"/>
      <c r="S929" s="42"/>
      <c r="T929" s="42"/>
    </row>
    <row r="930">
      <c r="E930" s="34"/>
      <c r="F930" s="34"/>
      <c r="G930" s="34"/>
      <c r="H930" s="34"/>
      <c r="I930" s="34"/>
      <c r="J930" s="34"/>
      <c r="K930" s="34"/>
      <c r="L930" s="34"/>
      <c r="M930" s="34"/>
      <c r="N930" s="42"/>
      <c r="O930" s="42"/>
      <c r="P930" s="42"/>
      <c r="Q930" s="42"/>
      <c r="R930" s="42"/>
      <c r="S930" s="42"/>
      <c r="T930" s="42"/>
    </row>
    <row r="931">
      <c r="E931" s="34"/>
      <c r="F931" s="34"/>
      <c r="G931" s="34"/>
      <c r="H931" s="34"/>
      <c r="I931" s="34"/>
      <c r="J931" s="34"/>
      <c r="K931" s="34"/>
      <c r="L931" s="34"/>
      <c r="M931" s="34"/>
      <c r="N931" s="42"/>
      <c r="O931" s="42"/>
      <c r="P931" s="42"/>
      <c r="Q931" s="42"/>
      <c r="R931" s="42"/>
      <c r="S931" s="42"/>
      <c r="T931" s="42"/>
    </row>
    <row r="932">
      <c r="E932" s="34"/>
      <c r="F932" s="34"/>
      <c r="G932" s="34"/>
      <c r="H932" s="34"/>
      <c r="I932" s="34"/>
      <c r="J932" s="34"/>
      <c r="K932" s="34"/>
      <c r="L932" s="34"/>
      <c r="M932" s="34"/>
      <c r="N932" s="42"/>
      <c r="O932" s="42"/>
      <c r="P932" s="42"/>
      <c r="Q932" s="42"/>
      <c r="R932" s="42"/>
      <c r="S932" s="42"/>
      <c r="T932" s="42"/>
    </row>
    <row r="933">
      <c r="E933" s="34"/>
      <c r="F933" s="34"/>
      <c r="G933" s="34"/>
      <c r="H933" s="34"/>
      <c r="I933" s="34"/>
      <c r="J933" s="34"/>
      <c r="K933" s="34"/>
      <c r="L933" s="34"/>
      <c r="M933" s="34"/>
      <c r="N933" s="42"/>
      <c r="O933" s="42"/>
      <c r="P933" s="42"/>
      <c r="Q933" s="42"/>
      <c r="R933" s="42"/>
      <c r="S933" s="42"/>
      <c r="T933" s="42"/>
    </row>
    <row r="934">
      <c r="E934" s="34"/>
      <c r="F934" s="34"/>
      <c r="G934" s="34"/>
      <c r="H934" s="34"/>
      <c r="I934" s="34"/>
      <c r="J934" s="34"/>
      <c r="K934" s="34"/>
      <c r="L934" s="34"/>
      <c r="M934" s="34"/>
      <c r="N934" s="42"/>
      <c r="O934" s="42"/>
      <c r="P934" s="42"/>
      <c r="Q934" s="42"/>
      <c r="R934" s="42"/>
      <c r="S934" s="42"/>
      <c r="T934" s="42"/>
    </row>
    <row r="935">
      <c r="E935" s="34"/>
      <c r="F935" s="34"/>
      <c r="G935" s="34"/>
      <c r="H935" s="34"/>
      <c r="I935" s="34"/>
      <c r="J935" s="34"/>
      <c r="K935" s="34"/>
      <c r="L935" s="34"/>
      <c r="M935" s="34"/>
      <c r="N935" s="42"/>
      <c r="O935" s="42"/>
      <c r="P935" s="42"/>
      <c r="Q935" s="42"/>
      <c r="R935" s="42"/>
      <c r="S935" s="42"/>
      <c r="T935" s="42"/>
    </row>
    <row r="936">
      <c r="E936" s="34"/>
      <c r="F936" s="34"/>
      <c r="G936" s="34"/>
      <c r="H936" s="34"/>
      <c r="I936" s="34"/>
      <c r="J936" s="34"/>
      <c r="K936" s="34"/>
      <c r="L936" s="34"/>
      <c r="M936" s="34"/>
      <c r="N936" s="42"/>
      <c r="O936" s="42"/>
      <c r="P936" s="42"/>
      <c r="Q936" s="42"/>
      <c r="R936" s="42"/>
      <c r="S936" s="42"/>
      <c r="T936" s="42"/>
    </row>
    <row r="937">
      <c r="E937" s="34"/>
      <c r="F937" s="34"/>
      <c r="G937" s="34"/>
      <c r="H937" s="34"/>
      <c r="I937" s="34"/>
      <c r="J937" s="34"/>
      <c r="K937" s="34"/>
      <c r="L937" s="34"/>
      <c r="M937" s="34"/>
      <c r="N937" s="42"/>
      <c r="O937" s="42"/>
      <c r="P937" s="42"/>
      <c r="Q937" s="42"/>
      <c r="R937" s="42"/>
      <c r="S937" s="42"/>
      <c r="T937" s="42"/>
    </row>
    <row r="938">
      <c r="E938" s="34"/>
      <c r="F938" s="34"/>
      <c r="G938" s="34"/>
      <c r="H938" s="34"/>
      <c r="I938" s="34"/>
      <c r="J938" s="34"/>
      <c r="K938" s="34"/>
      <c r="L938" s="34"/>
      <c r="M938" s="34"/>
      <c r="N938" s="42"/>
      <c r="O938" s="42"/>
      <c r="P938" s="42"/>
      <c r="Q938" s="42"/>
      <c r="R938" s="42"/>
      <c r="S938" s="42"/>
      <c r="T938" s="42"/>
    </row>
    <row r="939">
      <c r="E939" s="34"/>
      <c r="F939" s="34"/>
      <c r="G939" s="34"/>
      <c r="H939" s="34"/>
      <c r="I939" s="34"/>
      <c r="J939" s="34"/>
      <c r="K939" s="34"/>
      <c r="L939" s="34"/>
      <c r="M939" s="34"/>
      <c r="N939" s="42"/>
      <c r="O939" s="42"/>
      <c r="P939" s="42"/>
      <c r="Q939" s="42"/>
      <c r="R939" s="42"/>
      <c r="S939" s="42"/>
      <c r="T939" s="42"/>
    </row>
    <row r="940">
      <c r="E940" s="34"/>
      <c r="F940" s="34"/>
      <c r="G940" s="34"/>
      <c r="H940" s="34"/>
      <c r="I940" s="34"/>
      <c r="J940" s="34"/>
      <c r="K940" s="34"/>
      <c r="L940" s="34"/>
      <c r="M940" s="34"/>
      <c r="N940" s="42"/>
      <c r="O940" s="42"/>
      <c r="P940" s="42"/>
      <c r="Q940" s="42"/>
      <c r="R940" s="42"/>
      <c r="S940" s="42"/>
      <c r="T940" s="42"/>
    </row>
    <row r="941">
      <c r="E941" s="34"/>
      <c r="F941" s="34"/>
      <c r="G941" s="34"/>
      <c r="H941" s="34"/>
      <c r="I941" s="34"/>
      <c r="J941" s="34"/>
      <c r="K941" s="34"/>
      <c r="L941" s="34"/>
      <c r="M941" s="34"/>
      <c r="N941" s="42"/>
      <c r="O941" s="42"/>
      <c r="P941" s="42"/>
      <c r="Q941" s="42"/>
      <c r="R941" s="42"/>
      <c r="S941" s="42"/>
      <c r="T941" s="42"/>
    </row>
    <row r="942">
      <c r="E942" s="34"/>
      <c r="F942" s="34"/>
      <c r="G942" s="34"/>
      <c r="H942" s="34"/>
      <c r="I942" s="34"/>
      <c r="J942" s="34"/>
      <c r="K942" s="34"/>
      <c r="L942" s="34"/>
      <c r="M942" s="34"/>
      <c r="N942" s="42"/>
      <c r="O942" s="42"/>
      <c r="P942" s="42"/>
      <c r="Q942" s="42"/>
      <c r="R942" s="42"/>
      <c r="S942" s="42"/>
      <c r="T942" s="42"/>
    </row>
    <row r="943">
      <c r="E943" s="34"/>
      <c r="F943" s="34"/>
      <c r="G943" s="34"/>
      <c r="H943" s="34"/>
      <c r="I943" s="34"/>
      <c r="J943" s="34"/>
      <c r="K943" s="34"/>
      <c r="L943" s="34"/>
      <c r="M943" s="34"/>
      <c r="N943" s="42"/>
      <c r="O943" s="42"/>
      <c r="P943" s="42"/>
      <c r="Q943" s="42"/>
      <c r="R943" s="42"/>
      <c r="S943" s="42"/>
      <c r="T943" s="42"/>
    </row>
    <row r="944">
      <c r="E944" s="34"/>
      <c r="F944" s="34"/>
      <c r="G944" s="34"/>
      <c r="H944" s="34"/>
      <c r="I944" s="34"/>
      <c r="J944" s="34"/>
      <c r="K944" s="34"/>
      <c r="L944" s="34"/>
      <c r="M944" s="34"/>
      <c r="N944" s="42"/>
      <c r="O944" s="42"/>
      <c r="P944" s="42"/>
      <c r="Q944" s="42"/>
      <c r="R944" s="42"/>
      <c r="S944" s="42"/>
      <c r="T944" s="42"/>
    </row>
    <row r="945">
      <c r="E945" s="34"/>
      <c r="F945" s="34"/>
      <c r="G945" s="34"/>
      <c r="H945" s="34"/>
      <c r="I945" s="34"/>
      <c r="J945" s="34"/>
      <c r="K945" s="34"/>
      <c r="L945" s="34"/>
      <c r="M945" s="34"/>
      <c r="N945" s="42"/>
      <c r="O945" s="42"/>
      <c r="P945" s="42"/>
      <c r="Q945" s="42"/>
      <c r="R945" s="42"/>
      <c r="S945" s="42"/>
      <c r="T945" s="42"/>
    </row>
    <row r="946">
      <c r="E946" s="34"/>
      <c r="F946" s="34"/>
      <c r="G946" s="34"/>
      <c r="H946" s="34"/>
      <c r="I946" s="34"/>
      <c r="J946" s="34"/>
      <c r="K946" s="34"/>
      <c r="L946" s="34"/>
      <c r="M946" s="34"/>
      <c r="N946" s="42"/>
      <c r="O946" s="42"/>
      <c r="P946" s="42"/>
      <c r="Q946" s="42"/>
      <c r="R946" s="42"/>
      <c r="S946" s="42"/>
      <c r="T946" s="42"/>
    </row>
    <row r="947">
      <c r="E947" s="34"/>
      <c r="F947" s="34"/>
      <c r="G947" s="34"/>
      <c r="H947" s="34"/>
      <c r="I947" s="34"/>
      <c r="J947" s="34"/>
      <c r="K947" s="34"/>
      <c r="L947" s="34"/>
      <c r="M947" s="34"/>
      <c r="N947" s="42"/>
      <c r="O947" s="42"/>
      <c r="P947" s="42"/>
      <c r="Q947" s="42"/>
      <c r="R947" s="42"/>
      <c r="S947" s="42"/>
      <c r="T947" s="42"/>
    </row>
    <row r="948">
      <c r="E948" s="34"/>
      <c r="F948" s="34"/>
      <c r="G948" s="34"/>
      <c r="H948" s="34"/>
      <c r="I948" s="34"/>
      <c r="J948" s="34"/>
      <c r="K948" s="34"/>
      <c r="L948" s="34"/>
      <c r="M948" s="34"/>
      <c r="N948" s="42"/>
      <c r="O948" s="42"/>
      <c r="P948" s="42"/>
      <c r="Q948" s="42"/>
      <c r="R948" s="42"/>
      <c r="S948" s="42"/>
      <c r="T948" s="42"/>
    </row>
    <row r="949">
      <c r="E949" s="34"/>
      <c r="F949" s="34"/>
      <c r="G949" s="34"/>
      <c r="H949" s="34"/>
      <c r="I949" s="34"/>
      <c r="J949" s="34"/>
      <c r="K949" s="34"/>
      <c r="L949" s="34"/>
      <c r="M949" s="34"/>
      <c r="N949" s="42"/>
      <c r="O949" s="42"/>
      <c r="P949" s="42"/>
      <c r="Q949" s="42"/>
      <c r="R949" s="42"/>
      <c r="S949" s="42"/>
      <c r="T949" s="42"/>
    </row>
    <row r="950">
      <c r="E950" s="34"/>
      <c r="F950" s="34"/>
      <c r="G950" s="34"/>
      <c r="H950" s="34"/>
      <c r="I950" s="34"/>
      <c r="J950" s="34"/>
      <c r="K950" s="34"/>
      <c r="L950" s="34"/>
      <c r="M950" s="34"/>
      <c r="N950" s="42"/>
      <c r="O950" s="42"/>
      <c r="P950" s="42"/>
      <c r="Q950" s="42"/>
      <c r="R950" s="42"/>
      <c r="S950" s="42"/>
      <c r="T950" s="42"/>
    </row>
    <row r="951">
      <c r="E951" s="34"/>
      <c r="F951" s="34"/>
      <c r="G951" s="34"/>
      <c r="H951" s="34"/>
      <c r="I951" s="34"/>
      <c r="J951" s="34"/>
      <c r="K951" s="34"/>
      <c r="L951" s="34"/>
      <c r="M951" s="34"/>
      <c r="N951" s="42"/>
      <c r="O951" s="42"/>
      <c r="P951" s="42"/>
      <c r="Q951" s="42"/>
      <c r="R951" s="42"/>
      <c r="S951" s="42"/>
      <c r="T951" s="42"/>
    </row>
    <row r="952">
      <c r="E952" s="34"/>
      <c r="F952" s="34"/>
      <c r="G952" s="34"/>
      <c r="H952" s="34"/>
      <c r="I952" s="34"/>
      <c r="J952" s="34"/>
      <c r="K952" s="34"/>
      <c r="L952" s="34"/>
      <c r="M952" s="34"/>
      <c r="N952" s="42"/>
      <c r="O952" s="42"/>
      <c r="P952" s="42"/>
      <c r="Q952" s="42"/>
      <c r="R952" s="42"/>
      <c r="S952" s="42"/>
      <c r="T952" s="42"/>
    </row>
    <row r="953">
      <c r="E953" s="34"/>
      <c r="F953" s="34"/>
      <c r="G953" s="34"/>
      <c r="H953" s="34"/>
      <c r="I953" s="34"/>
      <c r="J953" s="34"/>
      <c r="K953" s="34"/>
      <c r="L953" s="34"/>
      <c r="M953" s="34"/>
      <c r="N953" s="42"/>
      <c r="O953" s="42"/>
      <c r="P953" s="42"/>
      <c r="Q953" s="42"/>
      <c r="R953" s="42"/>
      <c r="S953" s="42"/>
      <c r="T953" s="42"/>
    </row>
    <row r="954">
      <c r="E954" s="34"/>
      <c r="F954" s="34"/>
      <c r="G954" s="34"/>
      <c r="H954" s="34"/>
      <c r="I954" s="34"/>
      <c r="J954" s="34"/>
      <c r="K954" s="34"/>
      <c r="L954" s="34"/>
      <c r="M954" s="34"/>
      <c r="N954" s="42"/>
      <c r="O954" s="42"/>
      <c r="P954" s="42"/>
      <c r="Q954" s="42"/>
      <c r="R954" s="42"/>
      <c r="S954" s="42"/>
      <c r="T954" s="42"/>
    </row>
    <row r="955">
      <c r="E955" s="34"/>
      <c r="F955" s="34"/>
      <c r="G955" s="34"/>
      <c r="H955" s="34"/>
      <c r="I955" s="34"/>
      <c r="J955" s="34"/>
      <c r="K955" s="34"/>
      <c r="L955" s="34"/>
      <c r="M955" s="34"/>
      <c r="N955" s="42"/>
      <c r="O955" s="42"/>
      <c r="P955" s="42"/>
      <c r="Q955" s="42"/>
      <c r="R955" s="42"/>
      <c r="S955" s="42"/>
      <c r="T955" s="42"/>
    </row>
    <row r="956">
      <c r="E956" s="34"/>
      <c r="F956" s="34"/>
      <c r="G956" s="34"/>
      <c r="H956" s="34"/>
      <c r="I956" s="34"/>
      <c r="J956" s="34"/>
      <c r="K956" s="34"/>
      <c r="L956" s="34"/>
      <c r="M956" s="34"/>
      <c r="N956" s="42"/>
      <c r="O956" s="42"/>
      <c r="P956" s="42"/>
      <c r="Q956" s="42"/>
      <c r="R956" s="42"/>
      <c r="S956" s="42"/>
      <c r="T956" s="42"/>
    </row>
    <row r="957">
      <c r="E957" s="34"/>
      <c r="F957" s="34"/>
      <c r="G957" s="34"/>
      <c r="H957" s="34"/>
      <c r="I957" s="34"/>
      <c r="J957" s="34"/>
      <c r="K957" s="34"/>
      <c r="L957" s="34"/>
      <c r="M957" s="34"/>
      <c r="N957" s="42"/>
      <c r="O957" s="42"/>
      <c r="P957" s="42"/>
      <c r="Q957" s="42"/>
      <c r="R957" s="42"/>
      <c r="S957" s="42"/>
      <c r="T957" s="42"/>
    </row>
    <row r="958">
      <c r="E958" s="34"/>
      <c r="F958" s="34"/>
      <c r="G958" s="34"/>
      <c r="H958" s="34"/>
      <c r="I958" s="34"/>
      <c r="J958" s="34"/>
      <c r="K958" s="34"/>
      <c r="L958" s="34"/>
      <c r="M958" s="34"/>
      <c r="N958" s="42"/>
      <c r="O958" s="42"/>
      <c r="P958" s="42"/>
      <c r="Q958" s="42"/>
      <c r="R958" s="42"/>
      <c r="S958" s="42"/>
      <c r="T958" s="42"/>
    </row>
    <row r="959">
      <c r="E959" s="34"/>
      <c r="F959" s="34"/>
      <c r="G959" s="34"/>
      <c r="H959" s="34"/>
      <c r="I959" s="34"/>
      <c r="J959" s="34"/>
      <c r="K959" s="34"/>
      <c r="L959" s="34"/>
      <c r="M959" s="34"/>
      <c r="N959" s="42"/>
      <c r="O959" s="42"/>
      <c r="P959" s="42"/>
      <c r="Q959" s="42"/>
      <c r="R959" s="42"/>
      <c r="S959" s="42"/>
      <c r="T959" s="42"/>
    </row>
    <row r="960">
      <c r="E960" s="34"/>
      <c r="F960" s="34"/>
      <c r="G960" s="34"/>
      <c r="H960" s="34"/>
      <c r="I960" s="34"/>
      <c r="J960" s="34"/>
      <c r="K960" s="34"/>
      <c r="L960" s="34"/>
      <c r="M960" s="34"/>
      <c r="N960" s="42"/>
      <c r="O960" s="42"/>
      <c r="P960" s="42"/>
      <c r="Q960" s="42"/>
      <c r="R960" s="42"/>
      <c r="S960" s="42"/>
      <c r="T960" s="42"/>
    </row>
    <row r="961">
      <c r="E961" s="34"/>
      <c r="F961" s="34"/>
      <c r="G961" s="34"/>
      <c r="H961" s="34"/>
      <c r="I961" s="34"/>
      <c r="J961" s="34"/>
      <c r="K961" s="34"/>
      <c r="L961" s="34"/>
      <c r="M961" s="34"/>
      <c r="N961" s="42"/>
      <c r="O961" s="42"/>
      <c r="P961" s="42"/>
      <c r="Q961" s="42"/>
      <c r="R961" s="42"/>
      <c r="S961" s="42"/>
      <c r="T961" s="42"/>
    </row>
    <row r="962">
      <c r="E962" s="34"/>
      <c r="F962" s="34"/>
      <c r="G962" s="34"/>
      <c r="H962" s="34"/>
      <c r="I962" s="34"/>
      <c r="J962" s="34"/>
      <c r="K962" s="34"/>
      <c r="L962" s="34"/>
      <c r="M962" s="34"/>
      <c r="N962" s="42"/>
      <c r="O962" s="42"/>
      <c r="P962" s="42"/>
      <c r="Q962" s="42"/>
      <c r="R962" s="42"/>
      <c r="S962" s="42"/>
      <c r="T962" s="42"/>
    </row>
    <row r="963">
      <c r="E963" s="34"/>
      <c r="F963" s="34"/>
      <c r="G963" s="34"/>
      <c r="H963" s="34"/>
      <c r="I963" s="34"/>
      <c r="J963" s="34"/>
      <c r="K963" s="34"/>
      <c r="L963" s="34"/>
      <c r="M963" s="34"/>
      <c r="N963" s="42"/>
      <c r="O963" s="42"/>
      <c r="P963" s="42"/>
      <c r="Q963" s="42"/>
      <c r="R963" s="42"/>
      <c r="S963" s="42"/>
      <c r="T963" s="42"/>
    </row>
    <row r="964">
      <c r="E964" s="34"/>
      <c r="F964" s="34"/>
      <c r="G964" s="34"/>
      <c r="H964" s="34"/>
      <c r="I964" s="34"/>
      <c r="J964" s="34"/>
      <c r="K964" s="34"/>
      <c r="L964" s="34"/>
      <c r="M964" s="34"/>
      <c r="N964" s="42"/>
      <c r="O964" s="42"/>
      <c r="P964" s="42"/>
      <c r="Q964" s="42"/>
      <c r="R964" s="42"/>
      <c r="S964" s="42"/>
      <c r="T964" s="42"/>
    </row>
    <row r="965">
      <c r="E965" s="34"/>
      <c r="F965" s="34"/>
      <c r="G965" s="34"/>
      <c r="H965" s="34"/>
      <c r="I965" s="34"/>
      <c r="J965" s="34"/>
      <c r="K965" s="34"/>
      <c r="L965" s="34"/>
      <c r="M965" s="34"/>
      <c r="N965" s="42"/>
      <c r="O965" s="42"/>
      <c r="P965" s="42"/>
      <c r="Q965" s="42"/>
      <c r="R965" s="42"/>
      <c r="S965" s="42"/>
      <c r="T965" s="42"/>
    </row>
    <row r="966">
      <c r="E966" s="34"/>
      <c r="F966" s="34"/>
      <c r="G966" s="34"/>
      <c r="H966" s="34"/>
      <c r="I966" s="34"/>
      <c r="J966" s="34"/>
      <c r="K966" s="34"/>
      <c r="L966" s="34"/>
      <c r="M966" s="34"/>
      <c r="N966" s="42"/>
      <c r="O966" s="42"/>
      <c r="P966" s="42"/>
      <c r="Q966" s="42"/>
      <c r="R966" s="42"/>
      <c r="S966" s="42"/>
      <c r="T966" s="42"/>
    </row>
    <row r="967">
      <c r="E967" s="34"/>
      <c r="F967" s="34"/>
      <c r="G967" s="34"/>
      <c r="H967" s="34"/>
      <c r="I967" s="34"/>
      <c r="J967" s="34"/>
      <c r="K967" s="34"/>
      <c r="L967" s="34"/>
      <c r="M967" s="34"/>
      <c r="N967" s="42"/>
      <c r="O967" s="42"/>
      <c r="P967" s="42"/>
      <c r="Q967" s="42"/>
      <c r="R967" s="42"/>
      <c r="S967" s="42"/>
      <c r="T967" s="42"/>
    </row>
    <row r="968">
      <c r="E968" s="34"/>
      <c r="F968" s="34"/>
      <c r="G968" s="34"/>
      <c r="H968" s="34"/>
      <c r="I968" s="34"/>
      <c r="J968" s="34"/>
      <c r="K968" s="34"/>
      <c r="L968" s="34"/>
      <c r="M968" s="34"/>
      <c r="N968" s="42"/>
      <c r="O968" s="42"/>
      <c r="P968" s="42"/>
      <c r="Q968" s="42"/>
      <c r="R968" s="42"/>
      <c r="S968" s="42"/>
      <c r="T968" s="42"/>
    </row>
    <row r="969">
      <c r="E969" s="34"/>
      <c r="F969" s="34"/>
      <c r="G969" s="34"/>
      <c r="H969" s="34"/>
      <c r="I969" s="34"/>
      <c r="J969" s="34"/>
      <c r="K969" s="34"/>
      <c r="L969" s="34"/>
      <c r="M969" s="34"/>
      <c r="N969" s="42"/>
      <c r="O969" s="42"/>
      <c r="P969" s="42"/>
      <c r="Q969" s="42"/>
      <c r="R969" s="42"/>
      <c r="S969" s="42"/>
      <c r="T969" s="42"/>
    </row>
    <row r="970">
      <c r="E970" s="34"/>
      <c r="F970" s="34"/>
      <c r="G970" s="34"/>
      <c r="H970" s="34"/>
      <c r="I970" s="34"/>
      <c r="J970" s="34"/>
      <c r="K970" s="34"/>
      <c r="L970" s="34"/>
      <c r="M970" s="34"/>
      <c r="N970" s="42"/>
      <c r="O970" s="42"/>
      <c r="P970" s="42"/>
      <c r="Q970" s="42"/>
      <c r="R970" s="42"/>
      <c r="S970" s="42"/>
      <c r="T970" s="42"/>
    </row>
    <row r="971">
      <c r="E971" s="34"/>
      <c r="F971" s="34"/>
      <c r="G971" s="34"/>
      <c r="H971" s="34"/>
      <c r="I971" s="34"/>
      <c r="J971" s="34"/>
      <c r="K971" s="34"/>
      <c r="L971" s="34"/>
      <c r="M971" s="34"/>
      <c r="N971" s="42"/>
      <c r="O971" s="42"/>
      <c r="P971" s="42"/>
      <c r="Q971" s="42"/>
      <c r="R971" s="42"/>
      <c r="S971" s="42"/>
      <c r="T971" s="42"/>
    </row>
    <row r="972">
      <c r="E972" s="34"/>
      <c r="F972" s="34"/>
      <c r="G972" s="34"/>
      <c r="H972" s="34"/>
      <c r="I972" s="34"/>
      <c r="J972" s="34"/>
      <c r="K972" s="34"/>
      <c r="L972" s="34"/>
      <c r="M972" s="34"/>
      <c r="N972" s="42"/>
      <c r="O972" s="42"/>
      <c r="P972" s="42"/>
      <c r="Q972" s="42"/>
      <c r="R972" s="42"/>
      <c r="S972" s="42"/>
      <c r="T972" s="42"/>
    </row>
    <row r="973">
      <c r="E973" s="34"/>
      <c r="F973" s="34"/>
      <c r="G973" s="34"/>
      <c r="H973" s="34"/>
      <c r="I973" s="34"/>
      <c r="J973" s="34"/>
      <c r="K973" s="34"/>
      <c r="L973" s="34"/>
      <c r="M973" s="34"/>
      <c r="N973" s="42"/>
      <c r="O973" s="42"/>
      <c r="P973" s="42"/>
      <c r="Q973" s="42"/>
      <c r="R973" s="42"/>
      <c r="S973" s="42"/>
      <c r="T973" s="42"/>
    </row>
    <row r="974">
      <c r="E974" s="34"/>
      <c r="F974" s="34"/>
      <c r="G974" s="34"/>
      <c r="H974" s="34"/>
      <c r="I974" s="34"/>
      <c r="J974" s="34"/>
      <c r="K974" s="34"/>
      <c r="L974" s="34"/>
      <c r="M974" s="34"/>
      <c r="N974" s="42"/>
      <c r="O974" s="42"/>
      <c r="P974" s="42"/>
      <c r="Q974" s="42"/>
      <c r="R974" s="42"/>
      <c r="S974" s="42"/>
      <c r="T974" s="42"/>
    </row>
    <row r="975">
      <c r="E975" s="34"/>
      <c r="F975" s="34"/>
      <c r="G975" s="34"/>
      <c r="H975" s="34"/>
      <c r="I975" s="34"/>
      <c r="J975" s="34"/>
      <c r="K975" s="34"/>
      <c r="L975" s="34"/>
      <c r="M975" s="34"/>
      <c r="N975" s="42"/>
      <c r="O975" s="42"/>
      <c r="P975" s="42"/>
      <c r="Q975" s="42"/>
      <c r="R975" s="42"/>
      <c r="S975" s="42"/>
      <c r="T975" s="42"/>
    </row>
    <row r="976">
      <c r="E976" s="34"/>
      <c r="F976" s="34"/>
      <c r="G976" s="34"/>
      <c r="H976" s="34"/>
      <c r="I976" s="34"/>
      <c r="J976" s="34"/>
      <c r="K976" s="34"/>
      <c r="L976" s="34"/>
      <c r="M976" s="34"/>
      <c r="N976" s="42"/>
      <c r="O976" s="42"/>
      <c r="P976" s="42"/>
      <c r="Q976" s="42"/>
      <c r="R976" s="42"/>
      <c r="S976" s="42"/>
      <c r="T976" s="42"/>
    </row>
    <row r="977">
      <c r="E977" s="34"/>
      <c r="F977" s="34"/>
      <c r="G977" s="34"/>
      <c r="H977" s="34"/>
      <c r="I977" s="34"/>
      <c r="J977" s="34"/>
      <c r="K977" s="34"/>
      <c r="L977" s="34"/>
      <c r="M977" s="34"/>
      <c r="N977" s="42"/>
      <c r="O977" s="42"/>
      <c r="P977" s="42"/>
      <c r="Q977" s="42"/>
      <c r="R977" s="42"/>
      <c r="S977" s="42"/>
      <c r="T977" s="42"/>
    </row>
    <row r="978">
      <c r="E978" s="34"/>
      <c r="F978" s="34"/>
      <c r="G978" s="34"/>
      <c r="H978" s="34"/>
      <c r="I978" s="34"/>
      <c r="J978" s="34"/>
      <c r="K978" s="34"/>
      <c r="L978" s="34"/>
      <c r="M978" s="34"/>
      <c r="N978" s="42"/>
      <c r="O978" s="42"/>
      <c r="P978" s="42"/>
      <c r="Q978" s="42"/>
      <c r="R978" s="42"/>
      <c r="S978" s="42"/>
      <c r="T978" s="42"/>
    </row>
    <row r="979">
      <c r="E979" s="34"/>
      <c r="F979" s="34"/>
      <c r="G979" s="34"/>
      <c r="H979" s="34"/>
      <c r="I979" s="34"/>
      <c r="J979" s="34"/>
      <c r="K979" s="34"/>
      <c r="L979" s="34"/>
      <c r="M979" s="34"/>
      <c r="N979" s="42"/>
      <c r="O979" s="42"/>
      <c r="P979" s="42"/>
      <c r="Q979" s="42"/>
      <c r="R979" s="42"/>
      <c r="S979" s="42"/>
      <c r="T979" s="42"/>
    </row>
    <row r="980">
      <c r="E980" s="34"/>
      <c r="F980" s="34"/>
      <c r="G980" s="34"/>
      <c r="H980" s="34"/>
      <c r="I980" s="34"/>
      <c r="J980" s="34"/>
      <c r="K980" s="34"/>
      <c r="L980" s="34"/>
      <c r="M980" s="34"/>
      <c r="N980" s="42"/>
      <c r="O980" s="42"/>
      <c r="P980" s="42"/>
      <c r="Q980" s="42"/>
      <c r="R980" s="42"/>
      <c r="S980" s="42"/>
      <c r="T980" s="42"/>
    </row>
    <row r="981">
      <c r="E981" s="34"/>
      <c r="F981" s="34"/>
      <c r="G981" s="34"/>
      <c r="H981" s="34"/>
      <c r="I981" s="34"/>
      <c r="J981" s="34"/>
      <c r="K981" s="34"/>
      <c r="L981" s="34"/>
      <c r="M981" s="34"/>
      <c r="N981" s="42"/>
      <c r="O981" s="42"/>
      <c r="P981" s="42"/>
      <c r="Q981" s="42"/>
      <c r="R981" s="42"/>
      <c r="S981" s="42"/>
      <c r="T981" s="42"/>
    </row>
    <row r="982">
      <c r="E982" s="34"/>
      <c r="F982" s="34"/>
      <c r="G982" s="34"/>
      <c r="H982" s="34"/>
      <c r="I982" s="34"/>
      <c r="J982" s="34"/>
      <c r="K982" s="34"/>
      <c r="L982" s="34"/>
      <c r="M982" s="34"/>
      <c r="N982" s="42"/>
      <c r="O982" s="42"/>
      <c r="P982" s="42"/>
      <c r="Q982" s="42"/>
      <c r="R982" s="42"/>
      <c r="S982" s="42"/>
      <c r="T982" s="42"/>
    </row>
    <row r="983">
      <c r="E983" s="34"/>
      <c r="F983" s="34"/>
      <c r="G983" s="34"/>
      <c r="H983" s="34"/>
      <c r="I983" s="34"/>
      <c r="J983" s="34"/>
      <c r="K983" s="34"/>
      <c r="L983" s="34"/>
      <c r="M983" s="34"/>
      <c r="N983" s="42"/>
      <c r="O983" s="42"/>
      <c r="P983" s="42"/>
      <c r="Q983" s="42"/>
      <c r="R983" s="42"/>
      <c r="S983" s="42"/>
      <c r="T983" s="42"/>
    </row>
    <row r="984">
      <c r="E984" s="34"/>
      <c r="F984" s="34"/>
      <c r="G984" s="34"/>
      <c r="H984" s="34"/>
      <c r="I984" s="34"/>
      <c r="J984" s="34"/>
      <c r="K984" s="34"/>
      <c r="L984" s="34"/>
      <c r="M984" s="34"/>
      <c r="N984" s="42"/>
      <c r="O984" s="42"/>
      <c r="P984" s="42"/>
      <c r="Q984" s="42"/>
      <c r="R984" s="42"/>
      <c r="S984" s="42"/>
      <c r="T984" s="42"/>
    </row>
    <row r="985">
      <c r="E985" s="34"/>
      <c r="F985" s="34"/>
      <c r="G985" s="34"/>
      <c r="H985" s="34"/>
      <c r="I985" s="34"/>
      <c r="J985" s="34"/>
      <c r="K985" s="34"/>
      <c r="L985" s="34"/>
      <c r="M985" s="34"/>
      <c r="N985" s="42"/>
      <c r="O985" s="42"/>
      <c r="P985" s="42"/>
      <c r="Q985" s="42"/>
      <c r="R985" s="42"/>
      <c r="S985" s="42"/>
      <c r="T985" s="42"/>
    </row>
    <row r="986">
      <c r="E986" s="34"/>
      <c r="F986" s="34"/>
      <c r="G986" s="34"/>
      <c r="H986" s="34"/>
      <c r="I986" s="34"/>
      <c r="J986" s="34"/>
      <c r="K986" s="34"/>
      <c r="L986" s="34"/>
      <c r="M986" s="34"/>
      <c r="N986" s="42"/>
      <c r="O986" s="42"/>
      <c r="P986" s="42"/>
      <c r="Q986" s="42"/>
      <c r="R986" s="42"/>
      <c r="S986" s="42"/>
      <c r="T986" s="42"/>
    </row>
    <row r="987">
      <c r="E987" s="34"/>
      <c r="F987" s="34"/>
      <c r="G987" s="34"/>
      <c r="H987" s="34"/>
      <c r="I987" s="34"/>
      <c r="J987" s="34"/>
      <c r="K987" s="34"/>
      <c r="L987" s="34"/>
      <c r="M987" s="34"/>
      <c r="N987" s="42"/>
      <c r="O987" s="42"/>
      <c r="P987" s="42"/>
      <c r="Q987" s="42"/>
      <c r="R987" s="42"/>
      <c r="S987" s="42"/>
      <c r="T987" s="42"/>
    </row>
    <row r="988">
      <c r="E988" s="34"/>
      <c r="F988" s="34"/>
      <c r="G988" s="34"/>
      <c r="H988" s="34"/>
      <c r="I988" s="34"/>
      <c r="J988" s="34"/>
      <c r="K988" s="34"/>
      <c r="L988" s="34"/>
      <c r="M988" s="34"/>
      <c r="N988" s="42"/>
      <c r="O988" s="42"/>
      <c r="P988" s="42"/>
      <c r="Q988" s="42"/>
      <c r="R988" s="42"/>
      <c r="S988" s="42"/>
      <c r="T988" s="42"/>
    </row>
    <row r="989">
      <c r="E989" s="34"/>
      <c r="F989" s="34"/>
      <c r="G989" s="34"/>
      <c r="H989" s="34"/>
      <c r="I989" s="34"/>
      <c r="J989" s="34"/>
      <c r="K989" s="34"/>
      <c r="L989" s="34"/>
      <c r="M989" s="34"/>
      <c r="N989" s="42"/>
      <c r="O989" s="42"/>
      <c r="P989" s="42"/>
      <c r="Q989" s="42"/>
      <c r="R989" s="42"/>
      <c r="S989" s="42"/>
      <c r="T989" s="42"/>
    </row>
    <row r="990">
      <c r="E990" s="34"/>
      <c r="F990" s="34"/>
      <c r="G990" s="34"/>
      <c r="H990" s="34"/>
      <c r="I990" s="34"/>
      <c r="J990" s="34"/>
      <c r="K990" s="34"/>
      <c r="L990" s="34"/>
      <c r="M990" s="34"/>
      <c r="N990" s="42"/>
      <c r="O990" s="42"/>
      <c r="P990" s="42"/>
      <c r="Q990" s="42"/>
      <c r="R990" s="42"/>
      <c r="S990" s="42"/>
      <c r="T990" s="42"/>
    </row>
    <row r="991">
      <c r="E991" s="34"/>
      <c r="F991" s="34"/>
      <c r="G991" s="34"/>
      <c r="H991" s="34"/>
      <c r="I991" s="34"/>
      <c r="J991" s="34"/>
      <c r="K991" s="34"/>
      <c r="L991" s="34"/>
      <c r="M991" s="34"/>
      <c r="N991" s="42"/>
      <c r="O991" s="42"/>
      <c r="P991" s="42"/>
      <c r="Q991" s="42"/>
      <c r="R991" s="42"/>
      <c r="S991" s="42"/>
      <c r="T991" s="42"/>
    </row>
    <row r="992">
      <c r="E992" s="34"/>
      <c r="F992" s="34"/>
      <c r="G992" s="34"/>
      <c r="H992" s="34"/>
      <c r="I992" s="34"/>
      <c r="J992" s="34"/>
      <c r="K992" s="34"/>
      <c r="L992" s="34"/>
      <c r="M992" s="34"/>
      <c r="N992" s="42"/>
      <c r="O992" s="42"/>
      <c r="P992" s="42"/>
      <c r="Q992" s="42"/>
      <c r="R992" s="42"/>
      <c r="S992" s="42"/>
      <c r="T992" s="42"/>
    </row>
    <row r="993">
      <c r="E993" s="34"/>
      <c r="F993" s="34"/>
      <c r="G993" s="34"/>
      <c r="H993" s="34"/>
      <c r="I993" s="34"/>
      <c r="J993" s="34"/>
      <c r="K993" s="34"/>
      <c r="L993" s="34"/>
      <c r="M993" s="34"/>
      <c r="N993" s="42"/>
      <c r="O993" s="42"/>
      <c r="P993" s="42"/>
      <c r="Q993" s="42"/>
      <c r="R993" s="42"/>
      <c r="S993" s="42"/>
      <c r="T993" s="42"/>
    </row>
    <row r="994">
      <c r="E994" s="34"/>
      <c r="F994" s="34"/>
      <c r="G994" s="34"/>
      <c r="H994" s="34"/>
      <c r="I994" s="34"/>
      <c r="J994" s="34"/>
      <c r="K994" s="34"/>
      <c r="L994" s="34"/>
      <c r="M994" s="34"/>
      <c r="N994" s="42"/>
      <c r="O994" s="42"/>
      <c r="P994" s="42"/>
      <c r="Q994" s="42"/>
      <c r="R994" s="42"/>
      <c r="S994" s="42"/>
      <c r="T994" s="42"/>
    </row>
    <row r="995">
      <c r="E995" s="34"/>
      <c r="F995" s="34"/>
      <c r="G995" s="34"/>
      <c r="H995" s="34"/>
      <c r="I995" s="34"/>
      <c r="J995" s="34"/>
      <c r="K995" s="34"/>
      <c r="L995" s="34"/>
      <c r="M995" s="34"/>
      <c r="N995" s="42"/>
      <c r="O995" s="42"/>
      <c r="P995" s="42"/>
      <c r="Q995" s="42"/>
      <c r="R995" s="42"/>
      <c r="S995" s="42"/>
      <c r="T995" s="42"/>
    </row>
    <row r="996">
      <c r="E996" s="34"/>
      <c r="F996" s="34"/>
      <c r="G996" s="34"/>
      <c r="H996" s="34"/>
      <c r="I996" s="34"/>
      <c r="J996" s="34"/>
      <c r="K996" s="34"/>
      <c r="L996" s="34"/>
      <c r="M996" s="34"/>
      <c r="N996" s="42"/>
      <c r="O996" s="42"/>
      <c r="P996" s="42"/>
      <c r="Q996" s="42"/>
      <c r="R996" s="42"/>
      <c r="S996" s="42"/>
      <c r="T996" s="42"/>
    </row>
    <row r="997">
      <c r="E997" s="34"/>
      <c r="F997" s="34"/>
      <c r="G997" s="34"/>
      <c r="H997" s="34"/>
      <c r="I997" s="34"/>
      <c r="J997" s="34"/>
      <c r="K997" s="34"/>
      <c r="L997" s="34"/>
      <c r="M997" s="34"/>
      <c r="N997" s="42"/>
      <c r="O997" s="42"/>
      <c r="P997" s="42"/>
      <c r="Q997" s="42"/>
      <c r="R997" s="42"/>
      <c r="S997" s="42"/>
      <c r="T997" s="42"/>
    </row>
    <row r="998">
      <c r="E998" s="34"/>
      <c r="F998" s="34"/>
      <c r="G998" s="34"/>
      <c r="H998" s="34"/>
      <c r="I998" s="34"/>
      <c r="J998" s="34"/>
      <c r="K998" s="34"/>
      <c r="L998" s="34"/>
      <c r="M998" s="34"/>
      <c r="N998" s="42"/>
      <c r="O998" s="42"/>
      <c r="P998" s="42"/>
      <c r="Q998" s="42"/>
      <c r="R998" s="42"/>
      <c r="S998" s="42"/>
      <c r="T998" s="42"/>
    </row>
    <row r="999">
      <c r="E999" s="34"/>
      <c r="F999" s="34"/>
      <c r="G999" s="34"/>
      <c r="H999" s="34"/>
      <c r="I999" s="34"/>
      <c r="J999" s="34"/>
      <c r="K999" s="34"/>
      <c r="L999" s="34"/>
      <c r="M999" s="34"/>
      <c r="N999" s="42"/>
      <c r="O999" s="42"/>
      <c r="P999" s="42"/>
      <c r="Q999" s="42"/>
      <c r="R999" s="42"/>
      <c r="S999" s="42"/>
      <c r="T999" s="42"/>
    </row>
    <row r="1000">
      <c r="E1000" s="34"/>
      <c r="F1000" s="34"/>
      <c r="G1000" s="34"/>
      <c r="H1000" s="34"/>
      <c r="I1000" s="34"/>
      <c r="J1000" s="34"/>
      <c r="K1000" s="34"/>
      <c r="L1000" s="34"/>
      <c r="M1000" s="34"/>
      <c r="N1000" s="42"/>
      <c r="O1000" s="42"/>
      <c r="P1000" s="42"/>
      <c r="Q1000" s="42"/>
      <c r="R1000" s="42"/>
      <c r="S1000" s="42"/>
      <c r="T1000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6.25"/>
    <col customWidth="1" min="3" max="3" width="11.38"/>
    <col customWidth="1" min="4" max="4" width="18.0"/>
    <col customWidth="1" min="5" max="5" width="12.0"/>
    <col customWidth="1" min="6" max="6" width="15.75"/>
    <col customWidth="1" min="8" max="8" width="16.25"/>
    <col customWidth="1" min="10" max="10" width="20.25"/>
    <col customWidth="1" min="11" max="11" width="13.13"/>
    <col customWidth="1" min="13" max="13" width="17.63"/>
    <col customWidth="1" min="15" max="15" width="17.63"/>
    <col customWidth="1" min="17" max="17" width="17.63"/>
  </cols>
  <sheetData>
    <row r="1">
      <c r="A1" s="43" t="s">
        <v>0</v>
      </c>
      <c r="B1" s="44" t="s">
        <v>240</v>
      </c>
      <c r="C1" s="44" t="s">
        <v>241</v>
      </c>
      <c r="D1" s="44" t="s">
        <v>242</v>
      </c>
      <c r="E1" s="44" t="s">
        <v>243</v>
      </c>
      <c r="F1" s="44" t="s">
        <v>244</v>
      </c>
      <c r="G1" s="44" t="s">
        <v>245</v>
      </c>
      <c r="H1" s="44" t="s">
        <v>244</v>
      </c>
      <c r="I1" s="45"/>
      <c r="J1" s="46" t="s">
        <v>0</v>
      </c>
      <c r="K1" s="32" t="s">
        <v>256</v>
      </c>
      <c r="L1" s="32" t="s">
        <v>241</v>
      </c>
      <c r="M1" s="32" t="s">
        <v>257</v>
      </c>
      <c r="N1" s="32" t="s">
        <v>243</v>
      </c>
      <c r="O1" s="32" t="s">
        <v>258</v>
      </c>
      <c r="P1" s="32" t="s">
        <v>245</v>
      </c>
      <c r="Q1" s="32" t="s">
        <v>259</v>
      </c>
    </row>
    <row r="2">
      <c r="A2" s="47" t="s">
        <v>24</v>
      </c>
      <c r="B2" s="42" t="s">
        <v>260</v>
      </c>
      <c r="C2" s="41">
        <v>1521091.0</v>
      </c>
      <c r="D2" s="42" t="s">
        <v>261</v>
      </c>
      <c r="E2" s="41">
        <v>1653659.0</v>
      </c>
      <c r="F2" s="42" t="s">
        <v>262</v>
      </c>
      <c r="G2" s="41">
        <v>1771185.0</v>
      </c>
      <c r="H2" s="42" t="s">
        <v>263</v>
      </c>
      <c r="I2" s="48"/>
      <c r="J2" s="47" t="s">
        <v>24</v>
      </c>
      <c r="K2" s="42" t="s">
        <v>264</v>
      </c>
      <c r="L2" s="41">
        <v>1521091.0</v>
      </c>
      <c r="M2" s="42" t="s">
        <v>265</v>
      </c>
      <c r="N2" s="41">
        <v>1653659.0</v>
      </c>
      <c r="O2" s="42" t="s">
        <v>266</v>
      </c>
      <c r="P2" s="41">
        <v>1771185.0</v>
      </c>
      <c r="Q2" s="42" t="s">
        <v>267</v>
      </c>
    </row>
    <row r="3">
      <c r="A3" s="49" t="s">
        <v>30</v>
      </c>
      <c r="B3" s="42" t="s">
        <v>268</v>
      </c>
      <c r="C3" s="40">
        <v>766284.0</v>
      </c>
      <c r="D3" s="42" t="s">
        <v>269</v>
      </c>
      <c r="E3" s="40">
        <v>820608.0</v>
      </c>
      <c r="F3" s="42" t="s">
        <v>270</v>
      </c>
      <c r="G3" s="40">
        <v>857515.0</v>
      </c>
      <c r="H3" s="42" t="s">
        <v>271</v>
      </c>
      <c r="I3" s="48"/>
      <c r="J3" s="49" t="s">
        <v>30</v>
      </c>
      <c r="K3" s="42" t="s">
        <v>272</v>
      </c>
      <c r="L3" s="40">
        <v>766284.0</v>
      </c>
      <c r="M3" s="42" t="s">
        <v>273</v>
      </c>
      <c r="N3" s="40">
        <v>820608.0</v>
      </c>
      <c r="O3" s="42" t="s">
        <v>274</v>
      </c>
      <c r="P3" s="40">
        <v>857515.0</v>
      </c>
      <c r="Q3" s="42" t="s">
        <v>275</v>
      </c>
    </row>
    <row r="4">
      <c r="A4" s="49" t="s">
        <v>31</v>
      </c>
      <c r="B4" s="42" t="s">
        <v>276</v>
      </c>
      <c r="C4" s="40">
        <v>21026.0</v>
      </c>
      <c r="D4" s="42" t="s">
        <v>277</v>
      </c>
      <c r="E4" s="40">
        <v>23359.0</v>
      </c>
      <c r="F4" s="42" t="s">
        <v>278</v>
      </c>
      <c r="G4" s="40">
        <v>24323.0</v>
      </c>
      <c r="H4" s="42" t="s">
        <v>279</v>
      </c>
      <c r="I4" s="48"/>
      <c r="J4" s="49" t="s">
        <v>31</v>
      </c>
      <c r="K4" s="42" t="s">
        <v>280</v>
      </c>
      <c r="L4" s="40">
        <v>21026.0</v>
      </c>
      <c r="M4" s="42" t="s">
        <v>281</v>
      </c>
      <c r="N4" s="40">
        <v>23359.0</v>
      </c>
      <c r="O4" s="42" t="s">
        <v>282</v>
      </c>
      <c r="P4" s="40">
        <v>24323.0</v>
      </c>
      <c r="Q4" s="42" t="s">
        <v>283</v>
      </c>
    </row>
    <row r="5">
      <c r="A5" s="49" t="s">
        <v>32</v>
      </c>
      <c r="B5" s="42" t="s">
        <v>284</v>
      </c>
      <c r="C5" s="40">
        <v>2491530.0</v>
      </c>
      <c r="D5" s="42" t="s">
        <v>285</v>
      </c>
      <c r="E5" s="40">
        <v>2727041.0</v>
      </c>
      <c r="F5" s="42" t="s">
        <v>286</v>
      </c>
      <c r="G5" s="40">
        <v>2570794.0</v>
      </c>
      <c r="H5" s="42" t="s">
        <v>287</v>
      </c>
      <c r="I5" s="48"/>
      <c r="J5" s="49" t="s">
        <v>32</v>
      </c>
      <c r="K5" s="42" t="s">
        <v>288</v>
      </c>
      <c r="L5" s="40">
        <v>2491530.0</v>
      </c>
      <c r="M5" s="42" t="s">
        <v>289</v>
      </c>
      <c r="N5" s="40">
        <v>2727041.0</v>
      </c>
      <c r="O5" s="42" t="s">
        <v>290</v>
      </c>
      <c r="P5" s="40">
        <v>2570794.0</v>
      </c>
      <c r="Q5" s="42" t="s">
        <v>291</v>
      </c>
    </row>
    <row r="6">
      <c r="A6" s="49" t="s">
        <v>33</v>
      </c>
      <c r="B6" s="42" t="s">
        <v>292</v>
      </c>
      <c r="C6" s="40">
        <v>1036541.0</v>
      </c>
      <c r="D6" s="42" t="s">
        <v>293</v>
      </c>
      <c r="E6" s="40">
        <v>1041658.0</v>
      </c>
      <c r="F6" s="42" t="s">
        <v>294</v>
      </c>
      <c r="G6" s="40">
        <v>988576.0</v>
      </c>
      <c r="H6" s="42" t="s">
        <v>295</v>
      </c>
      <c r="I6" s="48"/>
      <c r="J6" s="49" t="s">
        <v>33</v>
      </c>
      <c r="K6" s="42" t="s">
        <v>296</v>
      </c>
      <c r="L6" s="40">
        <v>1036541.0</v>
      </c>
      <c r="M6" s="42" t="s">
        <v>297</v>
      </c>
      <c r="N6" s="40">
        <v>1041658.0</v>
      </c>
      <c r="O6" s="42" t="s">
        <v>298</v>
      </c>
      <c r="P6" s="40">
        <v>988576.0</v>
      </c>
      <c r="Q6" s="42" t="s">
        <v>299</v>
      </c>
    </row>
    <row r="7">
      <c r="A7" s="49" t="s">
        <v>34</v>
      </c>
      <c r="B7" s="42" t="s">
        <v>300</v>
      </c>
      <c r="C7" s="40">
        <v>1224850.0</v>
      </c>
      <c r="D7" s="42" t="s">
        <v>301</v>
      </c>
      <c r="E7" s="40">
        <v>1322697.0</v>
      </c>
      <c r="F7" s="42" t="s">
        <v>302</v>
      </c>
      <c r="G7" s="40">
        <v>1321988.0</v>
      </c>
      <c r="H7" s="42" t="s">
        <v>303</v>
      </c>
      <c r="I7" s="48"/>
      <c r="J7" s="49" t="s">
        <v>34</v>
      </c>
      <c r="K7" s="42" t="s">
        <v>304</v>
      </c>
      <c r="L7" s="40">
        <v>1224850.0</v>
      </c>
      <c r="M7" s="42" t="s">
        <v>305</v>
      </c>
      <c r="N7" s="40">
        <v>1322697.0</v>
      </c>
      <c r="O7" s="42" t="s">
        <v>306</v>
      </c>
      <c r="P7" s="40">
        <v>1321988.0</v>
      </c>
      <c r="Q7" s="42" t="s">
        <v>307</v>
      </c>
    </row>
    <row r="8">
      <c r="A8" s="49" t="s">
        <v>35</v>
      </c>
      <c r="B8" s="42" t="s">
        <v>308</v>
      </c>
      <c r="C8" s="40">
        <v>230668.0</v>
      </c>
      <c r="D8" s="42" t="s">
        <v>309</v>
      </c>
      <c r="E8" s="40">
        <v>251580.0</v>
      </c>
      <c r="F8" s="42" t="s">
        <v>310</v>
      </c>
      <c r="G8" s="40">
        <v>239357.0</v>
      </c>
      <c r="H8" s="42" t="s">
        <v>311</v>
      </c>
      <c r="I8" s="48"/>
      <c r="J8" s="49" t="s">
        <v>35</v>
      </c>
      <c r="K8" s="42" t="s">
        <v>312</v>
      </c>
      <c r="L8" s="40">
        <v>230668.0</v>
      </c>
      <c r="M8" s="42" t="s">
        <v>313</v>
      </c>
      <c r="N8" s="40">
        <v>251580.0</v>
      </c>
      <c r="O8" s="42" t="s">
        <v>314</v>
      </c>
      <c r="P8" s="40">
        <v>239357.0</v>
      </c>
      <c r="Q8" s="42" t="s">
        <v>315</v>
      </c>
    </row>
    <row r="9">
      <c r="A9" s="49" t="s">
        <v>36</v>
      </c>
      <c r="B9" s="42" t="s">
        <v>316</v>
      </c>
      <c r="C9" s="40">
        <v>53498.0</v>
      </c>
      <c r="D9" s="42" t="s">
        <v>317</v>
      </c>
      <c r="E9" s="41">
        <v>61464.0</v>
      </c>
      <c r="F9" s="42" t="s">
        <v>318</v>
      </c>
      <c r="G9" s="40">
        <v>64910.0</v>
      </c>
      <c r="H9" s="42" t="s">
        <v>319</v>
      </c>
      <c r="I9" s="48"/>
      <c r="J9" s="49" t="s">
        <v>36</v>
      </c>
      <c r="K9" s="42" t="s">
        <v>320</v>
      </c>
      <c r="L9" s="40">
        <v>53498.0</v>
      </c>
      <c r="M9" s="42" t="s">
        <v>321</v>
      </c>
      <c r="N9" s="41">
        <v>61464.0</v>
      </c>
      <c r="O9" s="42" t="s">
        <v>322</v>
      </c>
      <c r="P9" s="40">
        <v>64910.0</v>
      </c>
      <c r="Q9" s="42" t="s">
        <v>323</v>
      </c>
    </row>
    <row r="10">
      <c r="A10" s="49" t="s">
        <v>37</v>
      </c>
      <c r="B10" s="42" t="s">
        <v>324</v>
      </c>
      <c r="C10" s="40">
        <v>93263.0</v>
      </c>
      <c r="D10" s="42" t="s">
        <v>325</v>
      </c>
      <c r="E10" s="40">
        <v>97650.0</v>
      </c>
      <c r="F10" s="42" t="s">
        <v>326</v>
      </c>
      <c r="G10" s="40">
        <v>86385.0</v>
      </c>
      <c r="H10" s="42" t="s">
        <v>327</v>
      </c>
      <c r="I10" s="48"/>
      <c r="J10" s="49" t="s">
        <v>37</v>
      </c>
      <c r="K10" s="42" t="s">
        <v>328</v>
      </c>
      <c r="L10" s="40">
        <v>93263.0</v>
      </c>
      <c r="M10" s="42" t="s">
        <v>329</v>
      </c>
      <c r="N10" s="40">
        <v>97650.0</v>
      </c>
      <c r="O10" s="42" t="s">
        <v>330</v>
      </c>
      <c r="P10" s="40">
        <v>86385.0</v>
      </c>
      <c r="Q10" s="42" t="s">
        <v>331</v>
      </c>
    </row>
    <row r="11">
      <c r="A11" s="49" t="s">
        <v>38</v>
      </c>
      <c r="B11" s="42" t="s">
        <v>332</v>
      </c>
      <c r="C11" s="40">
        <v>117482.0</v>
      </c>
      <c r="D11" s="42" t="s">
        <v>333</v>
      </c>
      <c r="E11" s="40">
        <v>122607.0</v>
      </c>
      <c r="F11" s="42" t="s">
        <v>334</v>
      </c>
      <c r="G11" s="40">
        <v>116845.0</v>
      </c>
      <c r="H11" s="42" t="s">
        <v>335</v>
      </c>
      <c r="I11" s="48"/>
      <c r="J11" s="49" t="s">
        <v>38</v>
      </c>
      <c r="K11" s="42" t="s">
        <v>336</v>
      </c>
      <c r="L11" s="40">
        <v>117482.0</v>
      </c>
      <c r="M11" s="42" t="s">
        <v>337</v>
      </c>
      <c r="N11" s="40">
        <v>122607.0</v>
      </c>
      <c r="O11" s="42" t="s">
        <v>338</v>
      </c>
      <c r="P11" s="40">
        <v>116845.0</v>
      </c>
      <c r="Q11" s="42" t="s">
        <v>339</v>
      </c>
    </row>
    <row r="12">
      <c r="A12" s="49" t="s">
        <v>39</v>
      </c>
      <c r="B12" s="42" t="s">
        <v>340</v>
      </c>
      <c r="C12" s="40">
        <v>591726.0</v>
      </c>
      <c r="D12" s="42" t="s">
        <v>341</v>
      </c>
      <c r="E12" s="40">
        <v>567543.0</v>
      </c>
      <c r="F12" s="42" t="s">
        <v>342</v>
      </c>
      <c r="G12" s="40">
        <v>527850.0</v>
      </c>
      <c r="H12" s="42" t="s">
        <v>343</v>
      </c>
      <c r="I12" s="48"/>
      <c r="J12" s="49" t="s">
        <v>39</v>
      </c>
      <c r="K12" s="42" t="s">
        <v>344</v>
      </c>
      <c r="L12" s="40">
        <v>591726.0</v>
      </c>
      <c r="M12" s="42" t="s">
        <v>345</v>
      </c>
      <c r="N12" s="40">
        <v>567543.0</v>
      </c>
      <c r="O12" s="42" t="s">
        <v>346</v>
      </c>
      <c r="P12" s="40">
        <v>527850.0</v>
      </c>
      <c r="Q12" s="42" t="s">
        <v>347</v>
      </c>
    </row>
    <row r="13">
      <c r="A13" s="49" t="s">
        <v>40</v>
      </c>
      <c r="B13" s="42" t="s">
        <v>348</v>
      </c>
      <c r="C13" s="40">
        <v>89503.0</v>
      </c>
      <c r="D13" s="42" t="s">
        <v>349</v>
      </c>
      <c r="E13" s="40">
        <v>93100.0</v>
      </c>
      <c r="F13" s="42" t="s">
        <v>350</v>
      </c>
      <c r="G13" s="40">
        <v>104413.0</v>
      </c>
      <c r="H13" s="42" t="s">
        <v>351</v>
      </c>
      <c r="I13" s="48"/>
      <c r="J13" s="49" t="s">
        <v>40</v>
      </c>
      <c r="K13" s="42" t="s">
        <v>352</v>
      </c>
      <c r="L13" s="40">
        <v>89503.0</v>
      </c>
      <c r="M13" s="42" t="s">
        <v>353</v>
      </c>
      <c r="N13" s="40">
        <v>93100.0</v>
      </c>
      <c r="O13" s="42" t="s">
        <v>354</v>
      </c>
      <c r="P13" s="40">
        <v>104413.0</v>
      </c>
      <c r="Q13" s="42" t="s">
        <v>355</v>
      </c>
    </row>
    <row r="14">
      <c r="A14" s="49" t="s">
        <v>41</v>
      </c>
      <c r="B14" s="42" t="s">
        <v>356</v>
      </c>
      <c r="C14" s="40">
        <v>34511.0</v>
      </c>
      <c r="D14" s="42" t="s">
        <v>357</v>
      </c>
      <c r="E14" s="40">
        <v>43390.0</v>
      </c>
      <c r="F14" s="42" t="s">
        <v>358</v>
      </c>
      <c r="G14" s="40">
        <v>49723.0</v>
      </c>
      <c r="H14" s="42" t="s">
        <v>359</v>
      </c>
      <c r="I14" s="48"/>
      <c r="J14" s="49" t="s">
        <v>41</v>
      </c>
      <c r="K14" s="42" t="s">
        <v>360</v>
      </c>
      <c r="L14" s="40">
        <v>34511.0</v>
      </c>
      <c r="M14" s="42" t="s">
        <v>361</v>
      </c>
      <c r="N14" s="40">
        <v>43390.0</v>
      </c>
      <c r="O14" s="42" t="s">
        <v>362</v>
      </c>
      <c r="P14" s="40">
        <v>49723.0</v>
      </c>
      <c r="Q14" s="42" t="s">
        <v>363</v>
      </c>
    </row>
    <row r="15">
      <c r="A15" s="49" t="s">
        <v>42</v>
      </c>
      <c r="B15" s="42" t="s">
        <v>364</v>
      </c>
      <c r="C15" s="40">
        <v>577456.0</v>
      </c>
      <c r="D15" s="42" t="s">
        <v>365</v>
      </c>
      <c r="E15" s="40">
        <v>597323.0</v>
      </c>
      <c r="F15" s="42" t="s">
        <v>366</v>
      </c>
      <c r="G15" s="40">
        <v>618854.0</v>
      </c>
      <c r="H15" s="42" t="s">
        <v>367</v>
      </c>
      <c r="I15" s="48"/>
      <c r="J15" s="49" t="s">
        <v>42</v>
      </c>
      <c r="K15" s="42" t="s">
        <v>368</v>
      </c>
      <c r="L15" s="40">
        <v>577456.0</v>
      </c>
      <c r="M15" s="42" t="s">
        <v>369</v>
      </c>
      <c r="N15" s="40">
        <v>597323.0</v>
      </c>
      <c r="O15" s="42" t="s">
        <v>370</v>
      </c>
      <c r="P15" s="40">
        <v>618854.0</v>
      </c>
      <c r="Q15" s="42" t="s">
        <v>371</v>
      </c>
    </row>
    <row r="16">
      <c r="A16" s="49" t="s">
        <v>43</v>
      </c>
      <c r="B16" s="42" t="s">
        <v>372</v>
      </c>
      <c r="C16" s="40">
        <v>1700020.0</v>
      </c>
      <c r="D16" s="42" t="s">
        <v>373</v>
      </c>
      <c r="E16" s="40">
        <v>1790578.0</v>
      </c>
      <c r="F16" s="42" t="s">
        <v>374</v>
      </c>
      <c r="G16" s="40">
        <v>1926706.0</v>
      </c>
      <c r="H16" s="42" t="s">
        <v>375</v>
      </c>
      <c r="I16" s="48"/>
      <c r="J16" s="49" t="s">
        <v>43</v>
      </c>
      <c r="K16" s="42" t="s">
        <v>376</v>
      </c>
      <c r="L16" s="40">
        <v>1700020.0</v>
      </c>
      <c r="M16" s="42" t="s">
        <v>377</v>
      </c>
      <c r="N16" s="40">
        <v>1790578.0</v>
      </c>
      <c r="O16" s="42" t="s">
        <v>378</v>
      </c>
      <c r="P16" s="40">
        <v>1926706.0</v>
      </c>
      <c r="Q16" s="42" t="s">
        <v>379</v>
      </c>
    </row>
    <row r="17">
      <c r="A17" s="49" t="s">
        <v>44</v>
      </c>
      <c r="B17" s="42" t="s">
        <v>380</v>
      </c>
      <c r="C17" s="40">
        <v>670414.0</v>
      </c>
      <c r="D17" s="42" t="s">
        <v>381</v>
      </c>
      <c r="E17" s="40">
        <v>585973.0</v>
      </c>
      <c r="F17" s="42" t="s">
        <v>382</v>
      </c>
      <c r="G17" s="40">
        <v>533527.0</v>
      </c>
      <c r="H17" s="42" t="s">
        <v>383</v>
      </c>
      <c r="I17" s="48"/>
      <c r="J17" s="49" t="s">
        <v>44</v>
      </c>
      <c r="K17" s="42" t="s">
        <v>384</v>
      </c>
      <c r="L17" s="40">
        <v>670414.0</v>
      </c>
      <c r="M17" s="42" t="s">
        <v>385</v>
      </c>
      <c r="N17" s="40">
        <v>585973.0</v>
      </c>
      <c r="O17" s="42" t="s">
        <v>386</v>
      </c>
      <c r="P17" s="40">
        <v>533527.0</v>
      </c>
      <c r="Q17" s="42" t="s">
        <v>387</v>
      </c>
    </row>
    <row r="18">
      <c r="A18" s="49" t="s">
        <v>45</v>
      </c>
      <c r="B18" s="42" t="s">
        <v>388</v>
      </c>
      <c r="C18" s="40">
        <v>145873.0</v>
      </c>
      <c r="D18" s="42" t="s">
        <v>389</v>
      </c>
      <c r="E18" s="40">
        <v>148529.0</v>
      </c>
      <c r="F18" s="42" t="s">
        <v>390</v>
      </c>
      <c r="G18" s="40">
        <v>146555.0</v>
      </c>
      <c r="H18" s="42" t="s">
        <v>391</v>
      </c>
      <c r="I18" s="48"/>
      <c r="J18" s="49" t="s">
        <v>45</v>
      </c>
      <c r="K18" s="42" t="s">
        <v>392</v>
      </c>
      <c r="L18" s="40">
        <v>145873.0</v>
      </c>
      <c r="M18" s="42" t="s">
        <v>393</v>
      </c>
      <c r="N18" s="40">
        <v>148529.0</v>
      </c>
      <c r="O18" s="42" t="s">
        <v>394</v>
      </c>
      <c r="P18" s="40">
        <v>146555.0</v>
      </c>
      <c r="Q18" s="42" t="s">
        <v>395</v>
      </c>
    </row>
    <row r="19">
      <c r="A19" s="49" t="s">
        <v>46</v>
      </c>
      <c r="B19" s="42" t="s">
        <v>396</v>
      </c>
      <c r="C19" s="40">
        <v>1003795.0</v>
      </c>
      <c r="D19" s="42" t="s">
        <v>397</v>
      </c>
      <c r="E19" s="40">
        <v>937461.0</v>
      </c>
      <c r="F19" s="42" t="s">
        <v>398</v>
      </c>
      <c r="G19" s="40">
        <v>851186.0</v>
      </c>
      <c r="H19" s="42" t="s">
        <v>399</v>
      </c>
      <c r="I19" s="48"/>
      <c r="J19" s="49" t="s">
        <v>46</v>
      </c>
      <c r="K19" s="42" t="s">
        <v>400</v>
      </c>
      <c r="L19" s="40">
        <v>1003795.0</v>
      </c>
      <c r="M19" s="42" t="s">
        <v>401</v>
      </c>
      <c r="N19" s="40">
        <v>937461.0</v>
      </c>
      <c r="O19" s="42" t="s">
        <v>402</v>
      </c>
      <c r="P19" s="40">
        <v>851186.0</v>
      </c>
      <c r="Q19" s="42" t="s">
        <v>403</v>
      </c>
    </row>
    <row r="20">
      <c r="A20" s="49" t="s">
        <v>47</v>
      </c>
      <c r="B20" s="42" t="s">
        <v>404</v>
      </c>
      <c r="C20" s="40">
        <v>138585.0</v>
      </c>
      <c r="D20" s="42" t="s">
        <v>405</v>
      </c>
      <c r="E20" s="40">
        <v>166630.0</v>
      </c>
      <c r="F20" s="42" t="s">
        <v>406</v>
      </c>
      <c r="G20" s="40">
        <v>179532.0</v>
      </c>
      <c r="H20" s="42" t="s">
        <v>407</v>
      </c>
      <c r="I20" s="48"/>
      <c r="J20" s="49" t="s">
        <v>47</v>
      </c>
      <c r="K20" s="42" t="s">
        <v>408</v>
      </c>
      <c r="L20" s="40">
        <v>138585.0</v>
      </c>
      <c r="M20" s="42" t="s">
        <v>409</v>
      </c>
      <c r="N20" s="40">
        <v>166630.0</v>
      </c>
      <c r="O20" s="42" t="s">
        <v>410</v>
      </c>
      <c r="P20" s="40">
        <v>179532.0</v>
      </c>
      <c r="Q20" s="42" t="s">
        <v>411</v>
      </c>
    </row>
    <row r="21">
      <c r="A21" s="49" t="s">
        <v>48</v>
      </c>
      <c r="B21" s="42" t="s">
        <v>412</v>
      </c>
      <c r="C21" s="40">
        <v>1376535.0</v>
      </c>
      <c r="D21" s="42" t="s">
        <v>413</v>
      </c>
      <c r="E21" s="40">
        <v>1444773.0</v>
      </c>
      <c r="F21" s="42" t="s">
        <v>414</v>
      </c>
      <c r="G21" s="40">
        <v>1564579.0</v>
      </c>
      <c r="H21" s="42" t="s">
        <v>415</v>
      </c>
      <c r="I21" s="48"/>
      <c r="J21" s="49" t="s">
        <v>48</v>
      </c>
      <c r="K21" s="42" t="s">
        <v>416</v>
      </c>
      <c r="L21" s="40">
        <v>1376535.0</v>
      </c>
      <c r="M21" s="42" t="s">
        <v>417</v>
      </c>
      <c r="N21" s="40">
        <v>1444773.0</v>
      </c>
      <c r="O21" s="42" t="s">
        <v>418</v>
      </c>
      <c r="P21" s="40">
        <v>1564579.0</v>
      </c>
      <c r="Q21" s="42" t="s">
        <v>419</v>
      </c>
    </row>
    <row r="22">
      <c r="A22" s="49" t="s">
        <v>49</v>
      </c>
      <c r="B22" s="42" t="s">
        <v>420</v>
      </c>
      <c r="C22" s="40">
        <v>3234031.0</v>
      </c>
      <c r="D22" s="42" t="s">
        <v>421</v>
      </c>
      <c r="E22" s="40">
        <v>2831329.0</v>
      </c>
      <c r="F22" s="42" t="s">
        <v>422</v>
      </c>
      <c r="G22" s="40">
        <v>2717463.0</v>
      </c>
      <c r="H22" s="42" t="s">
        <v>423</v>
      </c>
      <c r="I22" s="48"/>
      <c r="J22" s="49" t="s">
        <v>49</v>
      </c>
      <c r="K22" s="42" t="s">
        <v>424</v>
      </c>
      <c r="L22" s="40">
        <v>3234031.0</v>
      </c>
      <c r="M22" s="42" t="s">
        <v>425</v>
      </c>
      <c r="N22" s="40">
        <v>2831329.0</v>
      </c>
      <c r="O22" s="42" t="s">
        <v>426</v>
      </c>
      <c r="P22" s="40">
        <v>2717463.0</v>
      </c>
      <c r="Q22" s="42" t="s">
        <v>427</v>
      </c>
    </row>
    <row r="23">
      <c r="A23" s="49" t="s">
        <v>50</v>
      </c>
      <c r="B23" s="42" t="s">
        <v>428</v>
      </c>
      <c r="C23" s="41">
        <v>9517.0</v>
      </c>
      <c r="D23" s="42" t="s">
        <v>429</v>
      </c>
      <c r="E23" s="40">
        <v>9018.0</v>
      </c>
      <c r="F23" s="42" t="s">
        <v>430</v>
      </c>
      <c r="G23" s="40">
        <v>7735.0</v>
      </c>
      <c r="H23" s="42" t="s">
        <v>431</v>
      </c>
      <c r="I23" s="48"/>
      <c r="J23" s="49" t="s">
        <v>50</v>
      </c>
      <c r="K23" s="42" t="s">
        <v>432</v>
      </c>
      <c r="L23" s="41">
        <v>9517.0</v>
      </c>
      <c r="M23" s="42" t="s">
        <v>433</v>
      </c>
      <c r="N23" s="40">
        <v>9018.0</v>
      </c>
      <c r="O23" s="42" t="s">
        <v>434</v>
      </c>
      <c r="P23" s="40">
        <v>7735.0</v>
      </c>
      <c r="Q23" s="42" t="s">
        <v>435</v>
      </c>
    </row>
    <row r="24">
      <c r="A24" s="49" t="s">
        <v>51</v>
      </c>
      <c r="B24" s="42" t="s">
        <v>436</v>
      </c>
      <c r="C24" s="40">
        <v>2.2224949E7</v>
      </c>
      <c r="D24" s="42" t="s">
        <v>437</v>
      </c>
      <c r="E24" s="40">
        <v>2.0605617E7</v>
      </c>
      <c r="F24" s="42" t="s">
        <v>438</v>
      </c>
      <c r="G24" s="40">
        <v>1.8867087E7</v>
      </c>
      <c r="H24" s="42" t="s">
        <v>439</v>
      </c>
      <c r="I24" s="48"/>
      <c r="J24" s="49" t="s">
        <v>51</v>
      </c>
      <c r="K24" s="42" t="s">
        <v>440</v>
      </c>
      <c r="L24" s="40">
        <v>2.2224949E7</v>
      </c>
      <c r="M24" s="42" t="s">
        <v>441</v>
      </c>
      <c r="N24" s="40">
        <v>2.0605617E7</v>
      </c>
      <c r="O24" s="42" t="s">
        <v>442</v>
      </c>
      <c r="P24" s="40">
        <v>1.8867087E7</v>
      </c>
      <c r="Q24" s="42" t="s">
        <v>443</v>
      </c>
    </row>
    <row r="25">
      <c r="A25" s="49" t="s">
        <v>52</v>
      </c>
      <c r="B25" s="42" t="s">
        <v>444</v>
      </c>
      <c r="C25" s="40">
        <v>512337.0</v>
      </c>
      <c r="D25" s="42" t="s">
        <v>445</v>
      </c>
      <c r="E25" s="40">
        <v>464997.0</v>
      </c>
      <c r="F25" s="42" t="s">
        <v>446</v>
      </c>
      <c r="G25" s="40">
        <v>430325.0</v>
      </c>
      <c r="H25" s="42" t="s">
        <v>447</v>
      </c>
      <c r="I25" s="48"/>
      <c r="J25" s="49" t="s">
        <v>52</v>
      </c>
      <c r="K25" s="42" t="s">
        <v>448</v>
      </c>
      <c r="L25" s="40">
        <v>512337.0</v>
      </c>
      <c r="M25" s="42" t="s">
        <v>449</v>
      </c>
      <c r="N25" s="40">
        <v>464997.0</v>
      </c>
      <c r="O25" s="42" t="s">
        <v>450</v>
      </c>
      <c r="P25" s="40">
        <v>430325.0</v>
      </c>
      <c r="Q25" s="42" t="s">
        <v>451</v>
      </c>
    </row>
    <row r="26">
      <c r="A26" s="49" t="s">
        <v>53</v>
      </c>
      <c r="B26" s="42" t="s">
        <v>452</v>
      </c>
      <c r="C26" s="40">
        <v>6839503.0</v>
      </c>
      <c r="D26" s="42" t="s">
        <v>453</v>
      </c>
      <c r="E26" s="40">
        <v>7314560.0</v>
      </c>
      <c r="F26" s="42" t="s">
        <v>454</v>
      </c>
      <c r="G26" s="40">
        <v>7309202.0</v>
      </c>
      <c r="H26" s="42" t="s">
        <v>455</v>
      </c>
      <c r="I26" s="48"/>
      <c r="J26" s="49" t="s">
        <v>53</v>
      </c>
      <c r="K26" s="42" t="s">
        <v>456</v>
      </c>
      <c r="L26" s="40">
        <v>6839503.0</v>
      </c>
      <c r="M26" s="42" t="s">
        <v>457</v>
      </c>
      <c r="N26" s="40">
        <v>7314560.0</v>
      </c>
      <c r="O26" s="42" t="s">
        <v>458</v>
      </c>
      <c r="P26" s="40">
        <v>7309202.0</v>
      </c>
      <c r="Q26" s="42" t="s">
        <v>459</v>
      </c>
    </row>
    <row r="27">
      <c r="A27" s="49" t="s">
        <v>54</v>
      </c>
      <c r="B27" s="42" t="s">
        <v>460</v>
      </c>
      <c r="C27" s="40">
        <v>8333366.0</v>
      </c>
      <c r="D27" s="42" t="s">
        <v>461</v>
      </c>
      <c r="E27" s="40">
        <v>8629158.0</v>
      </c>
      <c r="F27" s="42" t="s">
        <v>462</v>
      </c>
      <c r="G27" s="40">
        <v>7497523.0</v>
      </c>
      <c r="H27" s="42" t="s">
        <v>463</v>
      </c>
      <c r="I27" s="48"/>
      <c r="J27" s="49" t="s">
        <v>54</v>
      </c>
      <c r="K27" s="42" t="s">
        <v>464</v>
      </c>
      <c r="L27" s="40">
        <v>8333366.0</v>
      </c>
      <c r="M27" s="42" t="s">
        <v>465</v>
      </c>
      <c r="N27" s="40">
        <v>8629158.0</v>
      </c>
      <c r="O27" s="42" t="s">
        <v>466</v>
      </c>
      <c r="P27" s="40">
        <v>7497523.0</v>
      </c>
      <c r="Q27" s="42" t="s">
        <v>467</v>
      </c>
    </row>
    <row r="28">
      <c r="A28" s="49" t="s">
        <v>55</v>
      </c>
      <c r="B28" s="42" t="s">
        <v>468</v>
      </c>
      <c r="C28" s="40">
        <v>300794.0</v>
      </c>
      <c r="D28" s="42" t="s">
        <v>469</v>
      </c>
      <c r="E28" s="40">
        <v>260318.0</v>
      </c>
      <c r="F28" s="42" t="s">
        <v>470</v>
      </c>
      <c r="G28" s="40">
        <v>263246.0</v>
      </c>
      <c r="H28" s="42" t="s">
        <v>471</v>
      </c>
      <c r="I28" s="48"/>
      <c r="J28" s="49" t="s">
        <v>55</v>
      </c>
      <c r="K28" s="42" t="s">
        <v>472</v>
      </c>
      <c r="L28" s="40">
        <v>300794.0</v>
      </c>
      <c r="M28" s="42" t="s">
        <v>473</v>
      </c>
      <c r="N28" s="40">
        <v>260318.0</v>
      </c>
      <c r="O28" s="42" t="s">
        <v>474</v>
      </c>
      <c r="P28" s="40">
        <v>263246.0</v>
      </c>
      <c r="Q28" s="42" t="s">
        <v>475</v>
      </c>
    </row>
    <row r="29">
      <c r="A29" s="49" t="s">
        <v>56</v>
      </c>
      <c r="B29" s="42" t="s">
        <v>476</v>
      </c>
      <c r="C29" s="40">
        <v>584.0</v>
      </c>
      <c r="D29" s="42" t="s">
        <v>477</v>
      </c>
      <c r="E29" s="40">
        <v>585.0</v>
      </c>
      <c r="F29" s="42" t="s">
        <v>477</v>
      </c>
      <c r="G29" s="40">
        <v>511.0</v>
      </c>
      <c r="H29" s="42" t="s">
        <v>478</v>
      </c>
      <c r="I29" s="48"/>
      <c r="J29" s="49" t="s">
        <v>56</v>
      </c>
      <c r="K29" s="42" t="s">
        <v>479</v>
      </c>
      <c r="L29" s="40">
        <v>584.0</v>
      </c>
      <c r="M29" s="42" t="s">
        <v>480</v>
      </c>
      <c r="N29" s="40">
        <v>585.0</v>
      </c>
      <c r="O29" s="42" t="s">
        <v>480</v>
      </c>
      <c r="P29" s="40">
        <v>511.0</v>
      </c>
      <c r="Q29" s="42" t="s">
        <v>481</v>
      </c>
    </row>
    <row r="30">
      <c r="A30" s="49" t="s">
        <v>57</v>
      </c>
      <c r="B30" s="42" t="s">
        <v>482</v>
      </c>
      <c r="C30" s="40">
        <v>15785.0</v>
      </c>
      <c r="D30" s="42" t="s">
        <v>483</v>
      </c>
      <c r="E30" s="40">
        <v>15178.0</v>
      </c>
      <c r="F30" s="42" t="s">
        <v>484</v>
      </c>
      <c r="G30" s="41">
        <v>13852.0</v>
      </c>
      <c r="H30" s="42" t="s">
        <v>485</v>
      </c>
      <c r="I30" s="48"/>
      <c r="J30" s="49" t="s">
        <v>57</v>
      </c>
      <c r="K30" s="42" t="s">
        <v>486</v>
      </c>
      <c r="L30" s="40">
        <v>15785.0</v>
      </c>
      <c r="M30" s="42" t="s">
        <v>487</v>
      </c>
      <c r="N30" s="40">
        <v>15178.0</v>
      </c>
      <c r="O30" s="42" t="s">
        <v>488</v>
      </c>
      <c r="P30" s="41">
        <v>13852.0</v>
      </c>
      <c r="Q30" s="42" t="s">
        <v>489</v>
      </c>
    </row>
    <row r="31">
      <c r="A31" s="49" t="s">
        <v>58</v>
      </c>
      <c r="B31" s="42" t="s">
        <v>490</v>
      </c>
      <c r="C31" s="40">
        <v>2740.0</v>
      </c>
      <c r="D31" s="42" t="s">
        <v>491</v>
      </c>
      <c r="E31" s="40">
        <v>2728.0</v>
      </c>
      <c r="F31" s="42" t="s">
        <v>491</v>
      </c>
      <c r="G31" s="40">
        <v>2767.0</v>
      </c>
      <c r="H31" s="42" t="s">
        <v>491</v>
      </c>
      <c r="I31" s="48"/>
      <c r="J31" s="49" t="s">
        <v>58</v>
      </c>
      <c r="K31" s="42" t="s">
        <v>492</v>
      </c>
      <c r="L31" s="40">
        <v>2740.0</v>
      </c>
      <c r="M31" s="42" t="s">
        <v>493</v>
      </c>
      <c r="N31" s="40">
        <v>2728.0</v>
      </c>
      <c r="O31" s="42" t="s">
        <v>493</v>
      </c>
      <c r="P31" s="40">
        <v>2767.0</v>
      </c>
      <c r="Q31" s="42" t="s">
        <v>493</v>
      </c>
    </row>
    <row r="32">
      <c r="A32" s="49" t="s">
        <v>59</v>
      </c>
      <c r="B32" s="42" t="s">
        <v>494</v>
      </c>
      <c r="C32" s="40">
        <v>3251.0</v>
      </c>
      <c r="D32" s="42" t="s">
        <v>491</v>
      </c>
      <c r="E32" s="40">
        <v>3401.0</v>
      </c>
      <c r="F32" s="42" t="s">
        <v>491</v>
      </c>
      <c r="G32" s="40">
        <v>3439.0</v>
      </c>
      <c r="H32" s="42" t="s">
        <v>491</v>
      </c>
      <c r="I32" s="48"/>
      <c r="J32" s="49" t="s">
        <v>59</v>
      </c>
      <c r="K32" s="42" t="s">
        <v>495</v>
      </c>
      <c r="L32" s="40">
        <v>3251.0</v>
      </c>
      <c r="M32" s="42" t="s">
        <v>496</v>
      </c>
      <c r="N32" s="40">
        <v>3401.0</v>
      </c>
      <c r="O32" s="42" t="s">
        <v>497</v>
      </c>
      <c r="P32" s="40">
        <v>3439.0</v>
      </c>
      <c r="Q32" s="42" t="s">
        <v>497</v>
      </c>
    </row>
    <row r="33">
      <c r="A33" s="49" t="s">
        <v>60</v>
      </c>
      <c r="B33" s="42" t="s">
        <v>498</v>
      </c>
      <c r="C33" s="40">
        <v>584.0</v>
      </c>
      <c r="D33" s="42" t="s">
        <v>477</v>
      </c>
      <c r="E33" s="40">
        <v>576.0</v>
      </c>
      <c r="F33" s="42" t="s">
        <v>477</v>
      </c>
      <c r="G33" s="40">
        <v>433.0</v>
      </c>
      <c r="H33" s="42" t="s">
        <v>478</v>
      </c>
      <c r="I33" s="48"/>
      <c r="J33" s="49" t="s">
        <v>60</v>
      </c>
      <c r="K33" s="42" t="s">
        <v>499</v>
      </c>
      <c r="L33" s="40">
        <v>584.0</v>
      </c>
      <c r="M33" s="42" t="s">
        <v>500</v>
      </c>
      <c r="N33" s="40">
        <v>576.0</v>
      </c>
      <c r="O33" s="42" t="s">
        <v>500</v>
      </c>
      <c r="P33" s="40">
        <v>433.0</v>
      </c>
      <c r="Q33" s="42" t="s">
        <v>501</v>
      </c>
    </row>
    <row r="34">
      <c r="A34" s="49" t="s">
        <v>61</v>
      </c>
      <c r="B34" s="42" t="s">
        <v>502</v>
      </c>
      <c r="C34" s="40">
        <v>2422.0</v>
      </c>
      <c r="D34" s="42" t="s">
        <v>480</v>
      </c>
      <c r="E34" s="40">
        <v>2228.0</v>
      </c>
      <c r="F34" s="42" t="s">
        <v>480</v>
      </c>
      <c r="G34" s="40">
        <v>2042.0</v>
      </c>
      <c r="H34" s="42" t="s">
        <v>503</v>
      </c>
      <c r="I34" s="48"/>
      <c r="J34" s="49" t="s">
        <v>61</v>
      </c>
      <c r="K34" s="42" t="s">
        <v>504</v>
      </c>
      <c r="L34" s="40">
        <v>2422.0</v>
      </c>
      <c r="M34" s="42" t="s">
        <v>505</v>
      </c>
      <c r="N34" s="40">
        <v>2228.0</v>
      </c>
      <c r="O34" s="42" t="s">
        <v>506</v>
      </c>
      <c r="P34" s="40">
        <v>2042.0</v>
      </c>
      <c r="Q34" s="42" t="s">
        <v>507</v>
      </c>
    </row>
    <row r="35">
      <c r="A35" s="49" t="s">
        <v>62</v>
      </c>
      <c r="B35" s="42" t="s">
        <v>508</v>
      </c>
      <c r="C35" s="40">
        <v>285.0</v>
      </c>
      <c r="D35" s="42" t="s">
        <v>478</v>
      </c>
      <c r="E35" s="40">
        <v>321.0</v>
      </c>
      <c r="F35" s="42" t="s">
        <v>478</v>
      </c>
      <c r="G35" s="40">
        <v>316.0</v>
      </c>
      <c r="H35" s="42" t="s">
        <v>478</v>
      </c>
      <c r="I35" s="48"/>
      <c r="J35" s="49" t="s">
        <v>62</v>
      </c>
      <c r="K35" s="42" t="s">
        <v>509</v>
      </c>
      <c r="L35" s="40">
        <v>285.0</v>
      </c>
      <c r="M35" s="42" t="s">
        <v>481</v>
      </c>
      <c r="N35" s="40">
        <v>321.0</v>
      </c>
      <c r="O35" s="42" t="s">
        <v>481</v>
      </c>
      <c r="P35" s="40">
        <v>316.0</v>
      </c>
      <c r="Q35" s="42" t="s">
        <v>481</v>
      </c>
    </row>
    <row r="36">
      <c r="A36" s="49" t="s">
        <v>63</v>
      </c>
      <c r="B36" s="42" t="s">
        <v>510</v>
      </c>
      <c r="C36" s="40">
        <v>427.0</v>
      </c>
      <c r="D36" s="42" t="s">
        <v>478</v>
      </c>
      <c r="E36" s="40">
        <v>560.0</v>
      </c>
      <c r="F36" s="42" t="s">
        <v>478</v>
      </c>
      <c r="G36" s="40">
        <v>478.0</v>
      </c>
      <c r="H36" s="42" t="s">
        <v>478</v>
      </c>
      <c r="I36" s="48"/>
      <c r="J36" s="49" t="s">
        <v>63</v>
      </c>
      <c r="K36" s="42" t="s">
        <v>511</v>
      </c>
      <c r="L36" s="40">
        <v>427.0</v>
      </c>
      <c r="M36" s="42" t="s">
        <v>512</v>
      </c>
      <c r="N36" s="40">
        <v>560.0</v>
      </c>
      <c r="O36" s="42" t="s">
        <v>503</v>
      </c>
      <c r="P36" s="40">
        <v>478.0</v>
      </c>
      <c r="Q36" s="42" t="s">
        <v>512</v>
      </c>
    </row>
    <row r="37">
      <c r="A37" s="49" t="s">
        <v>64</v>
      </c>
      <c r="B37" s="42" t="s">
        <v>513</v>
      </c>
      <c r="C37" s="40">
        <v>178.0</v>
      </c>
      <c r="D37" s="42" t="s">
        <v>478</v>
      </c>
      <c r="E37" s="40">
        <v>176.0</v>
      </c>
      <c r="F37" s="42" t="s">
        <v>478</v>
      </c>
      <c r="G37" s="40">
        <v>156.0</v>
      </c>
      <c r="H37" s="42" t="s">
        <v>478</v>
      </c>
      <c r="I37" s="48"/>
      <c r="J37" s="49" t="s">
        <v>64</v>
      </c>
      <c r="K37" s="42" t="s">
        <v>514</v>
      </c>
      <c r="L37" s="40">
        <v>178.0</v>
      </c>
      <c r="M37" s="42" t="s">
        <v>477</v>
      </c>
      <c r="N37" s="40">
        <v>176.0</v>
      </c>
      <c r="O37" s="42" t="s">
        <v>477</v>
      </c>
      <c r="P37" s="40">
        <v>156.0</v>
      </c>
      <c r="Q37" s="42" t="s">
        <v>477</v>
      </c>
    </row>
    <row r="38">
      <c r="A38" s="49" t="s">
        <v>65</v>
      </c>
      <c r="B38" s="42" t="s">
        <v>404</v>
      </c>
      <c r="C38" s="40">
        <v>252566.0</v>
      </c>
      <c r="D38" s="42" t="s">
        <v>515</v>
      </c>
      <c r="E38" s="40">
        <v>260395.0</v>
      </c>
      <c r="F38" s="42" t="s">
        <v>516</v>
      </c>
      <c r="G38" s="40">
        <v>264001.0</v>
      </c>
      <c r="H38" s="42" t="s">
        <v>517</v>
      </c>
      <c r="I38" s="48"/>
      <c r="J38" s="49" t="s">
        <v>65</v>
      </c>
      <c r="K38" s="42" t="s">
        <v>518</v>
      </c>
      <c r="L38" s="40">
        <v>252566.0</v>
      </c>
      <c r="M38" s="42" t="s">
        <v>519</v>
      </c>
      <c r="N38" s="40">
        <v>260395.0</v>
      </c>
      <c r="O38" s="42" t="s">
        <v>520</v>
      </c>
      <c r="P38" s="40">
        <v>264001.0</v>
      </c>
      <c r="Q38" s="42" t="s">
        <v>521</v>
      </c>
    </row>
    <row r="39">
      <c r="A39" s="49" t="s">
        <v>66</v>
      </c>
      <c r="B39" s="42" t="s">
        <v>522</v>
      </c>
      <c r="C39" s="40">
        <v>5372.0</v>
      </c>
      <c r="D39" s="42" t="s">
        <v>523</v>
      </c>
      <c r="E39" s="40">
        <v>6258.0</v>
      </c>
      <c r="F39" s="42" t="s">
        <v>524</v>
      </c>
      <c r="G39" s="40">
        <v>5958.0</v>
      </c>
      <c r="H39" s="42" t="s">
        <v>524</v>
      </c>
      <c r="I39" s="48"/>
      <c r="J39" s="49" t="s">
        <v>66</v>
      </c>
      <c r="K39" s="42" t="s">
        <v>525</v>
      </c>
      <c r="L39" s="40">
        <v>5372.0</v>
      </c>
      <c r="M39" s="42" t="s">
        <v>526</v>
      </c>
      <c r="N39" s="40">
        <v>6258.0</v>
      </c>
      <c r="O39" s="42" t="s">
        <v>527</v>
      </c>
      <c r="P39" s="40">
        <v>5958.0</v>
      </c>
      <c r="Q39" s="42" t="s">
        <v>528</v>
      </c>
    </row>
    <row r="40">
      <c r="A40" s="49" t="s">
        <v>529</v>
      </c>
      <c r="B40" s="42" t="s">
        <v>530</v>
      </c>
      <c r="C40" s="40">
        <v>23175.0</v>
      </c>
      <c r="D40" s="42" t="s">
        <v>531</v>
      </c>
      <c r="E40" s="40">
        <v>25276.0</v>
      </c>
      <c r="F40" s="42" t="s">
        <v>532</v>
      </c>
      <c r="G40" s="40">
        <v>25573.0</v>
      </c>
      <c r="H40" s="42" t="s">
        <v>533</v>
      </c>
      <c r="I40" s="48"/>
      <c r="J40" s="49" t="s">
        <v>529</v>
      </c>
      <c r="K40" s="42" t="s">
        <v>534</v>
      </c>
      <c r="L40" s="40">
        <v>23175.0</v>
      </c>
      <c r="M40" s="42" t="s">
        <v>535</v>
      </c>
      <c r="N40" s="40">
        <v>25276.0</v>
      </c>
      <c r="O40" s="42" t="s">
        <v>536</v>
      </c>
      <c r="P40" s="40">
        <v>25573.0</v>
      </c>
      <c r="Q40" s="42" t="s">
        <v>537</v>
      </c>
    </row>
    <row r="41">
      <c r="A41" s="49" t="s">
        <v>68</v>
      </c>
      <c r="B41" s="42" t="s">
        <v>538</v>
      </c>
      <c r="C41" s="40">
        <v>2220.0</v>
      </c>
      <c r="D41" s="42" t="s">
        <v>491</v>
      </c>
      <c r="E41" s="40">
        <v>2233.0</v>
      </c>
      <c r="F41" s="42" t="s">
        <v>491</v>
      </c>
      <c r="G41" s="40">
        <v>1946.0</v>
      </c>
      <c r="H41" s="42" t="s">
        <v>539</v>
      </c>
      <c r="I41" s="48"/>
      <c r="J41" s="49" t="s">
        <v>68</v>
      </c>
      <c r="K41" s="42" t="s">
        <v>540</v>
      </c>
      <c r="L41" s="40">
        <v>2220.0</v>
      </c>
      <c r="M41" s="42" t="s">
        <v>541</v>
      </c>
      <c r="N41" s="40">
        <v>2233.0</v>
      </c>
      <c r="O41" s="42" t="s">
        <v>542</v>
      </c>
      <c r="P41" s="40">
        <v>1946.0</v>
      </c>
      <c r="Q41" s="42" t="s">
        <v>543</v>
      </c>
    </row>
    <row r="42">
      <c r="A42" s="49" t="s">
        <v>69</v>
      </c>
      <c r="B42" s="42" t="s">
        <v>544</v>
      </c>
      <c r="C42" s="40">
        <v>167.0</v>
      </c>
      <c r="D42" s="42" t="s">
        <v>478</v>
      </c>
      <c r="E42" s="40">
        <v>184.0</v>
      </c>
      <c r="F42" s="42" t="s">
        <v>478</v>
      </c>
      <c r="G42" s="40">
        <v>186.0</v>
      </c>
      <c r="H42" s="42" t="s">
        <v>478</v>
      </c>
      <c r="I42" s="48"/>
      <c r="J42" s="49" t="s">
        <v>69</v>
      </c>
      <c r="K42" s="42" t="s">
        <v>545</v>
      </c>
      <c r="L42" s="40">
        <v>167.0</v>
      </c>
      <c r="M42" s="42" t="s">
        <v>477</v>
      </c>
      <c r="N42" s="40">
        <v>184.0</v>
      </c>
      <c r="O42" s="42" t="s">
        <v>512</v>
      </c>
      <c r="P42" s="40">
        <v>186.0</v>
      </c>
      <c r="Q42" s="42" t="s">
        <v>512</v>
      </c>
    </row>
    <row r="43">
      <c r="A43" s="49" t="s">
        <v>70</v>
      </c>
      <c r="B43" s="42" t="s">
        <v>546</v>
      </c>
      <c r="C43" s="40">
        <v>9420.0</v>
      </c>
      <c r="D43" s="42" t="s">
        <v>547</v>
      </c>
      <c r="E43" s="40">
        <v>10817.0</v>
      </c>
      <c r="F43" s="42" t="s">
        <v>548</v>
      </c>
      <c r="G43" s="40">
        <v>11451.0</v>
      </c>
      <c r="H43" s="42" t="s">
        <v>548</v>
      </c>
      <c r="I43" s="48"/>
      <c r="J43" s="49" t="s">
        <v>70</v>
      </c>
      <c r="K43" s="42" t="s">
        <v>549</v>
      </c>
      <c r="L43" s="40">
        <v>9420.0</v>
      </c>
      <c r="M43" s="42" t="s">
        <v>550</v>
      </c>
      <c r="N43" s="40">
        <v>10817.0</v>
      </c>
      <c r="O43" s="42" t="s">
        <v>551</v>
      </c>
      <c r="P43" s="40">
        <v>11451.0</v>
      </c>
      <c r="Q43" s="42" t="s">
        <v>552</v>
      </c>
    </row>
    <row r="44">
      <c r="A44" s="49" t="s">
        <v>71</v>
      </c>
      <c r="B44" s="42" t="s">
        <v>553</v>
      </c>
      <c r="C44" s="40">
        <v>340728.0</v>
      </c>
      <c r="D44" s="42" t="s">
        <v>554</v>
      </c>
      <c r="E44" s="40">
        <v>337934.0</v>
      </c>
      <c r="F44" s="42" t="s">
        <v>555</v>
      </c>
      <c r="G44" s="40">
        <v>325875.0</v>
      </c>
      <c r="H44" s="42" t="s">
        <v>556</v>
      </c>
      <c r="I44" s="48"/>
      <c r="J44" s="49" t="s">
        <v>71</v>
      </c>
      <c r="K44" s="42" t="s">
        <v>557</v>
      </c>
      <c r="L44" s="40">
        <v>340728.0</v>
      </c>
      <c r="M44" s="42" t="s">
        <v>558</v>
      </c>
      <c r="N44" s="40">
        <v>337934.0</v>
      </c>
      <c r="O44" s="42" t="s">
        <v>559</v>
      </c>
      <c r="P44" s="40">
        <v>325875.0</v>
      </c>
      <c r="Q44" s="42" t="s">
        <v>560</v>
      </c>
    </row>
    <row r="45">
      <c r="A45" s="49" t="s">
        <v>72</v>
      </c>
      <c r="B45" s="42" t="s">
        <v>561</v>
      </c>
      <c r="C45" s="40">
        <v>4295550.0</v>
      </c>
      <c r="D45" s="42" t="s">
        <v>562</v>
      </c>
      <c r="E45" s="40">
        <v>4220377.0</v>
      </c>
      <c r="F45" s="42" t="s">
        <v>563</v>
      </c>
      <c r="G45" s="40">
        <v>3917639.0</v>
      </c>
      <c r="H45" s="42" t="s">
        <v>564</v>
      </c>
      <c r="I45" s="48"/>
      <c r="J45" s="49" t="s">
        <v>72</v>
      </c>
      <c r="K45" s="42" t="s">
        <v>565</v>
      </c>
      <c r="L45" s="40">
        <v>4295550.0</v>
      </c>
      <c r="M45" s="42" t="s">
        <v>566</v>
      </c>
      <c r="N45" s="40">
        <v>4220377.0</v>
      </c>
      <c r="O45" s="42" t="s">
        <v>567</v>
      </c>
      <c r="P45" s="40">
        <v>3917639.0</v>
      </c>
      <c r="Q45" s="42" t="s">
        <v>568</v>
      </c>
    </row>
    <row r="46">
      <c r="A46" s="49" t="s">
        <v>73</v>
      </c>
      <c r="B46" s="42" t="s">
        <v>569</v>
      </c>
      <c r="C46" s="40">
        <v>151981.0</v>
      </c>
      <c r="D46" s="42" t="s">
        <v>570</v>
      </c>
      <c r="E46" s="40">
        <v>144593.0</v>
      </c>
      <c r="F46" s="42" t="s">
        <v>571</v>
      </c>
      <c r="G46" s="40">
        <v>134301.0</v>
      </c>
      <c r="H46" s="42" t="s">
        <v>572</v>
      </c>
      <c r="I46" s="48"/>
      <c r="J46" s="49" t="s">
        <v>73</v>
      </c>
      <c r="K46" s="42" t="s">
        <v>573</v>
      </c>
      <c r="L46" s="40">
        <v>151981.0</v>
      </c>
      <c r="M46" s="42" t="s">
        <v>574</v>
      </c>
      <c r="N46" s="40">
        <v>144593.0</v>
      </c>
      <c r="O46" s="42" t="s">
        <v>575</v>
      </c>
      <c r="P46" s="40">
        <v>134301.0</v>
      </c>
      <c r="Q46" s="42" t="s">
        <v>576</v>
      </c>
    </row>
    <row r="47">
      <c r="A47" s="49" t="s">
        <v>74</v>
      </c>
      <c r="B47" s="42" t="s">
        <v>577</v>
      </c>
      <c r="C47" s="40">
        <v>449790.0</v>
      </c>
      <c r="D47" s="42" t="s">
        <v>578</v>
      </c>
      <c r="E47" s="40">
        <v>467953.0</v>
      </c>
      <c r="F47" s="42" t="s">
        <v>579</v>
      </c>
      <c r="G47" s="40">
        <v>446928.0</v>
      </c>
      <c r="H47" s="42" t="s">
        <v>580</v>
      </c>
      <c r="I47" s="48"/>
      <c r="J47" s="49" t="s">
        <v>74</v>
      </c>
      <c r="K47" s="42" t="s">
        <v>581</v>
      </c>
      <c r="L47" s="40">
        <v>449790.0</v>
      </c>
      <c r="M47" s="42" t="s">
        <v>582</v>
      </c>
      <c r="N47" s="40">
        <v>467953.0</v>
      </c>
      <c r="O47" s="42" t="s">
        <v>583</v>
      </c>
      <c r="P47" s="40">
        <v>446928.0</v>
      </c>
      <c r="Q47" s="42" t="s">
        <v>584</v>
      </c>
    </row>
    <row r="48">
      <c r="A48" s="49" t="s">
        <v>75</v>
      </c>
      <c r="B48" s="42" t="s">
        <v>585</v>
      </c>
      <c r="C48" s="40">
        <v>4792.0</v>
      </c>
      <c r="D48" s="42" t="s">
        <v>586</v>
      </c>
      <c r="E48" s="40">
        <v>5060.0</v>
      </c>
      <c r="F48" s="42" t="s">
        <v>586</v>
      </c>
      <c r="G48" s="40">
        <v>5299.0</v>
      </c>
      <c r="H48" s="42" t="s">
        <v>548</v>
      </c>
      <c r="I48" s="48"/>
      <c r="J48" s="49" t="s">
        <v>75</v>
      </c>
      <c r="K48" s="42" t="s">
        <v>587</v>
      </c>
      <c r="L48" s="40">
        <v>4792.0</v>
      </c>
      <c r="M48" s="42" t="s">
        <v>588</v>
      </c>
      <c r="N48" s="40">
        <v>5060.0</v>
      </c>
      <c r="O48" s="42" t="s">
        <v>589</v>
      </c>
      <c r="P48" s="40">
        <v>5299.0</v>
      </c>
      <c r="Q48" s="42" t="s">
        <v>590</v>
      </c>
    </row>
    <row r="49">
      <c r="A49" s="49" t="s">
        <v>76</v>
      </c>
      <c r="B49" s="42" t="s">
        <v>591</v>
      </c>
      <c r="C49" s="40">
        <v>10646.0</v>
      </c>
      <c r="D49" s="42" t="s">
        <v>592</v>
      </c>
      <c r="E49" s="40">
        <v>9265.0</v>
      </c>
      <c r="F49" s="42" t="s">
        <v>484</v>
      </c>
      <c r="G49" s="40">
        <v>7344.0</v>
      </c>
      <c r="H49" s="42" t="s">
        <v>593</v>
      </c>
      <c r="I49" s="48"/>
      <c r="J49" s="49" t="s">
        <v>76</v>
      </c>
      <c r="K49" s="42" t="s">
        <v>594</v>
      </c>
      <c r="L49" s="40">
        <v>10646.0</v>
      </c>
      <c r="M49" s="42" t="s">
        <v>595</v>
      </c>
      <c r="N49" s="40">
        <v>9265.0</v>
      </c>
      <c r="O49" s="42" t="s">
        <v>596</v>
      </c>
      <c r="P49" s="40">
        <v>7344.0</v>
      </c>
      <c r="Q49" s="42" t="s">
        <v>597</v>
      </c>
    </row>
    <row r="50">
      <c r="A50" s="49" t="s">
        <v>77</v>
      </c>
      <c r="B50" s="42" t="s">
        <v>598</v>
      </c>
      <c r="C50" s="40">
        <v>830243.0</v>
      </c>
      <c r="D50" s="42" t="s">
        <v>599</v>
      </c>
      <c r="E50" s="40">
        <v>773968.0</v>
      </c>
      <c r="F50" s="42" t="s">
        <v>600</v>
      </c>
      <c r="G50" s="40">
        <v>723246.0</v>
      </c>
      <c r="H50" s="42" t="s">
        <v>601</v>
      </c>
      <c r="I50" s="48"/>
      <c r="J50" s="49" t="s">
        <v>77</v>
      </c>
      <c r="K50" s="42" t="s">
        <v>602</v>
      </c>
      <c r="L50" s="40">
        <v>830243.0</v>
      </c>
      <c r="M50" s="42" t="s">
        <v>603</v>
      </c>
      <c r="N50" s="40">
        <v>773968.0</v>
      </c>
      <c r="O50" s="42" t="s">
        <v>604</v>
      </c>
      <c r="P50" s="40">
        <v>723246.0</v>
      </c>
      <c r="Q50" s="42" t="s">
        <v>605</v>
      </c>
    </row>
    <row r="51">
      <c r="A51" s="49" t="s">
        <v>78</v>
      </c>
      <c r="B51" s="42" t="s">
        <v>606</v>
      </c>
      <c r="C51" s="40">
        <v>1846398.0</v>
      </c>
      <c r="D51" s="42" t="s">
        <v>607</v>
      </c>
      <c r="E51" s="40">
        <v>1846969.0</v>
      </c>
      <c r="F51" s="42" t="s">
        <v>608</v>
      </c>
      <c r="G51" s="40">
        <v>1623298.0</v>
      </c>
      <c r="H51" s="42" t="s">
        <v>609</v>
      </c>
      <c r="I51" s="48"/>
      <c r="J51" s="49" t="s">
        <v>78</v>
      </c>
      <c r="K51" s="42" t="s">
        <v>610</v>
      </c>
      <c r="L51" s="40">
        <v>1846398.0</v>
      </c>
      <c r="M51" s="42" t="s">
        <v>611</v>
      </c>
      <c r="N51" s="40">
        <v>1846969.0</v>
      </c>
      <c r="O51" s="42" t="s">
        <v>612</v>
      </c>
      <c r="P51" s="40">
        <v>1623298.0</v>
      </c>
      <c r="Q51" s="42" t="s">
        <v>613</v>
      </c>
    </row>
    <row r="52">
      <c r="A52" s="49" t="s">
        <v>79</v>
      </c>
      <c r="B52" s="42" t="s">
        <v>614</v>
      </c>
      <c r="C52" s="40">
        <v>1768.0</v>
      </c>
      <c r="D52" s="42" t="s">
        <v>491</v>
      </c>
      <c r="E52" s="40">
        <v>1562.0</v>
      </c>
      <c r="F52" s="42" t="s">
        <v>491</v>
      </c>
      <c r="G52" s="40">
        <v>1522.0</v>
      </c>
      <c r="H52" s="42" t="s">
        <v>491</v>
      </c>
      <c r="I52" s="48"/>
      <c r="J52" s="49" t="s">
        <v>79</v>
      </c>
      <c r="K52" s="42" t="s">
        <v>615</v>
      </c>
      <c r="L52" s="40">
        <v>1768.0</v>
      </c>
      <c r="M52" s="42" t="s">
        <v>542</v>
      </c>
      <c r="N52" s="40">
        <v>1562.0</v>
      </c>
      <c r="O52" s="42" t="s">
        <v>616</v>
      </c>
      <c r="P52" s="40">
        <v>1522.0</v>
      </c>
      <c r="Q52" s="42" t="s">
        <v>616</v>
      </c>
    </row>
    <row r="53">
      <c r="A53" s="49" t="s">
        <v>80</v>
      </c>
      <c r="B53" s="42" t="s">
        <v>617</v>
      </c>
      <c r="C53" s="40">
        <v>309632.0</v>
      </c>
      <c r="D53" s="42" t="s">
        <v>618</v>
      </c>
      <c r="E53" s="40">
        <v>298744.0</v>
      </c>
      <c r="F53" s="42" t="s">
        <v>619</v>
      </c>
      <c r="G53" s="40">
        <v>269879.0</v>
      </c>
      <c r="H53" s="42" t="s">
        <v>620</v>
      </c>
      <c r="I53" s="48"/>
      <c r="J53" s="49" t="s">
        <v>80</v>
      </c>
      <c r="K53" s="42" t="s">
        <v>621</v>
      </c>
      <c r="L53" s="40">
        <v>309632.0</v>
      </c>
      <c r="M53" s="42" t="s">
        <v>622</v>
      </c>
      <c r="N53" s="40">
        <v>298744.0</v>
      </c>
      <c r="O53" s="42" t="s">
        <v>623</v>
      </c>
      <c r="P53" s="40">
        <v>269879.0</v>
      </c>
      <c r="Q53" s="42" t="s">
        <v>624</v>
      </c>
    </row>
    <row r="54">
      <c r="A54" s="49" t="s">
        <v>81</v>
      </c>
      <c r="B54" s="42" t="s">
        <v>625</v>
      </c>
      <c r="C54" s="40">
        <v>551241.0</v>
      </c>
      <c r="D54" s="42" t="s">
        <v>626</v>
      </c>
      <c r="E54" s="40">
        <v>520265.0</v>
      </c>
      <c r="F54" s="42" t="s">
        <v>627</v>
      </c>
      <c r="G54" s="40">
        <v>464345.0</v>
      </c>
      <c r="H54" s="42" t="s">
        <v>628</v>
      </c>
      <c r="I54" s="48"/>
      <c r="J54" s="49" t="s">
        <v>81</v>
      </c>
      <c r="K54" s="42" t="s">
        <v>629</v>
      </c>
      <c r="L54" s="40">
        <v>551241.0</v>
      </c>
      <c r="M54" s="42" t="s">
        <v>630</v>
      </c>
      <c r="N54" s="40">
        <v>520265.0</v>
      </c>
      <c r="O54" s="42" t="s">
        <v>631</v>
      </c>
      <c r="P54" s="40">
        <v>464345.0</v>
      </c>
      <c r="Q54" s="42" t="s">
        <v>632</v>
      </c>
    </row>
    <row r="55">
      <c r="A55" s="49" t="s">
        <v>82</v>
      </c>
      <c r="B55" s="42" t="s">
        <v>633</v>
      </c>
      <c r="C55" s="40">
        <v>30561.0</v>
      </c>
      <c r="D55" s="42" t="s">
        <v>634</v>
      </c>
      <c r="E55" s="40">
        <v>30200.0</v>
      </c>
      <c r="F55" s="42" t="s">
        <v>635</v>
      </c>
      <c r="G55" s="40">
        <v>27501.0</v>
      </c>
      <c r="H55" s="42" t="s">
        <v>636</v>
      </c>
      <c r="I55" s="48"/>
      <c r="J55" s="49" t="s">
        <v>82</v>
      </c>
      <c r="K55" s="42" t="s">
        <v>637</v>
      </c>
      <c r="L55" s="40">
        <v>30561.0</v>
      </c>
      <c r="M55" s="42" t="s">
        <v>638</v>
      </c>
      <c r="N55" s="40">
        <v>30200.0</v>
      </c>
      <c r="O55" s="42" t="s">
        <v>639</v>
      </c>
      <c r="P55" s="40">
        <v>27501.0</v>
      </c>
      <c r="Q55" s="42" t="s">
        <v>640</v>
      </c>
    </row>
    <row r="56">
      <c r="A56" s="49" t="s">
        <v>83</v>
      </c>
      <c r="B56" s="42" t="s">
        <v>641</v>
      </c>
      <c r="C56" s="40">
        <v>1259704.0</v>
      </c>
      <c r="D56" s="42" t="s">
        <v>642</v>
      </c>
      <c r="E56" s="40">
        <v>1301537.0</v>
      </c>
      <c r="F56" s="42" t="s">
        <v>643</v>
      </c>
      <c r="G56" s="40">
        <v>1146907.0</v>
      </c>
      <c r="H56" s="42" t="s">
        <v>644</v>
      </c>
      <c r="I56" s="48"/>
      <c r="J56" s="49" t="s">
        <v>83</v>
      </c>
      <c r="K56" s="42" t="s">
        <v>645</v>
      </c>
      <c r="L56" s="40">
        <v>1259704.0</v>
      </c>
      <c r="M56" s="42" t="s">
        <v>646</v>
      </c>
      <c r="N56" s="40">
        <v>1301537.0</v>
      </c>
      <c r="O56" s="42" t="s">
        <v>647</v>
      </c>
      <c r="P56" s="40">
        <v>1146907.0</v>
      </c>
      <c r="Q56" s="42" t="s">
        <v>648</v>
      </c>
    </row>
    <row r="57">
      <c r="A57" s="49" t="s">
        <v>84</v>
      </c>
      <c r="B57" s="42" t="s">
        <v>649</v>
      </c>
      <c r="C57" s="40">
        <v>1505630.0</v>
      </c>
      <c r="D57" s="42" t="s">
        <v>650</v>
      </c>
      <c r="E57" s="40">
        <v>1753316.0</v>
      </c>
      <c r="F57" s="42" t="s">
        <v>651</v>
      </c>
      <c r="G57" s="40">
        <v>1948560.0</v>
      </c>
      <c r="H57" s="42" t="s">
        <v>652</v>
      </c>
      <c r="I57" s="48"/>
      <c r="J57" s="49" t="s">
        <v>84</v>
      </c>
      <c r="K57" s="42" t="s">
        <v>653</v>
      </c>
      <c r="L57" s="40">
        <v>1505630.0</v>
      </c>
      <c r="M57" s="42" t="s">
        <v>654</v>
      </c>
      <c r="N57" s="40">
        <v>1753316.0</v>
      </c>
      <c r="O57" s="42" t="s">
        <v>655</v>
      </c>
      <c r="P57" s="40">
        <v>1948560.0</v>
      </c>
      <c r="Q57" s="42" t="s">
        <v>656</v>
      </c>
    </row>
    <row r="58">
      <c r="A58" s="49" t="s">
        <v>85</v>
      </c>
      <c r="B58" s="42" t="s">
        <v>657</v>
      </c>
      <c r="C58" s="40">
        <v>258898.0</v>
      </c>
      <c r="D58" s="42" t="s">
        <v>658</v>
      </c>
      <c r="E58" s="40">
        <v>273591.0</v>
      </c>
      <c r="F58" s="42" t="s">
        <v>659</v>
      </c>
      <c r="G58" s="40">
        <v>292176.0</v>
      </c>
      <c r="H58" s="42" t="s">
        <v>660</v>
      </c>
      <c r="I58" s="48"/>
      <c r="J58" s="49" t="s">
        <v>85</v>
      </c>
      <c r="K58" s="42" t="s">
        <v>661</v>
      </c>
      <c r="L58" s="40">
        <v>258898.0</v>
      </c>
      <c r="M58" s="42" t="s">
        <v>662</v>
      </c>
      <c r="N58" s="40">
        <v>273591.0</v>
      </c>
      <c r="O58" s="42" t="s">
        <v>663</v>
      </c>
      <c r="P58" s="40">
        <v>292176.0</v>
      </c>
      <c r="Q58" s="42" t="s">
        <v>664</v>
      </c>
    </row>
    <row r="59">
      <c r="A59" s="49" t="s">
        <v>86</v>
      </c>
      <c r="B59" s="42" t="s">
        <v>665</v>
      </c>
      <c r="C59" s="40">
        <v>207354.0</v>
      </c>
      <c r="D59" s="42" t="s">
        <v>666</v>
      </c>
      <c r="E59" s="40">
        <v>239693.0</v>
      </c>
      <c r="F59" s="42" t="s">
        <v>667</v>
      </c>
      <c r="G59" s="40">
        <v>258067.0</v>
      </c>
      <c r="H59" s="42" t="s">
        <v>668</v>
      </c>
      <c r="I59" s="48"/>
      <c r="J59" s="49" t="s">
        <v>86</v>
      </c>
      <c r="K59" s="42" t="s">
        <v>669</v>
      </c>
      <c r="L59" s="40">
        <v>207354.0</v>
      </c>
      <c r="M59" s="42" t="s">
        <v>670</v>
      </c>
      <c r="N59" s="40">
        <v>239693.0</v>
      </c>
      <c r="O59" s="42" t="s">
        <v>671</v>
      </c>
      <c r="P59" s="40">
        <v>258067.0</v>
      </c>
      <c r="Q59" s="42" t="s">
        <v>672</v>
      </c>
    </row>
    <row r="60">
      <c r="A60" s="49" t="s">
        <v>87</v>
      </c>
      <c r="B60" s="42" t="s">
        <v>673</v>
      </c>
      <c r="C60" s="40">
        <v>4731813.0</v>
      </c>
      <c r="D60" s="42" t="s">
        <v>674</v>
      </c>
      <c r="E60" s="40">
        <v>5369554.0</v>
      </c>
      <c r="F60" s="42" t="s">
        <v>675</v>
      </c>
      <c r="G60" s="40">
        <v>6063586.0</v>
      </c>
      <c r="H60" s="42" t="s">
        <v>676</v>
      </c>
      <c r="I60" s="48"/>
      <c r="J60" s="49" t="s">
        <v>87</v>
      </c>
      <c r="K60" s="42" t="s">
        <v>677</v>
      </c>
      <c r="L60" s="40">
        <v>4731813.0</v>
      </c>
      <c r="M60" s="42" t="s">
        <v>678</v>
      </c>
      <c r="N60" s="40">
        <v>5369554.0</v>
      </c>
      <c r="O60" s="42" t="s">
        <v>679</v>
      </c>
      <c r="P60" s="40">
        <v>6063586.0</v>
      </c>
      <c r="Q60" s="42" t="s">
        <v>680</v>
      </c>
    </row>
    <row r="61">
      <c r="A61" s="49" t="s">
        <v>88</v>
      </c>
      <c r="B61" s="42" t="s">
        <v>681</v>
      </c>
      <c r="C61" s="40">
        <v>57902.0</v>
      </c>
      <c r="D61" s="42" t="s">
        <v>682</v>
      </c>
      <c r="E61" s="40">
        <v>64518.0</v>
      </c>
      <c r="F61" s="42" t="s">
        <v>683</v>
      </c>
      <c r="G61" s="40">
        <v>67788.0</v>
      </c>
      <c r="H61" s="42" t="s">
        <v>684</v>
      </c>
      <c r="I61" s="48"/>
      <c r="J61" s="49" t="s">
        <v>88</v>
      </c>
      <c r="K61" s="42" t="s">
        <v>685</v>
      </c>
      <c r="L61" s="40">
        <v>57902.0</v>
      </c>
      <c r="M61" s="42" t="s">
        <v>686</v>
      </c>
      <c r="N61" s="40">
        <v>64518.0</v>
      </c>
      <c r="O61" s="42" t="s">
        <v>687</v>
      </c>
      <c r="P61" s="40">
        <v>67788.0</v>
      </c>
      <c r="Q61" s="42" t="s">
        <v>688</v>
      </c>
    </row>
    <row r="62">
      <c r="A62" s="49" t="s">
        <v>89</v>
      </c>
      <c r="B62" s="42" t="s">
        <v>689</v>
      </c>
      <c r="C62" s="40">
        <v>69785.0</v>
      </c>
      <c r="D62" s="42" t="s">
        <v>690</v>
      </c>
      <c r="E62" s="40">
        <v>79164.0</v>
      </c>
      <c r="F62" s="42" t="s">
        <v>691</v>
      </c>
      <c r="G62" s="40">
        <v>85212.0</v>
      </c>
      <c r="H62" s="42" t="s">
        <v>692</v>
      </c>
      <c r="I62" s="48"/>
      <c r="J62" s="49" t="s">
        <v>89</v>
      </c>
      <c r="K62" s="42" t="s">
        <v>693</v>
      </c>
      <c r="L62" s="40">
        <v>69785.0</v>
      </c>
      <c r="M62" s="42" t="s">
        <v>694</v>
      </c>
      <c r="N62" s="40">
        <v>79164.0</v>
      </c>
      <c r="O62" s="42" t="s">
        <v>695</v>
      </c>
      <c r="P62" s="40">
        <v>85212.0</v>
      </c>
      <c r="Q62" s="42" t="s">
        <v>696</v>
      </c>
    </row>
    <row r="63">
      <c r="A63" s="49" t="s">
        <v>90</v>
      </c>
      <c r="B63" s="42" t="s">
        <v>697</v>
      </c>
      <c r="C63" s="40">
        <v>481559.0</v>
      </c>
      <c r="D63" s="42" t="s">
        <v>698</v>
      </c>
      <c r="E63" s="40">
        <v>552536.0</v>
      </c>
      <c r="F63" s="42" t="s">
        <v>699</v>
      </c>
      <c r="G63" s="40">
        <v>564381.0</v>
      </c>
      <c r="H63" s="42" t="s">
        <v>700</v>
      </c>
      <c r="I63" s="48"/>
      <c r="J63" s="49" t="s">
        <v>90</v>
      </c>
      <c r="K63" s="42" t="s">
        <v>701</v>
      </c>
      <c r="L63" s="40">
        <v>481559.0</v>
      </c>
      <c r="M63" s="42" t="s">
        <v>702</v>
      </c>
      <c r="N63" s="40">
        <v>552536.0</v>
      </c>
      <c r="O63" s="42" t="s">
        <v>703</v>
      </c>
      <c r="P63" s="40">
        <v>564381.0</v>
      </c>
      <c r="Q63" s="42" t="s">
        <v>704</v>
      </c>
    </row>
    <row r="64">
      <c r="A64" s="49" t="s">
        <v>91</v>
      </c>
      <c r="B64" s="42" t="s">
        <v>705</v>
      </c>
      <c r="C64" s="40">
        <v>24317.0</v>
      </c>
      <c r="D64" s="42" t="s">
        <v>706</v>
      </c>
      <c r="E64" s="40">
        <v>26108.0</v>
      </c>
      <c r="F64" s="42" t="s">
        <v>707</v>
      </c>
      <c r="G64" s="40">
        <v>27294.0</v>
      </c>
      <c r="H64" s="42" t="s">
        <v>708</v>
      </c>
      <c r="I64" s="48"/>
      <c r="J64" s="49" t="s">
        <v>91</v>
      </c>
      <c r="K64" s="42" t="s">
        <v>709</v>
      </c>
      <c r="L64" s="40">
        <v>24317.0</v>
      </c>
      <c r="M64" s="42" t="s">
        <v>710</v>
      </c>
      <c r="N64" s="40">
        <v>26108.0</v>
      </c>
      <c r="O64" s="42" t="s">
        <v>711</v>
      </c>
      <c r="P64" s="40">
        <v>27294.0</v>
      </c>
      <c r="Q64" s="42" t="s">
        <v>712</v>
      </c>
    </row>
    <row r="65">
      <c r="A65" s="49" t="s">
        <v>92</v>
      </c>
      <c r="B65" s="42" t="s">
        <v>713</v>
      </c>
      <c r="C65" s="40">
        <v>24106.0</v>
      </c>
      <c r="D65" s="42" t="s">
        <v>714</v>
      </c>
      <c r="E65" s="40">
        <v>24195.0</v>
      </c>
      <c r="F65" s="42" t="s">
        <v>714</v>
      </c>
      <c r="G65" s="40">
        <v>23272.0</v>
      </c>
      <c r="H65" s="42" t="s">
        <v>715</v>
      </c>
      <c r="I65" s="48"/>
      <c r="J65" s="49" t="s">
        <v>92</v>
      </c>
      <c r="K65" s="42" t="s">
        <v>716</v>
      </c>
      <c r="L65" s="40">
        <v>24106.0</v>
      </c>
      <c r="M65" s="42" t="s">
        <v>717</v>
      </c>
      <c r="N65" s="40">
        <v>24195.0</v>
      </c>
      <c r="O65" s="42" t="s">
        <v>718</v>
      </c>
      <c r="P65" s="40">
        <v>23272.0</v>
      </c>
      <c r="Q65" s="42" t="s">
        <v>719</v>
      </c>
    </row>
    <row r="66">
      <c r="A66" s="49" t="s">
        <v>93</v>
      </c>
      <c r="B66" s="42" t="s">
        <v>720</v>
      </c>
      <c r="C66" s="40">
        <v>109039.0</v>
      </c>
      <c r="D66" s="42" t="s">
        <v>721</v>
      </c>
      <c r="E66" s="40">
        <v>115294.0</v>
      </c>
      <c r="F66" s="42" t="s">
        <v>722</v>
      </c>
      <c r="G66" s="40">
        <v>115459.0</v>
      </c>
      <c r="H66" s="42" t="s">
        <v>722</v>
      </c>
      <c r="I66" s="48"/>
      <c r="J66" s="49" t="s">
        <v>93</v>
      </c>
      <c r="K66" s="42" t="s">
        <v>723</v>
      </c>
      <c r="L66" s="40">
        <v>109039.0</v>
      </c>
      <c r="M66" s="42" t="s">
        <v>724</v>
      </c>
      <c r="N66" s="40">
        <v>115294.0</v>
      </c>
      <c r="O66" s="42" t="s">
        <v>725</v>
      </c>
      <c r="P66" s="40">
        <v>115459.0</v>
      </c>
      <c r="Q66" s="42" t="s">
        <v>725</v>
      </c>
    </row>
    <row r="67">
      <c r="A67" s="49" t="s">
        <v>94</v>
      </c>
      <c r="B67" s="42" t="s">
        <v>726</v>
      </c>
      <c r="C67" s="40">
        <v>4215862.0</v>
      </c>
      <c r="D67" s="42" t="s">
        <v>727</v>
      </c>
      <c r="E67" s="40">
        <v>4446512.0</v>
      </c>
      <c r="F67" s="42" t="s">
        <v>728</v>
      </c>
      <c r="G67" s="40">
        <v>4730344.0</v>
      </c>
      <c r="H67" s="42" t="s">
        <v>729</v>
      </c>
      <c r="I67" s="48"/>
      <c r="J67" s="49" t="s">
        <v>94</v>
      </c>
      <c r="K67" s="42" t="s">
        <v>730</v>
      </c>
      <c r="L67" s="40">
        <v>4215862.0</v>
      </c>
      <c r="M67" s="42" t="s">
        <v>731</v>
      </c>
      <c r="N67" s="40">
        <v>4446512.0</v>
      </c>
      <c r="O67" s="42" t="s">
        <v>732</v>
      </c>
      <c r="P67" s="40">
        <v>4730344.0</v>
      </c>
      <c r="Q67" s="42" t="s">
        <v>733</v>
      </c>
    </row>
    <row r="68">
      <c r="A68" s="49" t="s">
        <v>95</v>
      </c>
      <c r="B68" s="42" t="s">
        <v>734</v>
      </c>
      <c r="C68" s="40">
        <v>1578878.0</v>
      </c>
      <c r="D68" s="42" t="s">
        <v>735</v>
      </c>
      <c r="E68" s="40">
        <v>1617419.0</v>
      </c>
      <c r="F68" s="42" t="s">
        <v>736</v>
      </c>
      <c r="G68" s="40">
        <v>1567185.0</v>
      </c>
      <c r="H68" s="42" t="s">
        <v>737</v>
      </c>
      <c r="I68" s="48"/>
      <c r="J68" s="49" t="s">
        <v>95</v>
      </c>
      <c r="K68" s="42" t="s">
        <v>738</v>
      </c>
      <c r="L68" s="40">
        <v>1578878.0</v>
      </c>
      <c r="M68" s="42" t="s">
        <v>739</v>
      </c>
      <c r="N68" s="40">
        <v>1617419.0</v>
      </c>
      <c r="O68" s="42" t="s">
        <v>740</v>
      </c>
      <c r="P68" s="40">
        <v>1567185.0</v>
      </c>
      <c r="Q68" s="42" t="s">
        <v>741</v>
      </c>
    </row>
    <row r="69">
      <c r="A69" s="49" t="s">
        <v>96</v>
      </c>
      <c r="B69" s="42" t="s">
        <v>742</v>
      </c>
      <c r="C69" s="40">
        <v>1028141.0</v>
      </c>
      <c r="D69" s="42" t="s">
        <v>743</v>
      </c>
      <c r="E69" s="40">
        <v>1111709.0</v>
      </c>
      <c r="F69" s="42" t="s">
        <v>744</v>
      </c>
      <c r="G69" s="40">
        <v>1183879.0</v>
      </c>
      <c r="H69" s="42" t="s">
        <v>745</v>
      </c>
      <c r="I69" s="48"/>
      <c r="J69" s="49" t="s">
        <v>96</v>
      </c>
      <c r="K69" s="42" t="s">
        <v>746</v>
      </c>
      <c r="L69" s="40">
        <v>1028141.0</v>
      </c>
      <c r="M69" s="42" t="s">
        <v>747</v>
      </c>
      <c r="N69" s="40">
        <v>1111709.0</v>
      </c>
      <c r="O69" s="42" t="s">
        <v>748</v>
      </c>
      <c r="P69" s="40">
        <v>1183879.0</v>
      </c>
      <c r="Q69" s="42" t="s">
        <v>749</v>
      </c>
    </row>
    <row r="70">
      <c r="A70" s="49" t="s">
        <v>97</v>
      </c>
      <c r="B70" s="42" t="s">
        <v>750</v>
      </c>
      <c r="C70" s="40">
        <v>708768.0</v>
      </c>
      <c r="D70" s="42" t="s">
        <v>751</v>
      </c>
      <c r="E70" s="40">
        <v>756620.0</v>
      </c>
      <c r="F70" s="42" t="s">
        <v>752</v>
      </c>
      <c r="G70" s="40">
        <v>788557.0</v>
      </c>
      <c r="H70" s="42" t="s">
        <v>753</v>
      </c>
      <c r="I70" s="48"/>
      <c r="J70" s="49" t="s">
        <v>97</v>
      </c>
      <c r="K70" s="42" t="s">
        <v>754</v>
      </c>
      <c r="L70" s="40">
        <v>708768.0</v>
      </c>
      <c r="M70" s="42" t="s">
        <v>755</v>
      </c>
      <c r="N70" s="40">
        <v>756620.0</v>
      </c>
      <c r="O70" s="42" t="s">
        <v>756</v>
      </c>
      <c r="P70" s="40">
        <v>788557.0</v>
      </c>
      <c r="Q70" s="42" t="s">
        <v>757</v>
      </c>
    </row>
    <row r="71">
      <c r="A71" s="49" t="s">
        <v>98</v>
      </c>
      <c r="B71" s="42" t="s">
        <v>758</v>
      </c>
      <c r="C71" s="40">
        <v>1338823.0</v>
      </c>
      <c r="D71" s="42" t="s">
        <v>759</v>
      </c>
      <c r="E71" s="40">
        <v>1466322.0</v>
      </c>
      <c r="F71" s="42" t="s">
        <v>760</v>
      </c>
      <c r="G71" s="40">
        <v>1544129.0</v>
      </c>
      <c r="H71" s="42" t="s">
        <v>761</v>
      </c>
      <c r="I71" s="48"/>
      <c r="J71" s="49" t="s">
        <v>98</v>
      </c>
      <c r="K71" s="42" t="s">
        <v>762</v>
      </c>
      <c r="L71" s="40">
        <v>1338823.0</v>
      </c>
      <c r="M71" s="42" t="s">
        <v>763</v>
      </c>
      <c r="N71" s="40">
        <v>1466322.0</v>
      </c>
      <c r="O71" s="42" t="s">
        <v>764</v>
      </c>
      <c r="P71" s="40">
        <v>1544129.0</v>
      </c>
      <c r="Q71" s="42" t="s">
        <v>765</v>
      </c>
    </row>
    <row r="72">
      <c r="A72" s="49" t="s">
        <v>99</v>
      </c>
      <c r="B72" s="42" t="s">
        <v>766</v>
      </c>
      <c r="C72" s="40">
        <v>413428.0</v>
      </c>
      <c r="D72" s="42" t="s">
        <v>767</v>
      </c>
      <c r="E72" s="40">
        <v>445590.0</v>
      </c>
      <c r="F72" s="42" t="s">
        <v>768</v>
      </c>
      <c r="G72" s="40">
        <v>454664.0</v>
      </c>
      <c r="H72" s="42" t="s">
        <v>769</v>
      </c>
      <c r="I72" s="48"/>
      <c r="J72" s="49" t="s">
        <v>99</v>
      </c>
      <c r="K72" s="42" t="s">
        <v>770</v>
      </c>
      <c r="L72" s="40">
        <v>413428.0</v>
      </c>
      <c r="M72" s="42" t="s">
        <v>771</v>
      </c>
      <c r="N72" s="40">
        <v>445590.0</v>
      </c>
      <c r="O72" s="42" t="s">
        <v>772</v>
      </c>
      <c r="P72" s="40">
        <v>454664.0</v>
      </c>
      <c r="Q72" s="42" t="s">
        <v>773</v>
      </c>
    </row>
    <row r="73">
      <c r="A73" s="49" t="s">
        <v>100</v>
      </c>
      <c r="B73" s="42" t="s">
        <v>774</v>
      </c>
      <c r="C73" s="40">
        <v>832141.0</v>
      </c>
      <c r="D73" s="42" t="s">
        <v>775</v>
      </c>
      <c r="E73" s="40">
        <v>937928.0</v>
      </c>
      <c r="F73" s="42" t="s">
        <v>776</v>
      </c>
      <c r="G73" s="40">
        <v>1021640.0</v>
      </c>
      <c r="H73" s="42" t="s">
        <v>777</v>
      </c>
      <c r="I73" s="48"/>
      <c r="J73" s="49" t="s">
        <v>100</v>
      </c>
      <c r="K73" s="42" t="s">
        <v>778</v>
      </c>
      <c r="L73" s="40">
        <v>832141.0</v>
      </c>
      <c r="M73" s="42" t="s">
        <v>779</v>
      </c>
      <c r="N73" s="40">
        <v>937928.0</v>
      </c>
      <c r="O73" s="42" t="s">
        <v>780</v>
      </c>
      <c r="P73" s="40">
        <v>1021640.0</v>
      </c>
      <c r="Q73" s="42" t="s">
        <v>781</v>
      </c>
    </row>
    <row r="74">
      <c r="A74" s="49" t="s">
        <v>101</v>
      </c>
      <c r="B74" s="42" t="s">
        <v>782</v>
      </c>
      <c r="C74" s="40">
        <v>373777.0</v>
      </c>
      <c r="D74" s="42" t="s">
        <v>783</v>
      </c>
      <c r="E74" s="40">
        <v>384493.0</v>
      </c>
      <c r="F74" s="42" t="s">
        <v>784</v>
      </c>
      <c r="G74" s="40">
        <v>375163.0</v>
      </c>
      <c r="H74" s="42" t="s">
        <v>785</v>
      </c>
      <c r="I74" s="48"/>
      <c r="J74" s="49" t="s">
        <v>101</v>
      </c>
      <c r="K74" s="42" t="s">
        <v>786</v>
      </c>
      <c r="L74" s="40">
        <v>373777.0</v>
      </c>
      <c r="M74" s="42" t="s">
        <v>787</v>
      </c>
      <c r="N74" s="40">
        <v>384493.0</v>
      </c>
      <c r="O74" s="42" t="s">
        <v>788</v>
      </c>
      <c r="P74" s="40">
        <v>375163.0</v>
      </c>
      <c r="Q74" s="42" t="s">
        <v>789</v>
      </c>
    </row>
    <row r="75">
      <c r="A75" s="49" t="s">
        <v>102</v>
      </c>
      <c r="B75" s="42" t="s">
        <v>790</v>
      </c>
      <c r="C75" s="40">
        <v>1732076.0</v>
      </c>
      <c r="D75" s="42" t="s">
        <v>791</v>
      </c>
      <c r="E75" s="40">
        <v>1782395.0</v>
      </c>
      <c r="F75" s="42" t="s">
        <v>792</v>
      </c>
      <c r="G75" s="40">
        <v>1827428.0</v>
      </c>
      <c r="H75" s="42" t="s">
        <v>793</v>
      </c>
      <c r="I75" s="48"/>
      <c r="J75" s="49" t="s">
        <v>102</v>
      </c>
      <c r="K75" s="42" t="s">
        <v>794</v>
      </c>
      <c r="L75" s="40">
        <v>1732076.0</v>
      </c>
      <c r="M75" s="42" t="s">
        <v>795</v>
      </c>
      <c r="N75" s="40">
        <v>1782395.0</v>
      </c>
      <c r="O75" s="42" t="s">
        <v>796</v>
      </c>
      <c r="P75" s="40">
        <v>1827428.0</v>
      </c>
      <c r="Q75" s="42" t="s">
        <v>797</v>
      </c>
    </row>
    <row r="76">
      <c r="A76" s="49" t="s">
        <v>103</v>
      </c>
      <c r="B76" s="42" t="s">
        <v>798</v>
      </c>
      <c r="C76" s="40">
        <v>2530333.0</v>
      </c>
      <c r="D76" s="42" t="s">
        <v>799</v>
      </c>
      <c r="E76" s="40">
        <v>2924221.0</v>
      </c>
      <c r="F76" s="42" t="s">
        <v>800</v>
      </c>
      <c r="G76" s="40">
        <v>3275258.0</v>
      </c>
      <c r="H76" s="42" t="s">
        <v>801</v>
      </c>
      <c r="I76" s="48"/>
      <c r="J76" s="49" t="s">
        <v>103</v>
      </c>
      <c r="K76" s="42" t="s">
        <v>802</v>
      </c>
      <c r="L76" s="40">
        <v>2530333.0</v>
      </c>
      <c r="M76" s="42" t="s">
        <v>803</v>
      </c>
      <c r="N76" s="40">
        <v>2924221.0</v>
      </c>
      <c r="O76" s="42" t="s">
        <v>804</v>
      </c>
      <c r="P76" s="40">
        <v>3275258.0</v>
      </c>
      <c r="Q76" s="42" t="s">
        <v>805</v>
      </c>
    </row>
    <row r="77">
      <c r="A77" s="49" t="s">
        <v>104</v>
      </c>
      <c r="B77" s="42" t="s">
        <v>806</v>
      </c>
      <c r="C77" s="40">
        <v>735905.0</v>
      </c>
      <c r="D77" s="42" t="s">
        <v>807</v>
      </c>
      <c r="E77" s="40">
        <v>806446.0</v>
      </c>
      <c r="F77" s="42" t="s">
        <v>808</v>
      </c>
      <c r="G77" s="40">
        <v>862442.0</v>
      </c>
      <c r="H77" s="42" t="s">
        <v>809</v>
      </c>
      <c r="I77" s="48"/>
      <c r="J77" s="49" t="s">
        <v>104</v>
      </c>
      <c r="K77" s="42" t="s">
        <v>810</v>
      </c>
      <c r="L77" s="40">
        <v>735905.0</v>
      </c>
      <c r="M77" s="42" t="s">
        <v>811</v>
      </c>
      <c r="N77" s="40">
        <v>806446.0</v>
      </c>
      <c r="O77" s="42" t="s">
        <v>812</v>
      </c>
      <c r="P77" s="40">
        <v>862442.0</v>
      </c>
      <c r="Q77" s="42" t="s">
        <v>813</v>
      </c>
    </row>
    <row r="78">
      <c r="A78" s="49" t="s">
        <v>105</v>
      </c>
      <c r="B78" s="42" t="s">
        <v>814</v>
      </c>
      <c r="C78" s="40">
        <v>57938.0</v>
      </c>
      <c r="D78" s="42" t="s">
        <v>815</v>
      </c>
      <c r="E78" s="40">
        <v>54339.0</v>
      </c>
      <c r="F78" s="42" t="s">
        <v>816</v>
      </c>
      <c r="G78" s="40">
        <v>54599.0</v>
      </c>
      <c r="H78" s="42" t="s">
        <v>817</v>
      </c>
      <c r="I78" s="48"/>
      <c r="J78" s="49" t="s">
        <v>105</v>
      </c>
      <c r="K78" s="42" t="s">
        <v>818</v>
      </c>
      <c r="L78" s="40">
        <v>57938.0</v>
      </c>
      <c r="M78" s="42" t="s">
        <v>819</v>
      </c>
      <c r="N78" s="40">
        <v>54339.0</v>
      </c>
      <c r="O78" s="42" t="s">
        <v>820</v>
      </c>
      <c r="P78" s="40">
        <v>54599.0</v>
      </c>
      <c r="Q78" s="42" t="s">
        <v>821</v>
      </c>
    </row>
    <row r="79">
      <c r="A79" s="49" t="s">
        <v>106</v>
      </c>
      <c r="B79" s="42" t="s">
        <v>822</v>
      </c>
      <c r="C79" s="40">
        <v>27593.0</v>
      </c>
      <c r="D79" s="42" t="s">
        <v>823</v>
      </c>
      <c r="E79" s="40">
        <v>26288.0</v>
      </c>
      <c r="F79" s="42" t="s">
        <v>824</v>
      </c>
      <c r="G79" s="40">
        <v>24249.0</v>
      </c>
      <c r="H79" s="42" t="s">
        <v>825</v>
      </c>
      <c r="I79" s="48"/>
      <c r="J79" s="49" t="s">
        <v>106</v>
      </c>
      <c r="K79" s="42" t="s">
        <v>826</v>
      </c>
      <c r="L79" s="40">
        <v>27593.0</v>
      </c>
      <c r="M79" s="42" t="s">
        <v>827</v>
      </c>
      <c r="N79" s="40">
        <v>26288.0</v>
      </c>
      <c r="O79" s="42" t="s">
        <v>828</v>
      </c>
      <c r="P79" s="40">
        <v>24249.0</v>
      </c>
      <c r="Q79" s="42" t="s">
        <v>829</v>
      </c>
    </row>
    <row r="80">
      <c r="A80" s="49" t="s">
        <v>107</v>
      </c>
      <c r="B80" s="42" t="s">
        <v>830</v>
      </c>
      <c r="C80" s="40">
        <v>52951.0</v>
      </c>
      <c r="D80" s="42" t="s">
        <v>831</v>
      </c>
      <c r="E80" s="40">
        <v>53179.0</v>
      </c>
      <c r="F80" s="42" t="s">
        <v>832</v>
      </c>
      <c r="G80" s="40">
        <v>50627.0</v>
      </c>
      <c r="H80" s="42" t="s">
        <v>833</v>
      </c>
      <c r="I80" s="48"/>
      <c r="J80" s="49" t="s">
        <v>107</v>
      </c>
      <c r="K80" s="42" t="s">
        <v>834</v>
      </c>
      <c r="L80" s="40">
        <v>52951.0</v>
      </c>
      <c r="M80" s="42" t="s">
        <v>835</v>
      </c>
      <c r="N80" s="40">
        <v>53179.0</v>
      </c>
      <c r="O80" s="42" t="s">
        <v>836</v>
      </c>
      <c r="P80" s="40">
        <v>50627.0</v>
      </c>
      <c r="Q80" s="42" t="s">
        <v>837</v>
      </c>
    </row>
    <row r="81">
      <c r="A81" s="49" t="s">
        <v>108</v>
      </c>
      <c r="B81" s="42" t="s">
        <v>838</v>
      </c>
      <c r="C81" s="40">
        <v>77959.0</v>
      </c>
      <c r="D81" s="42" t="s">
        <v>839</v>
      </c>
      <c r="E81" s="40">
        <v>82928.0</v>
      </c>
      <c r="F81" s="42" t="s">
        <v>840</v>
      </c>
      <c r="G81" s="40">
        <v>85027.0</v>
      </c>
      <c r="H81" s="42" t="s">
        <v>841</v>
      </c>
      <c r="I81" s="48"/>
      <c r="J81" s="49" t="s">
        <v>108</v>
      </c>
      <c r="K81" s="42" t="s">
        <v>842</v>
      </c>
      <c r="L81" s="40">
        <v>77959.0</v>
      </c>
      <c r="M81" s="42" t="s">
        <v>843</v>
      </c>
      <c r="N81" s="40">
        <v>82928.0</v>
      </c>
      <c r="O81" s="42" t="s">
        <v>844</v>
      </c>
      <c r="P81" s="40">
        <v>85027.0</v>
      </c>
      <c r="Q81" s="42" t="s">
        <v>845</v>
      </c>
    </row>
    <row r="82">
      <c r="A82" s="49" t="s">
        <v>109</v>
      </c>
      <c r="B82" s="42" t="s">
        <v>846</v>
      </c>
      <c r="C82" s="40">
        <v>1132047.0</v>
      </c>
      <c r="D82" s="42" t="s">
        <v>847</v>
      </c>
      <c r="E82" s="40">
        <v>1114328.0</v>
      </c>
      <c r="F82" s="42" t="s">
        <v>848</v>
      </c>
      <c r="G82" s="40">
        <v>1135628.0</v>
      </c>
      <c r="H82" s="42" t="s">
        <v>849</v>
      </c>
      <c r="I82" s="48"/>
      <c r="J82" s="49" t="s">
        <v>109</v>
      </c>
      <c r="K82" s="42" t="s">
        <v>850</v>
      </c>
      <c r="L82" s="40">
        <v>1132047.0</v>
      </c>
      <c r="M82" s="42" t="s">
        <v>851</v>
      </c>
      <c r="N82" s="40">
        <v>1114328.0</v>
      </c>
      <c r="O82" s="42" t="s">
        <v>852</v>
      </c>
      <c r="P82" s="40">
        <v>1135628.0</v>
      </c>
      <c r="Q82" s="42" t="s">
        <v>853</v>
      </c>
    </row>
    <row r="83">
      <c r="A83" s="49" t="s">
        <v>110</v>
      </c>
      <c r="B83" s="42" t="s">
        <v>854</v>
      </c>
      <c r="C83" s="40">
        <v>515191.0</v>
      </c>
      <c r="D83" s="42" t="s">
        <v>855</v>
      </c>
      <c r="E83" s="40">
        <v>561147.0</v>
      </c>
      <c r="F83" s="42" t="s">
        <v>856</v>
      </c>
      <c r="G83" s="40">
        <v>566257.0</v>
      </c>
      <c r="H83" s="42" t="s">
        <v>857</v>
      </c>
      <c r="I83" s="48"/>
      <c r="J83" s="49" t="s">
        <v>110</v>
      </c>
      <c r="K83" s="42" t="s">
        <v>858</v>
      </c>
      <c r="L83" s="40">
        <v>515191.0</v>
      </c>
      <c r="M83" s="42" t="s">
        <v>859</v>
      </c>
      <c r="N83" s="40">
        <v>561147.0</v>
      </c>
      <c r="O83" s="42" t="s">
        <v>860</v>
      </c>
      <c r="P83" s="40">
        <v>566257.0</v>
      </c>
      <c r="Q83" s="42" t="s">
        <v>861</v>
      </c>
    </row>
    <row r="84">
      <c r="A84" s="49" t="s">
        <v>111</v>
      </c>
      <c r="B84" s="42" t="s">
        <v>862</v>
      </c>
      <c r="C84" s="40">
        <v>491718.0</v>
      </c>
      <c r="D84" s="42" t="s">
        <v>863</v>
      </c>
      <c r="E84" s="40">
        <v>547397.0</v>
      </c>
      <c r="F84" s="42" t="s">
        <v>864</v>
      </c>
      <c r="G84" s="40">
        <v>579755.0</v>
      </c>
      <c r="H84" s="42" t="s">
        <v>865</v>
      </c>
      <c r="I84" s="48"/>
      <c r="J84" s="49" t="s">
        <v>111</v>
      </c>
      <c r="K84" s="42" t="s">
        <v>866</v>
      </c>
      <c r="L84" s="40">
        <v>491718.0</v>
      </c>
      <c r="M84" s="42" t="s">
        <v>867</v>
      </c>
      <c r="N84" s="40">
        <v>547397.0</v>
      </c>
      <c r="O84" s="42" t="s">
        <v>868</v>
      </c>
      <c r="P84" s="40">
        <v>579755.0</v>
      </c>
      <c r="Q84" s="42" t="s">
        <v>869</v>
      </c>
    </row>
    <row r="85">
      <c r="A85" s="49" t="s">
        <v>112</v>
      </c>
      <c r="B85" s="42" t="s">
        <v>870</v>
      </c>
      <c r="C85" s="40">
        <v>736032.0</v>
      </c>
      <c r="D85" s="42" t="s">
        <v>871</v>
      </c>
      <c r="E85" s="40">
        <v>780926.0</v>
      </c>
      <c r="F85" s="42" t="s">
        <v>872</v>
      </c>
      <c r="G85" s="40">
        <v>776384.0</v>
      </c>
      <c r="H85" s="42" t="s">
        <v>873</v>
      </c>
      <c r="I85" s="48"/>
      <c r="J85" s="49" t="s">
        <v>112</v>
      </c>
      <c r="K85" s="42" t="s">
        <v>874</v>
      </c>
      <c r="L85" s="40">
        <v>736032.0</v>
      </c>
      <c r="M85" s="42" t="s">
        <v>875</v>
      </c>
      <c r="N85" s="40">
        <v>780926.0</v>
      </c>
      <c r="O85" s="42" t="s">
        <v>876</v>
      </c>
      <c r="P85" s="40">
        <v>776384.0</v>
      </c>
      <c r="Q85" s="42" t="s">
        <v>877</v>
      </c>
    </row>
    <row r="86">
      <c r="A86" s="49" t="s">
        <v>113</v>
      </c>
      <c r="B86" s="42" t="s">
        <v>878</v>
      </c>
      <c r="C86" s="40">
        <v>6175.0</v>
      </c>
      <c r="D86" s="42" t="s">
        <v>879</v>
      </c>
      <c r="E86" s="40">
        <v>6171.0</v>
      </c>
      <c r="F86" s="42" t="s">
        <v>879</v>
      </c>
      <c r="G86" s="40">
        <v>5572.0</v>
      </c>
      <c r="H86" s="42" t="s">
        <v>548</v>
      </c>
      <c r="I86" s="48"/>
      <c r="J86" s="49" t="s">
        <v>113</v>
      </c>
      <c r="K86" s="42" t="s">
        <v>880</v>
      </c>
      <c r="L86" s="40">
        <v>6175.0</v>
      </c>
      <c r="M86" s="42" t="s">
        <v>881</v>
      </c>
      <c r="N86" s="40">
        <v>6171.0</v>
      </c>
      <c r="O86" s="42" t="s">
        <v>882</v>
      </c>
      <c r="P86" s="40">
        <v>5572.0</v>
      </c>
      <c r="Q86" s="42" t="s">
        <v>883</v>
      </c>
    </row>
    <row r="87">
      <c r="A87" s="49" t="s">
        <v>114</v>
      </c>
      <c r="B87" s="42" t="s">
        <v>884</v>
      </c>
      <c r="C87" s="40">
        <v>998530.0</v>
      </c>
      <c r="D87" s="42" t="s">
        <v>885</v>
      </c>
      <c r="E87" s="40">
        <v>1117611.0</v>
      </c>
      <c r="F87" s="42" t="s">
        <v>886</v>
      </c>
      <c r="G87" s="40">
        <v>1200460.0</v>
      </c>
      <c r="H87" s="42" t="s">
        <v>887</v>
      </c>
      <c r="I87" s="48"/>
      <c r="J87" s="49" t="s">
        <v>114</v>
      </c>
      <c r="K87" s="42" t="s">
        <v>888</v>
      </c>
      <c r="L87" s="40">
        <v>998530.0</v>
      </c>
      <c r="M87" s="42" t="s">
        <v>889</v>
      </c>
      <c r="N87" s="40">
        <v>1117611.0</v>
      </c>
      <c r="O87" s="42" t="s">
        <v>890</v>
      </c>
      <c r="P87" s="40">
        <v>1200460.0</v>
      </c>
      <c r="Q87" s="42" t="s">
        <v>891</v>
      </c>
    </row>
    <row r="88">
      <c r="A88" s="49" t="s">
        <v>115</v>
      </c>
      <c r="B88" s="42" t="s">
        <v>892</v>
      </c>
      <c r="C88" s="40">
        <v>896536.0</v>
      </c>
      <c r="D88" s="42" t="s">
        <v>893</v>
      </c>
      <c r="E88" s="40">
        <v>994385.0</v>
      </c>
      <c r="F88" s="42" t="s">
        <v>894</v>
      </c>
      <c r="G88" s="40">
        <v>1102753.0</v>
      </c>
      <c r="H88" s="42" t="s">
        <v>895</v>
      </c>
      <c r="I88" s="48"/>
      <c r="J88" s="49" t="s">
        <v>115</v>
      </c>
      <c r="K88" s="42" t="s">
        <v>896</v>
      </c>
      <c r="L88" s="40">
        <v>896536.0</v>
      </c>
      <c r="M88" s="42" t="s">
        <v>897</v>
      </c>
      <c r="N88" s="40">
        <v>994385.0</v>
      </c>
      <c r="O88" s="42" t="s">
        <v>898</v>
      </c>
      <c r="P88" s="40">
        <v>1102753.0</v>
      </c>
      <c r="Q88" s="42" t="s">
        <v>899</v>
      </c>
    </row>
    <row r="89">
      <c r="A89" s="49" t="s">
        <v>116</v>
      </c>
      <c r="B89" s="42" t="s">
        <v>900</v>
      </c>
      <c r="C89" s="40">
        <v>1039146.0</v>
      </c>
      <c r="D89" s="42" t="s">
        <v>901</v>
      </c>
      <c r="E89" s="40">
        <v>1241030.0</v>
      </c>
      <c r="F89" s="42" t="s">
        <v>902</v>
      </c>
      <c r="G89" s="40">
        <v>1361558.0</v>
      </c>
      <c r="H89" s="42" t="s">
        <v>903</v>
      </c>
      <c r="I89" s="48"/>
      <c r="J89" s="49" t="s">
        <v>116</v>
      </c>
      <c r="K89" s="42" t="s">
        <v>904</v>
      </c>
      <c r="L89" s="40">
        <v>1039146.0</v>
      </c>
      <c r="M89" s="42" t="s">
        <v>905</v>
      </c>
      <c r="N89" s="40">
        <v>1241030.0</v>
      </c>
      <c r="O89" s="42" t="s">
        <v>906</v>
      </c>
      <c r="P89" s="40">
        <v>1361558.0</v>
      </c>
      <c r="Q89" s="42" t="s">
        <v>907</v>
      </c>
    </row>
    <row r="90">
      <c r="A90" s="49" t="s">
        <v>117</v>
      </c>
      <c r="B90" s="42" t="s">
        <v>908</v>
      </c>
      <c r="C90" s="40">
        <v>80934.0</v>
      </c>
      <c r="D90" s="42" t="s">
        <v>909</v>
      </c>
      <c r="E90" s="40">
        <v>83022.0</v>
      </c>
      <c r="F90" s="42" t="s">
        <v>910</v>
      </c>
      <c r="G90" s="40">
        <v>82763.0</v>
      </c>
      <c r="H90" s="42" t="s">
        <v>911</v>
      </c>
      <c r="I90" s="48"/>
      <c r="J90" s="49" t="s">
        <v>117</v>
      </c>
      <c r="K90" s="42" t="s">
        <v>912</v>
      </c>
      <c r="L90" s="40">
        <v>80934.0</v>
      </c>
      <c r="M90" s="42" t="s">
        <v>913</v>
      </c>
      <c r="N90" s="40">
        <v>83022.0</v>
      </c>
      <c r="O90" s="42" t="s">
        <v>914</v>
      </c>
      <c r="P90" s="40">
        <v>82763.0</v>
      </c>
      <c r="Q90" s="42" t="s">
        <v>914</v>
      </c>
    </row>
    <row r="91">
      <c r="A91" s="49" t="s">
        <v>118</v>
      </c>
      <c r="B91" s="42" t="s">
        <v>915</v>
      </c>
      <c r="C91" s="40">
        <v>903444.0</v>
      </c>
      <c r="D91" s="42" t="s">
        <v>916</v>
      </c>
      <c r="E91" s="40">
        <v>966152.0</v>
      </c>
      <c r="F91" s="42" t="s">
        <v>917</v>
      </c>
      <c r="G91" s="40">
        <v>980353.0</v>
      </c>
      <c r="H91" s="42" t="s">
        <v>918</v>
      </c>
      <c r="I91" s="48"/>
      <c r="J91" s="49" t="s">
        <v>118</v>
      </c>
      <c r="K91" s="42" t="s">
        <v>919</v>
      </c>
      <c r="L91" s="40">
        <v>903444.0</v>
      </c>
      <c r="M91" s="42" t="s">
        <v>920</v>
      </c>
      <c r="N91" s="40">
        <v>966152.0</v>
      </c>
      <c r="O91" s="42" t="s">
        <v>921</v>
      </c>
      <c r="P91" s="40">
        <v>980353.0</v>
      </c>
      <c r="Q91" s="42" t="s">
        <v>922</v>
      </c>
    </row>
    <row r="92">
      <c r="A92" s="49" t="s">
        <v>119</v>
      </c>
      <c r="B92" s="42" t="s">
        <v>923</v>
      </c>
      <c r="C92" s="40">
        <v>481371.0</v>
      </c>
      <c r="D92" s="42" t="s">
        <v>924</v>
      </c>
      <c r="E92" s="40">
        <v>499774.0</v>
      </c>
      <c r="F92" s="42" t="s">
        <v>925</v>
      </c>
      <c r="G92" s="40">
        <v>509738.0</v>
      </c>
      <c r="H92" s="42" t="s">
        <v>926</v>
      </c>
      <c r="I92" s="48"/>
      <c r="J92" s="49" t="s">
        <v>119</v>
      </c>
      <c r="K92" s="42" t="s">
        <v>927</v>
      </c>
      <c r="L92" s="40">
        <v>481371.0</v>
      </c>
      <c r="M92" s="42" t="s">
        <v>928</v>
      </c>
      <c r="N92" s="40">
        <v>499774.0</v>
      </c>
      <c r="O92" s="42" t="s">
        <v>929</v>
      </c>
      <c r="P92" s="40">
        <v>509738.0</v>
      </c>
      <c r="Q92" s="42" t="s">
        <v>930</v>
      </c>
    </row>
    <row r="93">
      <c r="A93" s="49" t="s">
        <v>120</v>
      </c>
      <c r="B93" s="42" t="s">
        <v>931</v>
      </c>
      <c r="C93" s="40">
        <v>65284.0</v>
      </c>
      <c r="D93" s="42" t="s">
        <v>932</v>
      </c>
      <c r="E93" s="40">
        <v>67933.0</v>
      </c>
      <c r="F93" s="42" t="s">
        <v>933</v>
      </c>
      <c r="G93" s="40">
        <v>69123.0</v>
      </c>
      <c r="H93" s="42" t="s">
        <v>934</v>
      </c>
      <c r="I93" s="48"/>
      <c r="J93" s="49" t="s">
        <v>120</v>
      </c>
      <c r="K93" s="42" t="s">
        <v>935</v>
      </c>
      <c r="L93" s="40">
        <v>65284.0</v>
      </c>
      <c r="M93" s="42" t="s">
        <v>936</v>
      </c>
      <c r="N93" s="40">
        <v>67933.0</v>
      </c>
      <c r="O93" s="42" t="s">
        <v>937</v>
      </c>
      <c r="P93" s="40">
        <v>69123.0</v>
      </c>
      <c r="Q93" s="42" t="s">
        <v>938</v>
      </c>
    </row>
    <row r="94">
      <c r="A94" s="49" t="s">
        <v>121</v>
      </c>
      <c r="B94" s="42" t="s">
        <v>939</v>
      </c>
      <c r="C94" s="40">
        <v>173420.0</v>
      </c>
      <c r="D94" s="42" t="s">
        <v>940</v>
      </c>
      <c r="E94" s="40">
        <v>184280.0</v>
      </c>
      <c r="F94" s="42" t="s">
        <v>941</v>
      </c>
      <c r="G94" s="40">
        <v>187079.0</v>
      </c>
      <c r="H94" s="42" t="s">
        <v>942</v>
      </c>
      <c r="I94" s="48"/>
      <c r="J94" s="49" t="s">
        <v>121</v>
      </c>
      <c r="K94" s="42" t="s">
        <v>943</v>
      </c>
      <c r="L94" s="40">
        <v>173420.0</v>
      </c>
      <c r="M94" s="42" t="s">
        <v>944</v>
      </c>
      <c r="N94" s="40">
        <v>184280.0</v>
      </c>
      <c r="O94" s="42" t="s">
        <v>945</v>
      </c>
      <c r="P94" s="40">
        <v>187079.0</v>
      </c>
      <c r="Q94" s="42" t="s">
        <v>946</v>
      </c>
    </row>
    <row r="95">
      <c r="A95" s="49" t="s">
        <v>122</v>
      </c>
      <c r="B95" s="42" t="s">
        <v>947</v>
      </c>
      <c r="C95" s="40">
        <v>1025209.0</v>
      </c>
      <c r="D95" s="42" t="s">
        <v>948</v>
      </c>
      <c r="E95" s="40">
        <v>1154089.0</v>
      </c>
      <c r="F95" s="42" t="s">
        <v>949</v>
      </c>
      <c r="G95" s="40">
        <v>1226104.0</v>
      </c>
      <c r="H95" s="42" t="s">
        <v>950</v>
      </c>
      <c r="I95" s="48"/>
      <c r="J95" s="49" t="s">
        <v>122</v>
      </c>
      <c r="K95" s="42" t="s">
        <v>951</v>
      </c>
      <c r="L95" s="40">
        <v>1025209.0</v>
      </c>
      <c r="M95" s="42" t="s">
        <v>952</v>
      </c>
      <c r="N95" s="40">
        <v>1154089.0</v>
      </c>
      <c r="O95" s="42" t="s">
        <v>953</v>
      </c>
      <c r="P95" s="40">
        <v>1226104.0</v>
      </c>
      <c r="Q95" s="42" t="s">
        <v>954</v>
      </c>
    </row>
    <row r="96">
      <c r="A96" s="49" t="s">
        <v>123</v>
      </c>
      <c r="B96" s="42" t="s">
        <v>955</v>
      </c>
      <c r="C96" s="40">
        <v>186710.0</v>
      </c>
      <c r="D96" s="42" t="s">
        <v>956</v>
      </c>
      <c r="E96" s="40">
        <v>208959.0</v>
      </c>
      <c r="F96" s="42" t="s">
        <v>957</v>
      </c>
      <c r="G96" s="40">
        <v>227006.0</v>
      </c>
      <c r="H96" s="42" t="s">
        <v>958</v>
      </c>
      <c r="I96" s="48"/>
      <c r="J96" s="49" t="s">
        <v>123</v>
      </c>
      <c r="K96" s="42" t="s">
        <v>959</v>
      </c>
      <c r="L96" s="40">
        <v>186710.0</v>
      </c>
      <c r="M96" s="42" t="s">
        <v>960</v>
      </c>
      <c r="N96" s="40">
        <v>208959.0</v>
      </c>
      <c r="O96" s="42" t="s">
        <v>961</v>
      </c>
      <c r="P96" s="40">
        <v>227006.0</v>
      </c>
      <c r="Q96" s="42" t="s">
        <v>962</v>
      </c>
    </row>
    <row r="97">
      <c r="A97" s="49" t="s">
        <v>124</v>
      </c>
      <c r="B97" s="42" t="s">
        <v>963</v>
      </c>
      <c r="C97" s="40">
        <v>1158489.0</v>
      </c>
      <c r="D97" s="42" t="s">
        <v>964</v>
      </c>
      <c r="E97" s="40">
        <v>1255271.0</v>
      </c>
      <c r="F97" s="42" t="s">
        <v>965</v>
      </c>
      <c r="G97" s="40">
        <v>1337541.0</v>
      </c>
      <c r="H97" s="42" t="s">
        <v>966</v>
      </c>
      <c r="I97" s="48"/>
      <c r="J97" s="49" t="s">
        <v>124</v>
      </c>
      <c r="K97" s="42" t="s">
        <v>967</v>
      </c>
      <c r="L97" s="40">
        <v>1158489.0</v>
      </c>
      <c r="M97" s="42" t="s">
        <v>968</v>
      </c>
      <c r="N97" s="40">
        <v>1255271.0</v>
      </c>
      <c r="O97" s="42" t="s">
        <v>969</v>
      </c>
      <c r="P97" s="40">
        <v>1337541.0</v>
      </c>
      <c r="Q97" s="42" t="s">
        <v>970</v>
      </c>
    </row>
    <row r="98">
      <c r="A98" s="49" t="s">
        <v>125</v>
      </c>
      <c r="B98" s="42" t="s">
        <v>971</v>
      </c>
      <c r="C98" s="40">
        <v>7532118.0</v>
      </c>
      <c r="D98" s="42" t="s">
        <v>972</v>
      </c>
      <c r="E98" s="40">
        <v>7849723.0</v>
      </c>
      <c r="F98" s="42" t="s">
        <v>973</v>
      </c>
      <c r="G98" s="40">
        <v>7736501.0</v>
      </c>
      <c r="H98" s="42" t="s">
        <v>974</v>
      </c>
      <c r="I98" s="48"/>
      <c r="J98" s="49" t="s">
        <v>125</v>
      </c>
      <c r="K98" s="42" t="s">
        <v>975</v>
      </c>
      <c r="L98" s="40">
        <v>7532118.0</v>
      </c>
      <c r="M98" s="42" t="s">
        <v>976</v>
      </c>
      <c r="N98" s="40">
        <v>7849723.0</v>
      </c>
      <c r="O98" s="42" t="s">
        <v>977</v>
      </c>
      <c r="P98" s="40">
        <v>7736501.0</v>
      </c>
      <c r="Q98" s="42" t="s">
        <v>978</v>
      </c>
    </row>
    <row r="99">
      <c r="A99" s="49" t="s">
        <v>126</v>
      </c>
      <c r="B99" s="42" t="s">
        <v>979</v>
      </c>
      <c r="C99" s="40">
        <v>6996.0</v>
      </c>
      <c r="D99" s="42" t="s">
        <v>586</v>
      </c>
      <c r="E99" s="40">
        <v>7464.0</v>
      </c>
      <c r="F99" s="42" t="s">
        <v>548</v>
      </c>
      <c r="G99" s="40">
        <v>7475.0</v>
      </c>
      <c r="H99" s="42" t="s">
        <v>548</v>
      </c>
      <c r="I99" s="48"/>
      <c r="J99" s="49" t="s">
        <v>126</v>
      </c>
      <c r="K99" s="42" t="s">
        <v>980</v>
      </c>
      <c r="L99" s="40">
        <v>6996.0</v>
      </c>
      <c r="M99" s="42" t="s">
        <v>981</v>
      </c>
      <c r="N99" s="40">
        <v>7464.0</v>
      </c>
      <c r="O99" s="42" t="s">
        <v>982</v>
      </c>
      <c r="P99" s="40">
        <v>7475.0</v>
      </c>
      <c r="Q99" s="42" t="s">
        <v>982</v>
      </c>
    </row>
    <row r="100">
      <c r="A100" s="49" t="s">
        <v>127</v>
      </c>
      <c r="B100" s="42" t="s">
        <v>983</v>
      </c>
      <c r="C100" s="40">
        <v>569246.0</v>
      </c>
      <c r="D100" s="42" t="s">
        <v>984</v>
      </c>
      <c r="E100" s="40">
        <v>603730.0</v>
      </c>
      <c r="F100" s="42" t="s">
        <v>985</v>
      </c>
      <c r="G100" s="40">
        <v>630981.0</v>
      </c>
      <c r="H100" s="42" t="s">
        <v>986</v>
      </c>
      <c r="I100" s="48"/>
      <c r="J100" s="49" t="s">
        <v>127</v>
      </c>
      <c r="K100" s="42" t="s">
        <v>987</v>
      </c>
      <c r="L100" s="40">
        <v>569246.0</v>
      </c>
      <c r="M100" s="42" t="s">
        <v>988</v>
      </c>
      <c r="N100" s="40">
        <v>603730.0</v>
      </c>
      <c r="O100" s="42" t="s">
        <v>989</v>
      </c>
      <c r="P100" s="40">
        <v>630981.0</v>
      </c>
      <c r="Q100" s="42" t="s">
        <v>990</v>
      </c>
    </row>
    <row r="101">
      <c r="A101" s="49" t="s">
        <v>128</v>
      </c>
      <c r="B101" s="42" t="s">
        <v>991</v>
      </c>
      <c r="C101" s="40">
        <v>249888.0</v>
      </c>
      <c r="D101" s="42" t="s">
        <v>992</v>
      </c>
      <c r="E101" s="40">
        <v>253897.0</v>
      </c>
      <c r="F101" s="42" t="s">
        <v>993</v>
      </c>
      <c r="G101" s="40">
        <v>251136.0</v>
      </c>
      <c r="H101" s="42" t="s">
        <v>994</v>
      </c>
      <c r="I101" s="48"/>
      <c r="J101" s="49" t="s">
        <v>128</v>
      </c>
      <c r="K101" s="42" t="s">
        <v>995</v>
      </c>
      <c r="L101" s="40">
        <v>249888.0</v>
      </c>
      <c r="M101" s="42" t="s">
        <v>996</v>
      </c>
      <c r="N101" s="40">
        <v>253897.0</v>
      </c>
      <c r="O101" s="42" t="s">
        <v>997</v>
      </c>
      <c r="P101" s="40">
        <v>251136.0</v>
      </c>
      <c r="Q101" s="42" t="s">
        <v>998</v>
      </c>
    </row>
    <row r="102">
      <c r="A102" s="49" t="s">
        <v>129</v>
      </c>
      <c r="B102" s="42" t="s">
        <v>999</v>
      </c>
      <c r="C102" s="40">
        <v>302609.0</v>
      </c>
      <c r="D102" s="42" t="s">
        <v>1000</v>
      </c>
      <c r="E102" s="40">
        <v>340952.0</v>
      </c>
      <c r="F102" s="42" t="s">
        <v>1001</v>
      </c>
      <c r="G102" s="40">
        <v>365727.0</v>
      </c>
      <c r="H102" s="42" t="s">
        <v>1002</v>
      </c>
      <c r="I102" s="48"/>
      <c r="J102" s="49" t="s">
        <v>129</v>
      </c>
      <c r="K102" s="42" t="s">
        <v>1003</v>
      </c>
      <c r="L102" s="40">
        <v>302609.0</v>
      </c>
      <c r="M102" s="42" t="s">
        <v>1004</v>
      </c>
      <c r="N102" s="40">
        <v>340952.0</v>
      </c>
      <c r="O102" s="42" t="s">
        <v>1005</v>
      </c>
      <c r="P102" s="40">
        <v>365727.0</v>
      </c>
      <c r="Q102" s="42" t="s">
        <v>1006</v>
      </c>
    </row>
    <row r="103">
      <c r="A103" s="49" t="s">
        <v>130</v>
      </c>
      <c r="B103" s="42" t="s">
        <v>1007</v>
      </c>
      <c r="C103" s="40">
        <v>29582.0</v>
      </c>
      <c r="D103" s="42" t="s">
        <v>1008</v>
      </c>
      <c r="E103" s="40">
        <v>25725.0</v>
      </c>
      <c r="F103" s="42" t="s">
        <v>1009</v>
      </c>
      <c r="G103" s="40">
        <v>23979.0</v>
      </c>
      <c r="H103" s="42" t="s">
        <v>1010</v>
      </c>
      <c r="I103" s="48"/>
      <c r="J103" s="49" t="s">
        <v>130</v>
      </c>
      <c r="K103" s="42" t="s">
        <v>1011</v>
      </c>
      <c r="L103" s="40">
        <v>29582.0</v>
      </c>
      <c r="M103" s="42" t="s">
        <v>1012</v>
      </c>
      <c r="N103" s="40">
        <v>25725.0</v>
      </c>
      <c r="O103" s="42" t="s">
        <v>1013</v>
      </c>
      <c r="P103" s="40">
        <v>23979.0</v>
      </c>
      <c r="Q103" s="42" t="s">
        <v>1014</v>
      </c>
    </row>
    <row r="104">
      <c r="A104" s="49" t="s">
        <v>131</v>
      </c>
      <c r="B104" s="42" t="s">
        <v>1015</v>
      </c>
      <c r="C104" s="40">
        <v>121514.0</v>
      </c>
      <c r="D104" s="42" t="s">
        <v>1016</v>
      </c>
      <c r="E104" s="40">
        <v>126343.0</v>
      </c>
      <c r="F104" s="42" t="s">
        <v>1017</v>
      </c>
      <c r="G104" s="40">
        <v>115892.0</v>
      </c>
      <c r="H104" s="42" t="s">
        <v>1018</v>
      </c>
      <c r="I104" s="48"/>
      <c r="J104" s="49" t="s">
        <v>131</v>
      </c>
      <c r="K104" s="42" t="s">
        <v>1019</v>
      </c>
      <c r="L104" s="40">
        <v>121514.0</v>
      </c>
      <c r="M104" s="42" t="s">
        <v>1020</v>
      </c>
      <c r="N104" s="40">
        <v>126343.0</v>
      </c>
      <c r="O104" s="42" t="s">
        <v>1021</v>
      </c>
      <c r="P104" s="40">
        <v>115892.0</v>
      </c>
      <c r="Q104" s="42" t="s">
        <v>1022</v>
      </c>
    </row>
    <row r="105">
      <c r="A105" s="49" t="s">
        <v>132</v>
      </c>
      <c r="B105" s="42" t="s">
        <v>1023</v>
      </c>
      <c r="C105" s="40">
        <v>39643.0</v>
      </c>
      <c r="D105" s="42" t="s">
        <v>1024</v>
      </c>
      <c r="E105" s="40">
        <v>41424.0</v>
      </c>
      <c r="F105" s="42" t="s">
        <v>1025</v>
      </c>
      <c r="G105" s="40">
        <v>40257.0</v>
      </c>
      <c r="H105" s="42" t="s">
        <v>1026</v>
      </c>
      <c r="I105" s="48"/>
      <c r="J105" s="49" t="s">
        <v>132</v>
      </c>
      <c r="K105" s="42" t="s">
        <v>1027</v>
      </c>
      <c r="L105" s="40">
        <v>39643.0</v>
      </c>
      <c r="M105" s="42" t="s">
        <v>1028</v>
      </c>
      <c r="N105" s="40">
        <v>41424.0</v>
      </c>
      <c r="O105" s="42" t="s">
        <v>1029</v>
      </c>
      <c r="P105" s="40">
        <v>40257.0</v>
      </c>
      <c r="Q105" s="42" t="s">
        <v>1030</v>
      </c>
    </row>
    <row r="106">
      <c r="A106" s="49" t="s">
        <v>133</v>
      </c>
      <c r="B106" s="42" t="s">
        <v>1031</v>
      </c>
      <c r="C106" s="40">
        <v>384220.0</v>
      </c>
      <c r="D106" s="42" t="s">
        <v>1032</v>
      </c>
      <c r="E106" s="40">
        <v>430487.0</v>
      </c>
      <c r="F106" s="42" t="s">
        <v>1033</v>
      </c>
      <c r="G106" s="40">
        <v>449796.0</v>
      </c>
      <c r="H106" s="42" t="s">
        <v>1034</v>
      </c>
      <c r="I106" s="48"/>
      <c r="J106" s="49" t="s">
        <v>133</v>
      </c>
      <c r="K106" s="42" t="s">
        <v>1035</v>
      </c>
      <c r="L106" s="40">
        <v>384220.0</v>
      </c>
      <c r="M106" s="42" t="s">
        <v>1036</v>
      </c>
      <c r="N106" s="40">
        <v>430487.0</v>
      </c>
      <c r="O106" s="42" t="s">
        <v>1037</v>
      </c>
      <c r="P106" s="40">
        <v>449796.0</v>
      </c>
      <c r="Q106" s="42" t="s">
        <v>1038</v>
      </c>
    </row>
    <row r="107">
      <c r="A107" s="49" t="s">
        <v>134</v>
      </c>
      <c r="B107" s="42" t="s">
        <v>1039</v>
      </c>
      <c r="C107" s="40">
        <v>384220.0</v>
      </c>
      <c r="D107" s="42" t="s">
        <v>1040</v>
      </c>
      <c r="E107" s="40">
        <v>430487.0</v>
      </c>
      <c r="F107" s="42" t="s">
        <v>1041</v>
      </c>
      <c r="G107" s="40">
        <v>449796.0</v>
      </c>
      <c r="H107" s="42" t="s">
        <v>1042</v>
      </c>
      <c r="I107" s="48"/>
      <c r="J107" s="49" t="s">
        <v>134</v>
      </c>
      <c r="K107" s="42" t="s">
        <v>1043</v>
      </c>
      <c r="L107" s="40">
        <v>384220.0</v>
      </c>
      <c r="M107" s="42" t="s">
        <v>1044</v>
      </c>
      <c r="N107" s="40">
        <v>430487.0</v>
      </c>
      <c r="O107" s="42" t="s">
        <v>1045</v>
      </c>
      <c r="P107" s="40">
        <v>449796.0</v>
      </c>
      <c r="Q107" s="42" t="s">
        <v>1046</v>
      </c>
    </row>
    <row r="108">
      <c r="A108" s="49" t="s">
        <v>135</v>
      </c>
      <c r="B108" s="42" t="s">
        <v>1047</v>
      </c>
      <c r="C108" s="40">
        <v>58277.0</v>
      </c>
      <c r="D108" s="42" t="s">
        <v>1048</v>
      </c>
      <c r="E108" s="40">
        <v>70247.0</v>
      </c>
      <c r="F108" s="42" t="s">
        <v>1049</v>
      </c>
      <c r="G108" s="40">
        <v>68979.0</v>
      </c>
      <c r="H108" s="42" t="s">
        <v>1050</v>
      </c>
      <c r="I108" s="48"/>
      <c r="J108" s="49" t="s">
        <v>135</v>
      </c>
      <c r="K108" s="42" t="s">
        <v>1051</v>
      </c>
      <c r="L108" s="40">
        <v>58277.0</v>
      </c>
      <c r="M108" s="42" t="s">
        <v>1052</v>
      </c>
      <c r="N108" s="40">
        <v>70247.0</v>
      </c>
      <c r="O108" s="42" t="s">
        <v>1053</v>
      </c>
      <c r="P108" s="40">
        <v>68979.0</v>
      </c>
      <c r="Q108" s="42" t="s">
        <v>1054</v>
      </c>
    </row>
    <row r="109">
      <c r="A109" s="49" t="s">
        <v>136</v>
      </c>
      <c r="B109" s="42" t="s">
        <v>1055</v>
      </c>
      <c r="C109" s="40">
        <v>257747.0</v>
      </c>
      <c r="D109" s="42" t="s">
        <v>1056</v>
      </c>
      <c r="E109" s="40">
        <v>294503.0</v>
      </c>
      <c r="F109" s="42" t="s">
        <v>1057</v>
      </c>
      <c r="G109" s="40">
        <v>280061.0</v>
      </c>
      <c r="H109" s="42" t="s">
        <v>1058</v>
      </c>
      <c r="I109" s="48"/>
      <c r="J109" s="49" t="s">
        <v>136</v>
      </c>
      <c r="K109" s="42" t="s">
        <v>1059</v>
      </c>
      <c r="L109" s="40">
        <v>257747.0</v>
      </c>
      <c r="M109" s="42" t="s">
        <v>1060</v>
      </c>
      <c r="N109" s="40">
        <v>294503.0</v>
      </c>
      <c r="O109" s="42" t="s">
        <v>1061</v>
      </c>
      <c r="P109" s="40">
        <v>280061.0</v>
      </c>
      <c r="Q109" s="42" t="s">
        <v>1062</v>
      </c>
    </row>
    <row r="110">
      <c r="A110" s="49" t="s">
        <v>137</v>
      </c>
      <c r="B110" s="42" t="s">
        <v>1063</v>
      </c>
      <c r="C110" s="40">
        <v>136648.0</v>
      </c>
      <c r="D110" s="42" t="s">
        <v>1064</v>
      </c>
      <c r="E110" s="40">
        <v>148359.0</v>
      </c>
      <c r="F110" s="42" t="s">
        <v>1065</v>
      </c>
      <c r="G110" s="40">
        <v>145914.0</v>
      </c>
      <c r="H110" s="42" t="s">
        <v>1066</v>
      </c>
      <c r="I110" s="48"/>
      <c r="J110" s="49" t="s">
        <v>137</v>
      </c>
      <c r="K110" s="42" t="s">
        <v>1067</v>
      </c>
      <c r="L110" s="40">
        <v>136648.0</v>
      </c>
      <c r="M110" s="42" t="s">
        <v>1068</v>
      </c>
      <c r="N110" s="40">
        <v>148359.0</v>
      </c>
      <c r="O110" s="42" t="s">
        <v>1069</v>
      </c>
      <c r="P110" s="40">
        <v>145914.0</v>
      </c>
      <c r="Q110" s="42" t="s">
        <v>1070</v>
      </c>
    </row>
    <row r="111">
      <c r="A111" s="49" t="s">
        <v>138</v>
      </c>
      <c r="B111" s="42" t="s">
        <v>1071</v>
      </c>
      <c r="C111" s="40">
        <v>854214.0</v>
      </c>
      <c r="D111" s="42" t="s">
        <v>1072</v>
      </c>
      <c r="E111" s="40">
        <v>891142.0</v>
      </c>
      <c r="F111" s="42" t="s">
        <v>1073</v>
      </c>
      <c r="G111" s="40">
        <v>990396.0</v>
      </c>
      <c r="H111" s="42" t="s">
        <v>1074</v>
      </c>
      <c r="I111" s="48"/>
      <c r="J111" s="49" t="s">
        <v>138</v>
      </c>
      <c r="K111" s="42" t="s">
        <v>1075</v>
      </c>
      <c r="L111" s="40">
        <v>854214.0</v>
      </c>
      <c r="M111" s="42" t="s">
        <v>1076</v>
      </c>
      <c r="N111" s="40">
        <v>891142.0</v>
      </c>
      <c r="O111" s="42" t="s">
        <v>1077</v>
      </c>
      <c r="P111" s="40">
        <v>990396.0</v>
      </c>
      <c r="Q111" s="42" t="s">
        <v>1078</v>
      </c>
    </row>
    <row r="112">
      <c r="A112" s="49" t="s">
        <v>139</v>
      </c>
      <c r="B112" s="42" t="s">
        <v>1079</v>
      </c>
      <c r="C112" s="40">
        <v>23409.0</v>
      </c>
      <c r="D112" s="42" t="s">
        <v>1080</v>
      </c>
      <c r="E112" s="40">
        <v>17521.0</v>
      </c>
      <c r="F112" s="42" t="s">
        <v>1081</v>
      </c>
      <c r="G112" s="40">
        <v>15571.0</v>
      </c>
      <c r="H112" s="42" t="s">
        <v>1082</v>
      </c>
      <c r="I112" s="48"/>
      <c r="J112" s="49" t="s">
        <v>139</v>
      </c>
      <c r="K112" s="42" t="s">
        <v>1083</v>
      </c>
      <c r="L112" s="40">
        <v>23409.0</v>
      </c>
      <c r="M112" s="42" t="s">
        <v>1084</v>
      </c>
      <c r="N112" s="40">
        <v>17521.0</v>
      </c>
      <c r="O112" s="42" t="s">
        <v>1085</v>
      </c>
      <c r="P112" s="40">
        <v>15571.0</v>
      </c>
      <c r="Q112" s="42" t="s">
        <v>1086</v>
      </c>
    </row>
    <row r="113">
      <c r="A113" s="49" t="s">
        <v>140</v>
      </c>
      <c r="B113" s="42" t="s">
        <v>1087</v>
      </c>
      <c r="C113" s="40">
        <v>23235.0</v>
      </c>
      <c r="D113" s="42" t="s">
        <v>1088</v>
      </c>
      <c r="E113" s="40">
        <v>20717.0</v>
      </c>
      <c r="F113" s="42" t="s">
        <v>1089</v>
      </c>
      <c r="G113" s="40">
        <v>17500.0</v>
      </c>
      <c r="H113" s="42" t="s">
        <v>1090</v>
      </c>
      <c r="I113" s="48"/>
      <c r="J113" s="49" t="s">
        <v>140</v>
      </c>
      <c r="K113" s="42" t="s">
        <v>1091</v>
      </c>
      <c r="L113" s="40">
        <v>23235.0</v>
      </c>
      <c r="M113" s="42" t="s">
        <v>1092</v>
      </c>
      <c r="N113" s="40">
        <v>20717.0</v>
      </c>
      <c r="O113" s="42" t="s">
        <v>1093</v>
      </c>
      <c r="P113" s="40">
        <v>17500.0</v>
      </c>
      <c r="Q113" s="42" t="s">
        <v>1094</v>
      </c>
    </row>
    <row r="114">
      <c r="A114" s="49" t="s">
        <v>141</v>
      </c>
      <c r="B114" s="42" t="s">
        <v>1095</v>
      </c>
      <c r="C114" s="40">
        <v>55641.0</v>
      </c>
      <c r="D114" s="42" t="s">
        <v>1096</v>
      </c>
      <c r="E114" s="40">
        <v>51777.0</v>
      </c>
      <c r="F114" s="42" t="s">
        <v>1097</v>
      </c>
      <c r="G114" s="40">
        <v>47776.0</v>
      </c>
      <c r="H114" s="42" t="s">
        <v>1098</v>
      </c>
      <c r="I114" s="48"/>
      <c r="J114" s="49" t="s">
        <v>141</v>
      </c>
      <c r="K114" s="42" t="s">
        <v>1099</v>
      </c>
      <c r="L114" s="40">
        <v>55641.0</v>
      </c>
      <c r="M114" s="42" t="s">
        <v>1100</v>
      </c>
      <c r="N114" s="40">
        <v>51777.0</v>
      </c>
      <c r="O114" s="42" t="s">
        <v>1101</v>
      </c>
      <c r="P114" s="40">
        <v>47776.0</v>
      </c>
      <c r="Q114" s="42" t="s">
        <v>1102</v>
      </c>
    </row>
    <row r="115">
      <c r="A115" s="49" t="s">
        <v>142</v>
      </c>
      <c r="B115" s="42" t="s">
        <v>1103</v>
      </c>
      <c r="C115" s="40">
        <v>29749.0</v>
      </c>
      <c r="D115" s="42" t="s">
        <v>1104</v>
      </c>
      <c r="E115" s="40">
        <v>28481.0</v>
      </c>
      <c r="F115" s="42" t="s">
        <v>1105</v>
      </c>
      <c r="G115" s="40">
        <v>25318.0</v>
      </c>
      <c r="H115" s="42" t="s">
        <v>1106</v>
      </c>
      <c r="I115" s="48"/>
      <c r="J115" s="49" t="s">
        <v>142</v>
      </c>
      <c r="K115" s="42" t="s">
        <v>1107</v>
      </c>
      <c r="L115" s="40">
        <v>29749.0</v>
      </c>
      <c r="M115" s="42" t="s">
        <v>1108</v>
      </c>
      <c r="N115" s="40">
        <v>28481.0</v>
      </c>
      <c r="O115" s="42" t="s">
        <v>1109</v>
      </c>
      <c r="P115" s="40">
        <v>25318.0</v>
      </c>
      <c r="Q115" s="42" t="s">
        <v>1110</v>
      </c>
    </row>
    <row r="116">
      <c r="A116" s="49" t="s">
        <v>143</v>
      </c>
      <c r="B116" s="42" t="s">
        <v>1111</v>
      </c>
      <c r="C116" s="40">
        <v>80968.0</v>
      </c>
      <c r="D116" s="42" t="s">
        <v>1112</v>
      </c>
      <c r="E116" s="40">
        <v>90228.0</v>
      </c>
      <c r="F116" s="42" t="s">
        <v>1113</v>
      </c>
      <c r="G116" s="40">
        <v>89790.0</v>
      </c>
      <c r="H116" s="42" t="s">
        <v>1114</v>
      </c>
      <c r="I116" s="48"/>
      <c r="J116" s="49" t="s">
        <v>143</v>
      </c>
      <c r="K116" s="42" t="s">
        <v>1115</v>
      </c>
      <c r="L116" s="40">
        <v>80968.0</v>
      </c>
      <c r="M116" s="42" t="s">
        <v>1116</v>
      </c>
      <c r="N116" s="40">
        <v>90228.0</v>
      </c>
      <c r="O116" s="42" t="s">
        <v>1117</v>
      </c>
      <c r="P116" s="40">
        <v>89790.0</v>
      </c>
      <c r="Q116" s="42" t="s">
        <v>1117</v>
      </c>
    </row>
    <row r="117">
      <c r="A117" s="49" t="s">
        <v>144</v>
      </c>
      <c r="B117" s="42" t="s">
        <v>684</v>
      </c>
      <c r="C117" s="40">
        <v>80319.0</v>
      </c>
      <c r="D117" s="42" t="s">
        <v>1118</v>
      </c>
      <c r="E117" s="40">
        <v>79225.0</v>
      </c>
      <c r="F117" s="42" t="s">
        <v>1119</v>
      </c>
      <c r="G117" s="40">
        <v>78461.0</v>
      </c>
      <c r="H117" s="42" t="s">
        <v>1119</v>
      </c>
      <c r="I117" s="48"/>
      <c r="J117" s="49" t="s">
        <v>144</v>
      </c>
      <c r="K117" s="42" t="s">
        <v>1120</v>
      </c>
      <c r="L117" s="40">
        <v>80319.0</v>
      </c>
      <c r="M117" s="42" t="s">
        <v>1121</v>
      </c>
      <c r="N117" s="40">
        <v>79225.0</v>
      </c>
      <c r="O117" s="42" t="s">
        <v>1122</v>
      </c>
      <c r="P117" s="40">
        <v>78461.0</v>
      </c>
      <c r="Q117" s="42" t="s">
        <v>1123</v>
      </c>
    </row>
    <row r="118">
      <c r="A118" s="49" t="s">
        <v>145</v>
      </c>
      <c r="B118" s="42" t="s">
        <v>1124</v>
      </c>
      <c r="C118" s="40">
        <v>6276.0</v>
      </c>
      <c r="D118" s="42" t="s">
        <v>548</v>
      </c>
      <c r="E118" s="40">
        <v>5691.0</v>
      </c>
      <c r="F118" s="42" t="s">
        <v>547</v>
      </c>
      <c r="G118" s="40">
        <v>5036.0</v>
      </c>
      <c r="H118" s="42" t="s">
        <v>1125</v>
      </c>
      <c r="I118" s="48"/>
      <c r="J118" s="49" t="s">
        <v>145</v>
      </c>
      <c r="K118" s="42" t="s">
        <v>1126</v>
      </c>
      <c r="L118" s="40">
        <v>6276.0</v>
      </c>
      <c r="M118" s="42" t="s">
        <v>1127</v>
      </c>
      <c r="N118" s="40">
        <v>5691.0</v>
      </c>
      <c r="O118" s="42" t="s">
        <v>1128</v>
      </c>
      <c r="P118" s="40">
        <v>5036.0</v>
      </c>
      <c r="Q118" s="42" t="s">
        <v>1129</v>
      </c>
    </row>
    <row r="119">
      <c r="A119" s="49" t="s">
        <v>146</v>
      </c>
      <c r="B119" s="42" t="s">
        <v>979</v>
      </c>
      <c r="C119" s="40">
        <v>15026.0</v>
      </c>
      <c r="D119" s="42" t="s">
        <v>1130</v>
      </c>
      <c r="E119" s="40">
        <v>14006.0</v>
      </c>
      <c r="F119" s="42" t="s">
        <v>1131</v>
      </c>
      <c r="G119" s="40">
        <v>12420.0</v>
      </c>
      <c r="H119" s="42" t="s">
        <v>1132</v>
      </c>
      <c r="I119" s="48"/>
      <c r="J119" s="49" t="s">
        <v>146</v>
      </c>
      <c r="K119" s="42" t="s">
        <v>1133</v>
      </c>
      <c r="L119" s="40">
        <v>15026.0</v>
      </c>
      <c r="M119" s="42" t="s">
        <v>1134</v>
      </c>
      <c r="N119" s="40">
        <v>14006.0</v>
      </c>
      <c r="O119" s="42" t="s">
        <v>1135</v>
      </c>
      <c r="P119" s="40">
        <v>12420.0</v>
      </c>
      <c r="Q119" s="42" t="s">
        <v>1136</v>
      </c>
    </row>
    <row r="120">
      <c r="A120" s="49" t="s">
        <v>147</v>
      </c>
      <c r="B120" s="42" t="s">
        <v>1137</v>
      </c>
      <c r="C120" s="40">
        <v>260457.0</v>
      </c>
      <c r="D120" s="42" t="s">
        <v>1138</v>
      </c>
      <c r="E120" s="40">
        <v>257089.0</v>
      </c>
      <c r="F120" s="42" t="s">
        <v>1139</v>
      </c>
      <c r="G120" s="40">
        <v>236867.0</v>
      </c>
      <c r="H120" s="42" t="s">
        <v>1140</v>
      </c>
      <c r="I120" s="48"/>
      <c r="J120" s="49" t="s">
        <v>147</v>
      </c>
      <c r="K120" s="42" t="s">
        <v>1141</v>
      </c>
      <c r="L120" s="40">
        <v>260457.0</v>
      </c>
      <c r="M120" s="42" t="s">
        <v>1142</v>
      </c>
      <c r="N120" s="40">
        <v>257089.0</v>
      </c>
      <c r="O120" s="42" t="s">
        <v>1143</v>
      </c>
      <c r="P120" s="40">
        <v>236867.0</v>
      </c>
      <c r="Q120" s="42" t="s">
        <v>1144</v>
      </c>
    </row>
    <row r="121">
      <c r="A121" s="49" t="s">
        <v>148</v>
      </c>
      <c r="B121" s="42" t="s">
        <v>1145</v>
      </c>
      <c r="C121" s="40">
        <v>168329.0</v>
      </c>
      <c r="D121" s="42" t="s">
        <v>1146</v>
      </c>
      <c r="E121" s="40">
        <v>161230.0</v>
      </c>
      <c r="F121" s="42" t="s">
        <v>1147</v>
      </c>
      <c r="G121" s="40">
        <v>146537.0</v>
      </c>
      <c r="H121" s="42" t="s">
        <v>1148</v>
      </c>
      <c r="I121" s="48"/>
      <c r="J121" s="49" t="s">
        <v>148</v>
      </c>
      <c r="K121" s="42" t="s">
        <v>1149</v>
      </c>
      <c r="L121" s="40">
        <v>168329.0</v>
      </c>
      <c r="M121" s="42" t="s">
        <v>1150</v>
      </c>
      <c r="N121" s="40">
        <v>161230.0</v>
      </c>
      <c r="O121" s="42" t="s">
        <v>1151</v>
      </c>
      <c r="P121" s="40">
        <v>146537.0</v>
      </c>
      <c r="Q121" s="42" t="s">
        <v>1152</v>
      </c>
    </row>
    <row r="122">
      <c r="A122" s="49" t="s">
        <v>149</v>
      </c>
      <c r="B122" s="42" t="s">
        <v>1153</v>
      </c>
      <c r="C122" s="40">
        <v>54312.0</v>
      </c>
      <c r="D122" s="42" t="s">
        <v>1154</v>
      </c>
      <c r="E122" s="40">
        <v>49630.0</v>
      </c>
      <c r="F122" s="42" t="s">
        <v>1155</v>
      </c>
      <c r="G122" s="40">
        <v>46197.0</v>
      </c>
      <c r="H122" s="42" t="s">
        <v>1156</v>
      </c>
      <c r="I122" s="48"/>
      <c r="J122" s="49" t="s">
        <v>149</v>
      </c>
      <c r="K122" s="42" t="s">
        <v>1157</v>
      </c>
      <c r="L122" s="40">
        <v>54312.0</v>
      </c>
      <c r="M122" s="42" t="s">
        <v>1158</v>
      </c>
      <c r="N122" s="40">
        <v>49630.0</v>
      </c>
      <c r="O122" s="42" t="s">
        <v>1159</v>
      </c>
      <c r="P122" s="40">
        <v>46197.0</v>
      </c>
      <c r="Q122" s="42" t="s">
        <v>1160</v>
      </c>
    </row>
    <row r="123">
      <c r="A123" s="49" t="s">
        <v>150</v>
      </c>
      <c r="B123" s="42" t="s">
        <v>1161</v>
      </c>
      <c r="C123" s="40">
        <v>44717.0</v>
      </c>
      <c r="D123" s="42" t="s">
        <v>1162</v>
      </c>
      <c r="E123" s="40">
        <v>43146.0</v>
      </c>
      <c r="F123" s="42" t="s">
        <v>1163</v>
      </c>
      <c r="G123" s="40">
        <v>42568.0</v>
      </c>
      <c r="H123" s="42" t="s">
        <v>1164</v>
      </c>
      <c r="I123" s="48"/>
      <c r="J123" s="49" t="s">
        <v>150</v>
      </c>
      <c r="K123" s="42" t="s">
        <v>1165</v>
      </c>
      <c r="L123" s="40">
        <v>44717.0</v>
      </c>
      <c r="M123" s="42" t="s">
        <v>1166</v>
      </c>
      <c r="N123" s="40">
        <v>43146.0</v>
      </c>
      <c r="O123" s="42" t="s">
        <v>1167</v>
      </c>
      <c r="P123" s="40">
        <v>42568.0</v>
      </c>
      <c r="Q123" s="42" t="s">
        <v>1168</v>
      </c>
    </row>
    <row r="124">
      <c r="A124" s="49" t="s">
        <v>151</v>
      </c>
      <c r="B124" s="42" t="s">
        <v>1169</v>
      </c>
      <c r="C124" s="40">
        <v>16309.0</v>
      </c>
      <c r="D124" s="42" t="s">
        <v>1170</v>
      </c>
      <c r="E124" s="40">
        <v>17782.0</v>
      </c>
      <c r="F124" s="42" t="s">
        <v>1171</v>
      </c>
      <c r="G124" s="40">
        <v>17136.0</v>
      </c>
      <c r="H124" s="42" t="s">
        <v>532</v>
      </c>
      <c r="I124" s="48"/>
      <c r="J124" s="49" t="s">
        <v>151</v>
      </c>
      <c r="K124" s="42" t="s">
        <v>1172</v>
      </c>
      <c r="L124" s="40">
        <v>16309.0</v>
      </c>
      <c r="M124" s="42" t="s">
        <v>1173</v>
      </c>
      <c r="N124" s="40">
        <v>17782.0</v>
      </c>
      <c r="O124" s="42" t="s">
        <v>1174</v>
      </c>
      <c r="P124" s="40">
        <v>17136.0</v>
      </c>
      <c r="Q124" s="42" t="s">
        <v>1175</v>
      </c>
    </row>
    <row r="125">
      <c r="A125" s="49" t="s">
        <v>152</v>
      </c>
      <c r="B125" s="42" t="s">
        <v>1176</v>
      </c>
      <c r="C125" s="40">
        <v>58666.0</v>
      </c>
      <c r="D125" s="42" t="s">
        <v>1177</v>
      </c>
      <c r="E125" s="40">
        <v>64025.0</v>
      </c>
      <c r="F125" s="42" t="s">
        <v>1178</v>
      </c>
      <c r="G125" s="40">
        <v>59317.0</v>
      </c>
      <c r="H125" s="42" t="s">
        <v>1179</v>
      </c>
      <c r="I125" s="48"/>
      <c r="J125" s="49" t="s">
        <v>152</v>
      </c>
      <c r="K125" s="42" t="s">
        <v>1180</v>
      </c>
      <c r="L125" s="40">
        <v>58666.0</v>
      </c>
      <c r="M125" s="42" t="s">
        <v>1181</v>
      </c>
      <c r="N125" s="40">
        <v>64025.0</v>
      </c>
      <c r="O125" s="42" t="s">
        <v>1182</v>
      </c>
      <c r="P125" s="40">
        <v>59317.0</v>
      </c>
      <c r="Q125" s="42" t="s">
        <v>1183</v>
      </c>
    </row>
    <row r="126">
      <c r="A126" s="49" t="s">
        <v>153</v>
      </c>
      <c r="B126" s="42" t="s">
        <v>1184</v>
      </c>
      <c r="C126" s="40">
        <v>9603.0</v>
      </c>
      <c r="D126" s="42" t="s">
        <v>1185</v>
      </c>
      <c r="E126" s="40">
        <v>10293.0</v>
      </c>
      <c r="F126" s="42" t="s">
        <v>1186</v>
      </c>
      <c r="G126" s="40">
        <v>9869.0</v>
      </c>
      <c r="H126" s="42" t="s">
        <v>1185</v>
      </c>
      <c r="I126" s="48"/>
      <c r="J126" s="49" t="s">
        <v>153</v>
      </c>
      <c r="K126" s="42" t="s">
        <v>1187</v>
      </c>
      <c r="L126" s="40">
        <v>9603.0</v>
      </c>
      <c r="M126" s="42" t="s">
        <v>1188</v>
      </c>
      <c r="N126" s="40">
        <v>10293.0</v>
      </c>
      <c r="O126" s="42" t="s">
        <v>1189</v>
      </c>
      <c r="P126" s="40">
        <v>9869.0</v>
      </c>
      <c r="Q126" s="42" t="s">
        <v>1190</v>
      </c>
    </row>
    <row r="127">
      <c r="A127" s="49" t="s">
        <v>154</v>
      </c>
      <c r="B127" s="42" t="s">
        <v>1191</v>
      </c>
      <c r="C127" s="40">
        <v>12613.0</v>
      </c>
      <c r="D127" s="42" t="s">
        <v>1128</v>
      </c>
      <c r="E127" s="40">
        <v>13159.0</v>
      </c>
      <c r="F127" s="42" t="s">
        <v>1128</v>
      </c>
      <c r="G127" s="40">
        <v>12329.0</v>
      </c>
      <c r="H127" s="42" t="s">
        <v>1192</v>
      </c>
      <c r="I127" s="48"/>
      <c r="J127" s="49" t="s">
        <v>154</v>
      </c>
      <c r="K127" s="42" t="s">
        <v>1193</v>
      </c>
      <c r="L127" s="40">
        <v>12613.0</v>
      </c>
      <c r="M127" s="42" t="s">
        <v>1194</v>
      </c>
      <c r="N127" s="40">
        <v>13159.0</v>
      </c>
      <c r="O127" s="42" t="s">
        <v>1195</v>
      </c>
      <c r="P127" s="40">
        <v>12329.0</v>
      </c>
      <c r="Q127" s="42" t="s">
        <v>1196</v>
      </c>
    </row>
    <row r="128">
      <c r="A128" s="49" t="s">
        <v>155</v>
      </c>
      <c r="B128" s="42" t="s">
        <v>1197</v>
      </c>
      <c r="C128" s="40">
        <v>20023.0</v>
      </c>
      <c r="D128" s="42" t="s">
        <v>1198</v>
      </c>
      <c r="E128" s="40">
        <v>17560.0</v>
      </c>
      <c r="F128" s="42" t="s">
        <v>1199</v>
      </c>
      <c r="G128" s="40">
        <v>16307.0</v>
      </c>
      <c r="H128" s="42" t="s">
        <v>1200</v>
      </c>
      <c r="I128" s="48"/>
      <c r="J128" s="49" t="s">
        <v>155</v>
      </c>
      <c r="K128" s="42" t="s">
        <v>1201</v>
      </c>
      <c r="L128" s="40">
        <v>20023.0</v>
      </c>
      <c r="M128" s="42" t="s">
        <v>1202</v>
      </c>
      <c r="N128" s="40">
        <v>17560.0</v>
      </c>
      <c r="O128" s="42" t="s">
        <v>1203</v>
      </c>
      <c r="P128" s="40">
        <v>16307.0</v>
      </c>
      <c r="Q128" s="42" t="s">
        <v>1204</v>
      </c>
    </row>
    <row r="129">
      <c r="A129" s="49" t="s">
        <v>156</v>
      </c>
      <c r="B129" s="42" t="s">
        <v>1205</v>
      </c>
      <c r="C129" s="40">
        <v>27530.0</v>
      </c>
      <c r="D129" s="42" t="s">
        <v>1206</v>
      </c>
      <c r="E129" s="40">
        <v>27428.0</v>
      </c>
      <c r="F129" s="42" t="s">
        <v>1206</v>
      </c>
      <c r="G129" s="40">
        <v>25664.0</v>
      </c>
      <c r="H129" s="42" t="s">
        <v>1207</v>
      </c>
      <c r="I129" s="48"/>
      <c r="J129" s="49" t="s">
        <v>156</v>
      </c>
      <c r="K129" s="42" t="s">
        <v>1208</v>
      </c>
      <c r="L129" s="40">
        <v>27530.0</v>
      </c>
      <c r="M129" s="42" t="s">
        <v>1209</v>
      </c>
      <c r="N129" s="40">
        <v>27428.0</v>
      </c>
      <c r="O129" s="42" t="s">
        <v>1210</v>
      </c>
      <c r="P129" s="40">
        <v>25664.0</v>
      </c>
      <c r="Q129" s="42" t="s">
        <v>1211</v>
      </c>
    </row>
    <row r="130">
      <c r="A130" s="49" t="s">
        <v>157</v>
      </c>
      <c r="B130" s="42" t="s">
        <v>1212</v>
      </c>
      <c r="C130" s="40">
        <v>1190012.0</v>
      </c>
      <c r="D130" s="42" t="s">
        <v>1213</v>
      </c>
      <c r="E130" s="40">
        <v>1364413.0</v>
      </c>
      <c r="F130" s="42" t="s">
        <v>1214</v>
      </c>
      <c r="G130" s="40">
        <v>1382003.0</v>
      </c>
      <c r="H130" s="42" t="s">
        <v>1215</v>
      </c>
      <c r="I130" s="48"/>
      <c r="J130" s="49" t="s">
        <v>157</v>
      </c>
      <c r="K130" s="42" t="s">
        <v>1216</v>
      </c>
      <c r="L130" s="40">
        <v>1190012.0</v>
      </c>
      <c r="M130" s="42" t="s">
        <v>1217</v>
      </c>
      <c r="N130" s="40">
        <v>1364413.0</v>
      </c>
      <c r="O130" s="42" t="s">
        <v>1218</v>
      </c>
      <c r="P130" s="40">
        <v>1382003.0</v>
      </c>
      <c r="Q130" s="42" t="s">
        <v>1219</v>
      </c>
    </row>
    <row r="131">
      <c r="A131" s="49" t="s">
        <v>158</v>
      </c>
      <c r="B131" s="42" t="s">
        <v>1220</v>
      </c>
      <c r="C131" s="40">
        <v>234431.0</v>
      </c>
      <c r="D131" s="42" t="s">
        <v>1221</v>
      </c>
      <c r="E131" s="40">
        <v>227066.0</v>
      </c>
      <c r="F131" s="42" t="s">
        <v>1222</v>
      </c>
      <c r="G131" s="40">
        <v>191102.0</v>
      </c>
      <c r="H131" s="42" t="s">
        <v>1223</v>
      </c>
      <c r="I131" s="48"/>
      <c r="J131" s="49" t="s">
        <v>158</v>
      </c>
      <c r="K131" s="42" t="s">
        <v>1224</v>
      </c>
      <c r="L131" s="40">
        <v>234431.0</v>
      </c>
      <c r="M131" s="42" t="s">
        <v>1225</v>
      </c>
      <c r="N131" s="40">
        <v>227066.0</v>
      </c>
      <c r="O131" s="42" t="s">
        <v>1226</v>
      </c>
      <c r="P131" s="40">
        <v>191102.0</v>
      </c>
      <c r="Q131" s="42" t="s">
        <v>1227</v>
      </c>
    </row>
    <row r="132">
      <c r="A132" s="49" t="s">
        <v>159</v>
      </c>
      <c r="B132" s="42" t="s">
        <v>1228</v>
      </c>
      <c r="C132" s="40">
        <v>302202.0</v>
      </c>
      <c r="D132" s="42" t="s">
        <v>1229</v>
      </c>
      <c r="E132" s="40">
        <v>315371.0</v>
      </c>
      <c r="F132" s="42" t="s">
        <v>1230</v>
      </c>
      <c r="G132" s="40">
        <v>335627.0</v>
      </c>
      <c r="H132" s="42" t="s">
        <v>1231</v>
      </c>
      <c r="I132" s="48"/>
      <c r="J132" s="49" t="s">
        <v>159</v>
      </c>
      <c r="K132" s="42" t="s">
        <v>1232</v>
      </c>
      <c r="L132" s="40">
        <v>302202.0</v>
      </c>
      <c r="M132" s="42" t="s">
        <v>1233</v>
      </c>
      <c r="N132" s="40">
        <v>315371.0</v>
      </c>
      <c r="O132" s="42" t="s">
        <v>1234</v>
      </c>
      <c r="P132" s="40">
        <v>335627.0</v>
      </c>
      <c r="Q132" s="42" t="s">
        <v>1235</v>
      </c>
    </row>
    <row r="133">
      <c r="A133" s="49" t="s">
        <v>160</v>
      </c>
      <c r="B133" s="42" t="s">
        <v>1236</v>
      </c>
      <c r="C133" s="40">
        <v>56579.0</v>
      </c>
      <c r="D133" s="42" t="s">
        <v>1237</v>
      </c>
      <c r="E133" s="40">
        <v>57267.0</v>
      </c>
      <c r="F133" s="42" t="s">
        <v>1238</v>
      </c>
      <c r="G133" s="40">
        <v>56493.0</v>
      </c>
      <c r="H133" s="42" t="s">
        <v>1239</v>
      </c>
      <c r="I133" s="48"/>
      <c r="J133" s="49" t="s">
        <v>160</v>
      </c>
      <c r="K133" s="42" t="s">
        <v>1240</v>
      </c>
      <c r="L133" s="40">
        <v>56579.0</v>
      </c>
      <c r="M133" s="42" t="s">
        <v>1241</v>
      </c>
      <c r="N133" s="40">
        <v>57267.0</v>
      </c>
      <c r="O133" s="42" t="s">
        <v>1242</v>
      </c>
      <c r="P133" s="40">
        <v>56493.0</v>
      </c>
      <c r="Q133" s="42" t="s">
        <v>1243</v>
      </c>
    </row>
    <row r="134">
      <c r="A134" s="49" t="s">
        <v>161</v>
      </c>
      <c r="B134" s="42" t="s">
        <v>1244</v>
      </c>
      <c r="C134" s="40">
        <v>5688.0</v>
      </c>
      <c r="D134" s="42" t="s">
        <v>1192</v>
      </c>
      <c r="E134" s="40">
        <v>5345.0</v>
      </c>
      <c r="F134" s="42" t="s">
        <v>1245</v>
      </c>
      <c r="G134" s="40">
        <v>5288.0</v>
      </c>
      <c r="H134" s="42" t="s">
        <v>1245</v>
      </c>
      <c r="I134" s="48"/>
      <c r="J134" s="49" t="s">
        <v>161</v>
      </c>
      <c r="K134" s="42" t="s">
        <v>1246</v>
      </c>
      <c r="L134" s="40">
        <v>5688.0</v>
      </c>
      <c r="M134" s="42" t="s">
        <v>1247</v>
      </c>
      <c r="N134" s="40">
        <v>5345.0</v>
      </c>
      <c r="O134" s="42" t="s">
        <v>1129</v>
      </c>
      <c r="P134" s="40">
        <v>5288.0</v>
      </c>
      <c r="Q134" s="42" t="s">
        <v>1129</v>
      </c>
    </row>
    <row r="135">
      <c r="A135" s="49" t="s">
        <v>162</v>
      </c>
      <c r="B135" s="42" t="s">
        <v>1248</v>
      </c>
      <c r="C135" s="40">
        <v>752363.0</v>
      </c>
      <c r="D135" s="42" t="s">
        <v>1249</v>
      </c>
      <c r="E135" s="40">
        <v>791150.0</v>
      </c>
      <c r="F135" s="42" t="s">
        <v>1250</v>
      </c>
      <c r="G135" s="40">
        <v>735771.0</v>
      </c>
      <c r="H135" s="42" t="s">
        <v>1251</v>
      </c>
      <c r="I135" s="48"/>
      <c r="J135" s="49" t="s">
        <v>162</v>
      </c>
      <c r="K135" s="42" t="s">
        <v>1252</v>
      </c>
      <c r="L135" s="40">
        <v>752363.0</v>
      </c>
      <c r="M135" s="42" t="s">
        <v>1253</v>
      </c>
      <c r="N135" s="40">
        <v>791150.0</v>
      </c>
      <c r="O135" s="42" t="s">
        <v>1254</v>
      </c>
      <c r="P135" s="40">
        <v>735771.0</v>
      </c>
      <c r="Q135" s="42" t="s">
        <v>1255</v>
      </c>
    </row>
    <row r="136">
      <c r="A136" s="49" t="s">
        <v>163</v>
      </c>
      <c r="B136" s="42" t="s">
        <v>1256</v>
      </c>
      <c r="C136" s="40">
        <v>258445.0</v>
      </c>
      <c r="D136" s="42" t="s">
        <v>1257</v>
      </c>
      <c r="E136" s="40">
        <v>236257.0</v>
      </c>
      <c r="F136" s="42" t="s">
        <v>1258</v>
      </c>
      <c r="G136" s="40">
        <v>214937.0</v>
      </c>
      <c r="H136" s="42" t="s">
        <v>1259</v>
      </c>
      <c r="I136" s="48"/>
      <c r="J136" s="49" t="s">
        <v>163</v>
      </c>
      <c r="K136" s="42" t="s">
        <v>1260</v>
      </c>
      <c r="L136" s="40">
        <v>258445.0</v>
      </c>
      <c r="M136" s="42" t="s">
        <v>1261</v>
      </c>
      <c r="N136" s="40">
        <v>236257.0</v>
      </c>
      <c r="O136" s="42" t="s">
        <v>1262</v>
      </c>
      <c r="P136" s="40">
        <v>214937.0</v>
      </c>
      <c r="Q136" s="42" t="s">
        <v>1263</v>
      </c>
    </row>
    <row r="137">
      <c r="A137" s="49" t="s">
        <v>164</v>
      </c>
      <c r="B137" s="42" t="s">
        <v>1264</v>
      </c>
      <c r="C137" s="40">
        <v>51363.0</v>
      </c>
      <c r="D137" s="42" t="s">
        <v>1265</v>
      </c>
      <c r="E137" s="40">
        <v>39183.0</v>
      </c>
      <c r="F137" s="42" t="s">
        <v>1266</v>
      </c>
      <c r="G137" s="40">
        <v>32017.0</v>
      </c>
      <c r="H137" s="42" t="s">
        <v>1267</v>
      </c>
      <c r="I137" s="48"/>
      <c r="J137" s="49" t="s">
        <v>164</v>
      </c>
      <c r="K137" s="42" t="s">
        <v>1268</v>
      </c>
      <c r="L137" s="40">
        <v>51363.0</v>
      </c>
      <c r="M137" s="42" t="s">
        <v>1269</v>
      </c>
      <c r="N137" s="40">
        <v>39183.0</v>
      </c>
      <c r="O137" s="42" t="s">
        <v>1270</v>
      </c>
      <c r="P137" s="40">
        <v>32017.0</v>
      </c>
      <c r="Q137" s="42" t="s">
        <v>1271</v>
      </c>
    </row>
    <row r="138">
      <c r="A138" s="49" t="s">
        <v>165</v>
      </c>
      <c r="B138" s="42" t="s">
        <v>1272</v>
      </c>
      <c r="C138" s="40">
        <v>369053.0</v>
      </c>
      <c r="D138" s="42" t="s">
        <v>1273</v>
      </c>
      <c r="E138" s="40">
        <v>378458.0</v>
      </c>
      <c r="F138" s="42" t="s">
        <v>1274</v>
      </c>
      <c r="G138" s="40">
        <v>385927.0</v>
      </c>
      <c r="H138" s="42" t="s">
        <v>1275</v>
      </c>
      <c r="I138" s="48"/>
      <c r="J138" s="49" t="s">
        <v>165</v>
      </c>
      <c r="K138" s="42" t="s">
        <v>1276</v>
      </c>
      <c r="L138" s="40">
        <v>369053.0</v>
      </c>
      <c r="M138" s="42" t="s">
        <v>1277</v>
      </c>
      <c r="N138" s="40">
        <v>378458.0</v>
      </c>
      <c r="O138" s="42" t="s">
        <v>1278</v>
      </c>
      <c r="P138" s="40">
        <v>385927.0</v>
      </c>
      <c r="Q138" s="42" t="s">
        <v>1279</v>
      </c>
    </row>
    <row r="139">
      <c r="A139" s="49" t="s">
        <v>166</v>
      </c>
      <c r="B139" s="42" t="s">
        <v>1280</v>
      </c>
      <c r="C139" s="40">
        <v>641.0</v>
      </c>
      <c r="D139" s="42" t="s">
        <v>477</v>
      </c>
      <c r="E139" s="40">
        <v>582.0</v>
      </c>
      <c r="F139" s="42" t="s">
        <v>477</v>
      </c>
      <c r="G139" s="40">
        <v>577.0</v>
      </c>
      <c r="H139" s="42" t="s">
        <v>477</v>
      </c>
      <c r="I139" s="48"/>
      <c r="J139" s="49" t="s">
        <v>166</v>
      </c>
      <c r="K139" s="42" t="s">
        <v>1281</v>
      </c>
      <c r="L139" s="40">
        <v>641.0</v>
      </c>
      <c r="M139" s="42" t="s">
        <v>477</v>
      </c>
      <c r="N139" s="40">
        <v>582.0</v>
      </c>
      <c r="O139" s="42" t="s">
        <v>477</v>
      </c>
      <c r="P139" s="40">
        <v>577.0</v>
      </c>
      <c r="Q139" s="42" t="s">
        <v>477</v>
      </c>
    </row>
    <row r="140">
      <c r="A140" s="49" t="s">
        <v>167</v>
      </c>
      <c r="B140" s="42" t="s">
        <v>1282</v>
      </c>
      <c r="C140" s="40">
        <v>3729646.0</v>
      </c>
      <c r="D140" s="42" t="s">
        <v>1283</v>
      </c>
      <c r="E140" s="40">
        <v>3944285.0</v>
      </c>
      <c r="F140" s="42" t="s">
        <v>1284</v>
      </c>
      <c r="G140" s="40">
        <v>3817981.0</v>
      </c>
      <c r="H140" s="42" t="s">
        <v>1285</v>
      </c>
      <c r="I140" s="48"/>
      <c r="J140" s="49" t="s">
        <v>167</v>
      </c>
      <c r="K140" s="42" t="s">
        <v>1286</v>
      </c>
      <c r="L140" s="40">
        <v>3729646.0</v>
      </c>
      <c r="M140" s="42" t="s">
        <v>1287</v>
      </c>
      <c r="N140" s="40">
        <v>3944285.0</v>
      </c>
      <c r="O140" s="42" t="s">
        <v>1288</v>
      </c>
      <c r="P140" s="40">
        <v>3817981.0</v>
      </c>
      <c r="Q140" s="42" t="s">
        <v>1289</v>
      </c>
    </row>
    <row r="141">
      <c r="A141" s="49" t="s">
        <v>168</v>
      </c>
      <c r="B141" s="42" t="s">
        <v>1290</v>
      </c>
      <c r="C141" s="40">
        <v>512871.0</v>
      </c>
      <c r="D141" s="42" t="s">
        <v>1291</v>
      </c>
      <c r="E141" s="40">
        <v>516788.0</v>
      </c>
      <c r="F141" s="42" t="s">
        <v>1292</v>
      </c>
      <c r="G141" s="40">
        <v>458949.0</v>
      </c>
      <c r="H141" s="42" t="s">
        <v>1293</v>
      </c>
      <c r="I141" s="48"/>
      <c r="J141" s="49" t="s">
        <v>168</v>
      </c>
      <c r="K141" s="42" t="s">
        <v>1294</v>
      </c>
      <c r="L141" s="40">
        <v>512871.0</v>
      </c>
      <c r="M141" s="42" t="s">
        <v>1295</v>
      </c>
      <c r="N141" s="40">
        <v>516788.0</v>
      </c>
      <c r="O141" s="42" t="s">
        <v>1296</v>
      </c>
      <c r="P141" s="40">
        <v>458949.0</v>
      </c>
      <c r="Q141" s="42" t="s">
        <v>1297</v>
      </c>
    </row>
    <row r="142">
      <c r="A142" s="49" t="s">
        <v>169</v>
      </c>
      <c r="B142" s="42" t="s">
        <v>1298</v>
      </c>
      <c r="C142" s="40">
        <v>167002.0</v>
      </c>
      <c r="D142" s="42" t="s">
        <v>1299</v>
      </c>
      <c r="E142" s="40">
        <v>156592.0</v>
      </c>
      <c r="F142" s="42" t="s">
        <v>1300</v>
      </c>
      <c r="G142" s="40">
        <v>144740.0</v>
      </c>
      <c r="H142" s="42" t="s">
        <v>1301</v>
      </c>
      <c r="I142" s="48"/>
      <c r="J142" s="49" t="s">
        <v>169</v>
      </c>
      <c r="K142" s="42" t="s">
        <v>1302</v>
      </c>
      <c r="L142" s="40">
        <v>167002.0</v>
      </c>
      <c r="M142" s="42" t="s">
        <v>1303</v>
      </c>
      <c r="N142" s="40">
        <v>156592.0</v>
      </c>
      <c r="O142" s="42" t="s">
        <v>1304</v>
      </c>
      <c r="P142" s="40">
        <v>144740.0</v>
      </c>
      <c r="Q142" s="42" t="s">
        <v>1305</v>
      </c>
    </row>
    <row r="143">
      <c r="A143" s="49" t="s">
        <v>170</v>
      </c>
      <c r="B143" s="42" t="s">
        <v>1306</v>
      </c>
      <c r="C143" s="40">
        <v>32496.0</v>
      </c>
      <c r="D143" s="42" t="s">
        <v>1307</v>
      </c>
      <c r="E143" s="40">
        <v>30892.0</v>
      </c>
      <c r="F143" s="42" t="s">
        <v>1199</v>
      </c>
      <c r="G143" s="40">
        <v>27058.0</v>
      </c>
      <c r="H143" s="42" t="s">
        <v>1308</v>
      </c>
      <c r="I143" s="48"/>
      <c r="J143" s="49" t="s">
        <v>170</v>
      </c>
      <c r="K143" s="42" t="s">
        <v>1309</v>
      </c>
      <c r="L143" s="40">
        <v>32496.0</v>
      </c>
      <c r="M143" s="42" t="s">
        <v>1310</v>
      </c>
      <c r="N143" s="40">
        <v>30892.0</v>
      </c>
      <c r="O143" s="42" t="s">
        <v>1311</v>
      </c>
      <c r="P143" s="40">
        <v>27058.0</v>
      </c>
      <c r="Q143" s="42" t="s">
        <v>1312</v>
      </c>
    </row>
    <row r="144">
      <c r="A144" s="49" t="s">
        <v>171</v>
      </c>
      <c r="B144" s="42" t="s">
        <v>1313</v>
      </c>
      <c r="C144" s="40">
        <v>593.0</v>
      </c>
      <c r="D144" s="42" t="s">
        <v>503</v>
      </c>
      <c r="E144" s="40">
        <v>549.0</v>
      </c>
      <c r="F144" s="42" t="s">
        <v>503</v>
      </c>
      <c r="G144" s="40">
        <v>445.0</v>
      </c>
      <c r="H144" s="42" t="s">
        <v>503</v>
      </c>
      <c r="I144" s="48"/>
      <c r="J144" s="49" t="s">
        <v>171</v>
      </c>
      <c r="K144" s="42" t="s">
        <v>1314</v>
      </c>
      <c r="L144" s="40">
        <v>593.0</v>
      </c>
      <c r="M144" s="42" t="s">
        <v>1315</v>
      </c>
      <c r="N144" s="40">
        <v>549.0</v>
      </c>
      <c r="O144" s="42" t="s">
        <v>491</v>
      </c>
      <c r="P144" s="40">
        <v>445.0</v>
      </c>
      <c r="Q144" s="42" t="s">
        <v>491</v>
      </c>
    </row>
    <row r="145">
      <c r="A145" s="49" t="s">
        <v>172</v>
      </c>
      <c r="B145" s="42" t="s">
        <v>1316</v>
      </c>
      <c r="C145" s="40">
        <v>71215.0</v>
      </c>
      <c r="D145" s="42" t="s">
        <v>1317</v>
      </c>
      <c r="E145" s="40">
        <v>68460.0</v>
      </c>
      <c r="F145" s="42" t="s">
        <v>1318</v>
      </c>
      <c r="G145" s="40">
        <v>70411.0</v>
      </c>
      <c r="H145" s="42" t="s">
        <v>1319</v>
      </c>
      <c r="I145" s="48"/>
      <c r="J145" s="49" t="s">
        <v>172</v>
      </c>
      <c r="K145" s="42" t="s">
        <v>1320</v>
      </c>
      <c r="L145" s="40">
        <v>71215.0</v>
      </c>
      <c r="M145" s="42" t="s">
        <v>1321</v>
      </c>
      <c r="N145" s="40">
        <v>68460.0</v>
      </c>
      <c r="O145" s="42" t="s">
        <v>1322</v>
      </c>
      <c r="P145" s="40">
        <v>70411.0</v>
      </c>
      <c r="Q145" s="42" t="s">
        <v>1323</v>
      </c>
    </row>
    <row r="146">
      <c r="A146" s="49" t="s">
        <v>173</v>
      </c>
      <c r="B146" s="42" t="s">
        <v>1324</v>
      </c>
      <c r="C146" s="40">
        <v>100623.0</v>
      </c>
      <c r="D146" s="42" t="s">
        <v>1325</v>
      </c>
      <c r="E146" s="40">
        <v>108170.0</v>
      </c>
      <c r="F146" s="42" t="s">
        <v>1326</v>
      </c>
      <c r="G146" s="40">
        <v>105223.0</v>
      </c>
      <c r="H146" s="42" t="s">
        <v>1327</v>
      </c>
      <c r="I146" s="48"/>
      <c r="J146" s="49" t="s">
        <v>173</v>
      </c>
      <c r="K146" s="42" t="s">
        <v>1328</v>
      </c>
      <c r="L146" s="40">
        <v>100623.0</v>
      </c>
      <c r="M146" s="42" t="s">
        <v>1329</v>
      </c>
      <c r="N146" s="40">
        <v>108170.0</v>
      </c>
      <c r="O146" s="42" t="s">
        <v>1330</v>
      </c>
      <c r="P146" s="40">
        <v>105223.0</v>
      </c>
      <c r="Q146" s="42" t="s">
        <v>1331</v>
      </c>
    </row>
    <row r="147">
      <c r="A147" s="49" t="s">
        <v>174</v>
      </c>
      <c r="B147" s="42" t="s">
        <v>1332</v>
      </c>
      <c r="C147" s="40">
        <v>12911.0</v>
      </c>
      <c r="D147" s="42" t="s">
        <v>1333</v>
      </c>
      <c r="E147" s="40">
        <v>11769.0</v>
      </c>
      <c r="F147" s="42" t="s">
        <v>1082</v>
      </c>
      <c r="G147" s="40">
        <v>12389.0</v>
      </c>
      <c r="H147" s="42" t="s">
        <v>1334</v>
      </c>
      <c r="I147" s="48"/>
      <c r="J147" s="49" t="s">
        <v>174</v>
      </c>
      <c r="K147" s="42" t="s">
        <v>1335</v>
      </c>
      <c r="L147" s="40">
        <v>12911.0</v>
      </c>
      <c r="M147" s="42" t="s">
        <v>1336</v>
      </c>
      <c r="N147" s="40">
        <v>11769.0</v>
      </c>
      <c r="O147" s="42" t="s">
        <v>1337</v>
      </c>
      <c r="P147" s="40">
        <v>12389.0</v>
      </c>
      <c r="Q147" s="42" t="s">
        <v>1338</v>
      </c>
    </row>
    <row r="148">
      <c r="A148" s="49" t="s">
        <v>175</v>
      </c>
      <c r="B148" s="42" t="s">
        <v>1339</v>
      </c>
      <c r="C148" s="40">
        <v>60203.0</v>
      </c>
      <c r="D148" s="42" t="s">
        <v>1340</v>
      </c>
      <c r="E148" s="40">
        <v>58653.0</v>
      </c>
      <c r="F148" s="42" t="s">
        <v>1341</v>
      </c>
      <c r="G148" s="40">
        <v>56553.0</v>
      </c>
      <c r="H148" s="42" t="s">
        <v>1342</v>
      </c>
      <c r="I148" s="48"/>
      <c r="J148" s="49" t="s">
        <v>175</v>
      </c>
      <c r="K148" s="42" t="s">
        <v>1343</v>
      </c>
      <c r="L148" s="40">
        <v>60203.0</v>
      </c>
      <c r="M148" s="42" t="s">
        <v>1344</v>
      </c>
      <c r="N148" s="40">
        <v>58653.0</v>
      </c>
      <c r="O148" s="42" t="s">
        <v>1345</v>
      </c>
      <c r="P148" s="40">
        <v>56553.0</v>
      </c>
      <c r="Q148" s="42" t="s">
        <v>1346</v>
      </c>
    </row>
    <row r="149">
      <c r="A149" s="49" t="s">
        <v>176</v>
      </c>
      <c r="B149" s="42" t="s">
        <v>1347</v>
      </c>
      <c r="C149" s="40">
        <v>43595.0</v>
      </c>
      <c r="D149" s="42" t="s">
        <v>1348</v>
      </c>
      <c r="E149" s="40">
        <v>46305.0</v>
      </c>
      <c r="F149" s="42" t="s">
        <v>1349</v>
      </c>
      <c r="G149" s="40">
        <v>43257.0</v>
      </c>
      <c r="H149" s="42" t="s">
        <v>1350</v>
      </c>
      <c r="I149" s="48"/>
      <c r="J149" s="49" t="s">
        <v>176</v>
      </c>
      <c r="K149" s="42" t="s">
        <v>1351</v>
      </c>
      <c r="L149" s="40">
        <v>43595.0</v>
      </c>
      <c r="M149" s="42" t="s">
        <v>1352</v>
      </c>
      <c r="N149" s="40">
        <v>46305.0</v>
      </c>
      <c r="O149" s="42" t="s">
        <v>1353</v>
      </c>
      <c r="P149" s="40">
        <v>43257.0</v>
      </c>
      <c r="Q149" s="42" t="s">
        <v>1354</v>
      </c>
    </row>
    <row r="150">
      <c r="A150" s="49" t="s">
        <v>177</v>
      </c>
      <c r="B150" s="42" t="s">
        <v>1355</v>
      </c>
      <c r="C150" s="40">
        <v>642370.0</v>
      </c>
      <c r="D150" s="42" t="s">
        <v>1356</v>
      </c>
      <c r="E150" s="40">
        <v>704992.0</v>
      </c>
      <c r="F150" s="42" t="s">
        <v>1357</v>
      </c>
      <c r="G150" s="40">
        <v>673792.0</v>
      </c>
      <c r="H150" s="42" t="s">
        <v>1358</v>
      </c>
      <c r="I150" s="48"/>
      <c r="J150" s="49" t="s">
        <v>177</v>
      </c>
      <c r="K150" s="42" t="s">
        <v>1359</v>
      </c>
      <c r="L150" s="40">
        <v>642370.0</v>
      </c>
      <c r="M150" s="42" t="s">
        <v>1360</v>
      </c>
      <c r="N150" s="40">
        <v>704992.0</v>
      </c>
      <c r="O150" s="42" t="s">
        <v>1361</v>
      </c>
      <c r="P150" s="40">
        <v>673792.0</v>
      </c>
      <c r="Q150" s="42" t="s">
        <v>1362</v>
      </c>
    </row>
    <row r="151">
      <c r="A151" s="49" t="s">
        <v>178</v>
      </c>
      <c r="B151" s="42" t="s">
        <v>1363</v>
      </c>
      <c r="C151" s="40">
        <v>662357.0</v>
      </c>
      <c r="D151" s="42" t="s">
        <v>1364</v>
      </c>
      <c r="E151" s="40">
        <v>650441.0</v>
      </c>
      <c r="F151" s="42" t="s">
        <v>1365</v>
      </c>
      <c r="G151" s="40">
        <v>693852.0</v>
      </c>
      <c r="H151" s="42" t="s">
        <v>1366</v>
      </c>
      <c r="I151" s="48"/>
      <c r="J151" s="49" t="s">
        <v>178</v>
      </c>
      <c r="K151" s="42" t="s">
        <v>1367</v>
      </c>
      <c r="L151" s="40">
        <v>662357.0</v>
      </c>
      <c r="M151" s="42" t="s">
        <v>1368</v>
      </c>
      <c r="N151" s="40">
        <v>650441.0</v>
      </c>
      <c r="O151" s="42" t="s">
        <v>1369</v>
      </c>
      <c r="P151" s="40">
        <v>693852.0</v>
      </c>
      <c r="Q151" s="42" t="s">
        <v>1370</v>
      </c>
    </row>
    <row r="152">
      <c r="A152" s="49" t="s">
        <v>179</v>
      </c>
      <c r="B152" s="42" t="s">
        <v>1371</v>
      </c>
      <c r="C152" s="40">
        <v>66083.0</v>
      </c>
      <c r="D152" s="42" t="s">
        <v>1372</v>
      </c>
      <c r="E152" s="40">
        <v>71217.0</v>
      </c>
      <c r="F152" s="42" t="s">
        <v>1373</v>
      </c>
      <c r="G152" s="40">
        <v>67877.0</v>
      </c>
      <c r="H152" s="42" t="s">
        <v>1374</v>
      </c>
      <c r="I152" s="48"/>
      <c r="J152" s="49" t="s">
        <v>179</v>
      </c>
      <c r="K152" s="42" t="s">
        <v>1375</v>
      </c>
      <c r="L152" s="40">
        <v>66083.0</v>
      </c>
      <c r="M152" s="42" t="s">
        <v>1376</v>
      </c>
      <c r="N152" s="40">
        <v>71217.0</v>
      </c>
      <c r="O152" s="42" t="s">
        <v>1377</v>
      </c>
      <c r="P152" s="40">
        <v>67877.0</v>
      </c>
      <c r="Q152" s="42" t="s">
        <v>1378</v>
      </c>
    </row>
    <row r="153">
      <c r="A153" s="49" t="s">
        <v>180</v>
      </c>
      <c r="B153" s="42" t="s">
        <v>1379</v>
      </c>
      <c r="C153" s="40">
        <v>4266.0</v>
      </c>
      <c r="D153" s="42" t="s">
        <v>524</v>
      </c>
      <c r="E153" s="40">
        <v>3967.0</v>
      </c>
      <c r="F153" s="42" t="s">
        <v>1380</v>
      </c>
      <c r="G153" s="40">
        <v>3746.0</v>
      </c>
      <c r="H153" s="42" t="s">
        <v>523</v>
      </c>
      <c r="I153" s="48"/>
      <c r="J153" s="49" t="s">
        <v>180</v>
      </c>
      <c r="K153" s="42" t="s">
        <v>1381</v>
      </c>
      <c r="L153" s="40">
        <v>4266.0</v>
      </c>
      <c r="M153" s="42" t="s">
        <v>1382</v>
      </c>
      <c r="N153" s="40">
        <v>3967.0</v>
      </c>
      <c r="O153" s="42" t="s">
        <v>1383</v>
      </c>
      <c r="P153" s="40">
        <v>3746.0</v>
      </c>
      <c r="Q153" s="42" t="s">
        <v>1383</v>
      </c>
    </row>
    <row r="154">
      <c r="A154" s="49" t="s">
        <v>181</v>
      </c>
      <c r="B154" s="42" t="s">
        <v>1384</v>
      </c>
      <c r="C154" s="40">
        <v>54670.0</v>
      </c>
      <c r="D154" s="42" t="s">
        <v>1385</v>
      </c>
      <c r="E154" s="40">
        <v>62573.0</v>
      </c>
      <c r="F154" s="42" t="s">
        <v>1386</v>
      </c>
      <c r="G154" s="40">
        <v>58824.0</v>
      </c>
      <c r="H154" s="42" t="s">
        <v>1387</v>
      </c>
      <c r="I154" s="48"/>
      <c r="J154" s="49" t="s">
        <v>181</v>
      </c>
      <c r="K154" s="42" t="s">
        <v>1388</v>
      </c>
      <c r="L154" s="40">
        <v>54670.0</v>
      </c>
      <c r="M154" s="42" t="s">
        <v>1389</v>
      </c>
      <c r="N154" s="40">
        <v>62573.0</v>
      </c>
      <c r="O154" s="42" t="s">
        <v>1390</v>
      </c>
      <c r="P154" s="40">
        <v>58824.0</v>
      </c>
      <c r="Q154" s="42" t="s">
        <v>1391</v>
      </c>
    </row>
    <row r="155">
      <c r="A155" s="49" t="s">
        <v>182</v>
      </c>
      <c r="B155" s="42" t="s">
        <v>1392</v>
      </c>
      <c r="C155" s="40">
        <v>175781.0</v>
      </c>
      <c r="D155" s="42" t="s">
        <v>1393</v>
      </c>
      <c r="E155" s="40">
        <v>199346.0</v>
      </c>
      <c r="F155" s="42" t="s">
        <v>1394</v>
      </c>
      <c r="G155" s="40">
        <v>212024.0</v>
      </c>
      <c r="H155" s="42" t="s">
        <v>1395</v>
      </c>
      <c r="I155" s="48"/>
      <c r="J155" s="49" t="s">
        <v>182</v>
      </c>
      <c r="K155" s="42" t="s">
        <v>1396</v>
      </c>
      <c r="L155" s="40">
        <v>175781.0</v>
      </c>
      <c r="M155" s="42" t="s">
        <v>1397</v>
      </c>
      <c r="N155" s="40">
        <v>199346.0</v>
      </c>
      <c r="O155" s="42" t="s">
        <v>1398</v>
      </c>
      <c r="P155" s="40">
        <v>212024.0</v>
      </c>
      <c r="Q155" s="42" t="s">
        <v>1399</v>
      </c>
    </row>
    <row r="156">
      <c r="A156" s="49" t="s">
        <v>183</v>
      </c>
      <c r="B156" s="42" t="s">
        <v>1400</v>
      </c>
      <c r="C156" s="40">
        <v>375394.0</v>
      </c>
      <c r="D156" s="42" t="s">
        <v>1401</v>
      </c>
      <c r="E156" s="40">
        <v>382694.0</v>
      </c>
      <c r="F156" s="42" t="s">
        <v>1402</v>
      </c>
      <c r="G156" s="40">
        <v>345527.0</v>
      </c>
      <c r="H156" s="42" t="s">
        <v>1403</v>
      </c>
      <c r="I156" s="48"/>
      <c r="J156" s="49" t="s">
        <v>183</v>
      </c>
      <c r="K156" s="42" t="s">
        <v>1404</v>
      </c>
      <c r="L156" s="40">
        <v>375394.0</v>
      </c>
      <c r="M156" s="42" t="s">
        <v>1405</v>
      </c>
      <c r="N156" s="40">
        <v>382694.0</v>
      </c>
      <c r="O156" s="42" t="s">
        <v>1406</v>
      </c>
      <c r="P156" s="40">
        <v>345527.0</v>
      </c>
      <c r="Q156" s="42" t="s">
        <v>1407</v>
      </c>
    </row>
    <row r="157">
      <c r="A157" s="49" t="s">
        <v>184</v>
      </c>
      <c r="B157" s="42" t="s">
        <v>1408</v>
      </c>
      <c r="C157" s="40">
        <v>6876.0</v>
      </c>
      <c r="D157" s="42" t="s">
        <v>1409</v>
      </c>
      <c r="E157" s="40">
        <v>6607.0</v>
      </c>
      <c r="F157" s="42" t="s">
        <v>1410</v>
      </c>
      <c r="G157" s="40">
        <v>6949.0</v>
      </c>
      <c r="H157" s="42" t="s">
        <v>1245</v>
      </c>
      <c r="I157" s="48"/>
      <c r="J157" s="49" t="s">
        <v>184</v>
      </c>
      <c r="K157" s="42" t="s">
        <v>1411</v>
      </c>
      <c r="L157" s="40">
        <v>6876.0</v>
      </c>
      <c r="M157" s="42" t="s">
        <v>1412</v>
      </c>
      <c r="N157" s="40">
        <v>6607.0</v>
      </c>
      <c r="O157" s="42" t="s">
        <v>883</v>
      </c>
      <c r="P157" s="40">
        <v>6949.0</v>
      </c>
      <c r="Q157" s="42" t="s">
        <v>1412</v>
      </c>
    </row>
    <row r="158">
      <c r="A158" s="49" t="s">
        <v>185</v>
      </c>
      <c r="B158" s="42" t="s">
        <v>1413</v>
      </c>
      <c r="C158" s="40">
        <v>3956.0</v>
      </c>
      <c r="D158" s="42" t="s">
        <v>1125</v>
      </c>
      <c r="E158" s="40">
        <v>3312.0</v>
      </c>
      <c r="F158" s="42" t="s">
        <v>1414</v>
      </c>
      <c r="G158" s="40">
        <v>3374.0</v>
      </c>
      <c r="H158" s="42" t="s">
        <v>1415</v>
      </c>
      <c r="I158" s="48"/>
      <c r="J158" s="49" t="s">
        <v>185</v>
      </c>
      <c r="K158" s="42" t="s">
        <v>1416</v>
      </c>
      <c r="L158" s="40">
        <v>3956.0</v>
      </c>
      <c r="M158" s="42" t="s">
        <v>1417</v>
      </c>
      <c r="N158" s="40">
        <v>3312.0</v>
      </c>
      <c r="O158" s="42" t="s">
        <v>1418</v>
      </c>
      <c r="P158" s="40">
        <v>3374.0</v>
      </c>
      <c r="Q158" s="42" t="s">
        <v>1418</v>
      </c>
    </row>
    <row r="159">
      <c r="A159" s="49" t="s">
        <v>186</v>
      </c>
      <c r="B159" s="42" t="s">
        <v>1419</v>
      </c>
      <c r="C159" s="40">
        <v>374.0</v>
      </c>
      <c r="D159" s="42" t="s">
        <v>478</v>
      </c>
      <c r="E159" s="40">
        <v>385.0</v>
      </c>
      <c r="F159" s="42" t="s">
        <v>477</v>
      </c>
      <c r="G159" s="40">
        <v>424.0</v>
      </c>
      <c r="H159" s="42" t="s">
        <v>477</v>
      </c>
      <c r="I159" s="48"/>
      <c r="J159" s="49" t="s">
        <v>186</v>
      </c>
      <c r="K159" s="42" t="s">
        <v>1420</v>
      </c>
      <c r="L159" s="40">
        <v>374.0</v>
      </c>
      <c r="M159" s="42" t="s">
        <v>512</v>
      </c>
      <c r="N159" s="40">
        <v>385.0</v>
      </c>
      <c r="O159" s="42" t="s">
        <v>512</v>
      </c>
      <c r="P159" s="40">
        <v>424.0</v>
      </c>
      <c r="Q159" s="42" t="s">
        <v>512</v>
      </c>
    </row>
    <row r="160">
      <c r="A160" s="49" t="s">
        <v>187</v>
      </c>
      <c r="B160" s="42" t="s">
        <v>1421</v>
      </c>
      <c r="C160" s="40">
        <v>181581.0</v>
      </c>
      <c r="D160" s="42" t="s">
        <v>1422</v>
      </c>
      <c r="E160" s="40">
        <v>173775.0</v>
      </c>
      <c r="F160" s="42" t="s">
        <v>1423</v>
      </c>
      <c r="G160" s="40">
        <v>164705.0</v>
      </c>
      <c r="H160" s="42" t="s">
        <v>1424</v>
      </c>
      <c r="I160" s="48"/>
      <c r="J160" s="49" t="s">
        <v>187</v>
      </c>
      <c r="K160" s="42" t="s">
        <v>1425</v>
      </c>
      <c r="L160" s="40">
        <v>181581.0</v>
      </c>
      <c r="M160" s="42" t="s">
        <v>1426</v>
      </c>
      <c r="N160" s="40">
        <v>173775.0</v>
      </c>
      <c r="O160" s="42" t="s">
        <v>1427</v>
      </c>
      <c r="P160" s="40">
        <v>164705.0</v>
      </c>
      <c r="Q160" s="42" t="s">
        <v>1428</v>
      </c>
    </row>
    <row r="161">
      <c r="A161" s="49" t="s">
        <v>188</v>
      </c>
      <c r="B161" s="42" t="s">
        <v>1429</v>
      </c>
      <c r="C161" s="40">
        <v>52654.0</v>
      </c>
      <c r="D161" s="42" t="s">
        <v>1430</v>
      </c>
      <c r="E161" s="40">
        <v>53956.0</v>
      </c>
      <c r="F161" s="42" t="s">
        <v>1431</v>
      </c>
      <c r="G161" s="40">
        <v>51561.0</v>
      </c>
      <c r="H161" s="42" t="s">
        <v>1432</v>
      </c>
      <c r="I161" s="48"/>
      <c r="J161" s="49" t="s">
        <v>188</v>
      </c>
      <c r="K161" s="42" t="s">
        <v>1433</v>
      </c>
      <c r="L161" s="40">
        <v>52654.0</v>
      </c>
      <c r="M161" s="42" t="s">
        <v>1434</v>
      </c>
      <c r="N161" s="40">
        <v>53956.0</v>
      </c>
      <c r="O161" s="42" t="s">
        <v>1435</v>
      </c>
      <c r="P161" s="40">
        <v>51561.0</v>
      </c>
      <c r="Q161" s="42" t="s">
        <v>1436</v>
      </c>
    </row>
    <row r="162">
      <c r="A162" s="49" t="s">
        <v>189</v>
      </c>
      <c r="B162" s="42" t="s">
        <v>1437</v>
      </c>
      <c r="C162" s="40">
        <v>85019.0</v>
      </c>
      <c r="D162" s="42" t="s">
        <v>1438</v>
      </c>
      <c r="E162" s="40">
        <v>87353.0</v>
      </c>
      <c r="F162" s="42" t="s">
        <v>1439</v>
      </c>
      <c r="G162" s="40">
        <v>83122.0</v>
      </c>
      <c r="H162" s="42" t="s">
        <v>1440</v>
      </c>
      <c r="I162" s="48"/>
      <c r="J162" s="49" t="s">
        <v>189</v>
      </c>
      <c r="K162" s="42" t="s">
        <v>1441</v>
      </c>
      <c r="L162" s="40">
        <v>85019.0</v>
      </c>
      <c r="M162" s="42" t="s">
        <v>1442</v>
      </c>
      <c r="N162" s="40">
        <v>87353.0</v>
      </c>
      <c r="O162" s="42" t="s">
        <v>1443</v>
      </c>
      <c r="P162" s="40">
        <v>83122.0</v>
      </c>
      <c r="Q162" s="42" t="s">
        <v>1444</v>
      </c>
    </row>
    <row r="163">
      <c r="A163" s="49" t="s">
        <v>190</v>
      </c>
      <c r="B163" s="42" t="s">
        <v>1445</v>
      </c>
      <c r="C163" s="40">
        <v>206.0</v>
      </c>
      <c r="D163" s="42" t="s">
        <v>503</v>
      </c>
      <c r="E163" s="40">
        <v>248.0</v>
      </c>
      <c r="F163" s="42" t="s">
        <v>503</v>
      </c>
      <c r="G163" s="40">
        <v>240.0</v>
      </c>
      <c r="H163" s="42" t="s">
        <v>503</v>
      </c>
      <c r="I163" s="48"/>
      <c r="J163" s="49" t="s">
        <v>190</v>
      </c>
      <c r="K163" s="42" t="s">
        <v>1446</v>
      </c>
      <c r="L163" s="40">
        <v>206.0</v>
      </c>
      <c r="M163" s="42" t="s">
        <v>503</v>
      </c>
      <c r="N163" s="40">
        <v>248.0</v>
      </c>
      <c r="O163" s="42" t="s">
        <v>503</v>
      </c>
      <c r="P163" s="40">
        <v>240.0</v>
      </c>
      <c r="Q163" s="42" t="s">
        <v>503</v>
      </c>
    </row>
    <row r="164">
      <c r="A164" s="49" t="s">
        <v>191</v>
      </c>
      <c r="B164" s="42" t="s">
        <v>1447</v>
      </c>
      <c r="C164" s="40">
        <v>322576.0</v>
      </c>
      <c r="D164" s="42" t="s">
        <v>1448</v>
      </c>
      <c r="E164" s="40">
        <v>343214.0</v>
      </c>
      <c r="F164" s="42" t="s">
        <v>1449</v>
      </c>
      <c r="G164" s="40">
        <v>321537.0</v>
      </c>
      <c r="H164" s="42" t="s">
        <v>1450</v>
      </c>
      <c r="I164" s="48"/>
      <c r="J164" s="49" t="s">
        <v>191</v>
      </c>
      <c r="K164" s="42" t="s">
        <v>1451</v>
      </c>
      <c r="L164" s="40">
        <v>322576.0</v>
      </c>
      <c r="M164" s="42" t="s">
        <v>1452</v>
      </c>
      <c r="N164" s="40">
        <v>343214.0</v>
      </c>
      <c r="O164" s="42" t="s">
        <v>1453</v>
      </c>
      <c r="P164" s="40">
        <v>321537.0</v>
      </c>
      <c r="Q164" s="42" t="s">
        <v>1454</v>
      </c>
    </row>
    <row r="165">
      <c r="A165" s="49" t="s">
        <v>192</v>
      </c>
      <c r="B165" s="42" t="s">
        <v>1455</v>
      </c>
      <c r="C165" s="40">
        <v>95030.0</v>
      </c>
      <c r="D165" s="42" t="s">
        <v>1456</v>
      </c>
      <c r="E165" s="40">
        <v>104118.0</v>
      </c>
      <c r="F165" s="42" t="s">
        <v>1457</v>
      </c>
      <c r="G165" s="40">
        <v>105873.0</v>
      </c>
      <c r="H165" s="42" t="s">
        <v>1458</v>
      </c>
      <c r="I165" s="48"/>
      <c r="J165" s="49" t="s">
        <v>192</v>
      </c>
      <c r="K165" s="42" t="s">
        <v>1459</v>
      </c>
      <c r="L165" s="40">
        <v>95030.0</v>
      </c>
      <c r="M165" s="42" t="s">
        <v>1460</v>
      </c>
      <c r="N165" s="40">
        <v>104118.0</v>
      </c>
      <c r="O165" s="42" t="s">
        <v>1461</v>
      </c>
      <c r="P165" s="40">
        <v>105873.0</v>
      </c>
      <c r="Q165" s="42" t="s">
        <v>1462</v>
      </c>
    </row>
    <row r="166">
      <c r="A166" s="49" t="s">
        <v>193</v>
      </c>
      <c r="B166" s="42" t="s">
        <v>1463</v>
      </c>
      <c r="C166" s="40">
        <v>76790.0</v>
      </c>
      <c r="D166" s="42" t="s">
        <v>1464</v>
      </c>
      <c r="E166" s="40">
        <v>76665.0</v>
      </c>
      <c r="F166" s="42" t="s">
        <v>1464</v>
      </c>
      <c r="G166" s="40">
        <v>82107.0</v>
      </c>
      <c r="H166" s="42" t="s">
        <v>1465</v>
      </c>
      <c r="I166" s="48"/>
      <c r="J166" s="49" t="s">
        <v>193</v>
      </c>
      <c r="K166" s="42" t="s">
        <v>1466</v>
      </c>
      <c r="L166" s="40">
        <v>76790.0</v>
      </c>
      <c r="M166" s="42" t="s">
        <v>1467</v>
      </c>
      <c r="N166" s="40">
        <v>76665.0</v>
      </c>
      <c r="O166" s="42" t="s">
        <v>1468</v>
      </c>
      <c r="P166" s="40">
        <v>82107.0</v>
      </c>
      <c r="Q166" s="42" t="s">
        <v>1469</v>
      </c>
    </row>
    <row r="167">
      <c r="A167" s="49" t="s">
        <v>194</v>
      </c>
      <c r="B167" s="42" t="s">
        <v>1470</v>
      </c>
      <c r="C167" s="40">
        <v>684337.0</v>
      </c>
      <c r="D167" s="42" t="s">
        <v>1471</v>
      </c>
      <c r="E167" s="40">
        <v>729648.0</v>
      </c>
      <c r="F167" s="42" t="s">
        <v>1472</v>
      </c>
      <c r="G167" s="40">
        <v>733238.0</v>
      </c>
      <c r="H167" s="42" t="s">
        <v>1473</v>
      </c>
      <c r="I167" s="48"/>
      <c r="J167" s="49" t="s">
        <v>194</v>
      </c>
      <c r="K167" s="42" t="s">
        <v>1474</v>
      </c>
      <c r="L167" s="40">
        <v>684337.0</v>
      </c>
      <c r="M167" s="42" t="s">
        <v>1475</v>
      </c>
      <c r="N167" s="40">
        <v>729648.0</v>
      </c>
      <c r="O167" s="42" t="s">
        <v>1476</v>
      </c>
      <c r="P167" s="40">
        <v>733238.0</v>
      </c>
      <c r="Q167" s="42" t="s">
        <v>1477</v>
      </c>
    </row>
    <row r="168">
      <c r="A168" s="49" t="s">
        <v>195</v>
      </c>
      <c r="B168" s="42" t="s">
        <v>1478</v>
      </c>
      <c r="C168" s="40">
        <v>255179.0</v>
      </c>
      <c r="D168" s="42" t="s">
        <v>1479</v>
      </c>
      <c r="E168" s="40">
        <v>250165.0</v>
      </c>
      <c r="F168" s="42" t="s">
        <v>1480</v>
      </c>
      <c r="G168" s="40">
        <v>242645.0</v>
      </c>
      <c r="H168" s="42" t="s">
        <v>1481</v>
      </c>
      <c r="I168" s="48"/>
      <c r="J168" s="49" t="s">
        <v>195</v>
      </c>
      <c r="K168" s="42" t="s">
        <v>1482</v>
      </c>
      <c r="L168" s="40">
        <v>255179.0</v>
      </c>
      <c r="M168" s="42" t="s">
        <v>1483</v>
      </c>
      <c r="N168" s="40">
        <v>250165.0</v>
      </c>
      <c r="O168" s="42" t="s">
        <v>1484</v>
      </c>
      <c r="P168" s="40">
        <v>242645.0</v>
      </c>
      <c r="Q168" s="42" t="s">
        <v>1485</v>
      </c>
    </row>
    <row r="169">
      <c r="A169" s="49" t="s">
        <v>196</v>
      </c>
      <c r="B169" s="42" t="s">
        <v>1486</v>
      </c>
      <c r="C169" s="40">
        <v>263105.0</v>
      </c>
      <c r="D169" s="42" t="s">
        <v>1487</v>
      </c>
      <c r="E169" s="40">
        <v>249964.0</v>
      </c>
      <c r="F169" s="42" t="s">
        <v>1488</v>
      </c>
      <c r="G169" s="40">
        <v>227692.0</v>
      </c>
      <c r="H169" s="42" t="s">
        <v>1489</v>
      </c>
      <c r="I169" s="48"/>
      <c r="J169" s="49" t="s">
        <v>196</v>
      </c>
      <c r="K169" s="42" t="s">
        <v>1490</v>
      </c>
      <c r="L169" s="40">
        <v>263105.0</v>
      </c>
      <c r="M169" s="42" t="s">
        <v>1491</v>
      </c>
      <c r="N169" s="40">
        <v>249964.0</v>
      </c>
      <c r="O169" s="42" t="s">
        <v>1492</v>
      </c>
      <c r="P169" s="40">
        <v>227692.0</v>
      </c>
      <c r="Q169" s="42" t="s">
        <v>1493</v>
      </c>
    </row>
    <row r="170">
      <c r="A170" s="49" t="s">
        <v>197</v>
      </c>
      <c r="B170" s="42" t="s">
        <v>1494</v>
      </c>
      <c r="C170" s="40">
        <v>518547.0</v>
      </c>
      <c r="D170" s="42" t="s">
        <v>1495</v>
      </c>
      <c r="E170" s="40">
        <v>487330.0</v>
      </c>
      <c r="F170" s="42" t="s">
        <v>1496</v>
      </c>
      <c r="G170" s="40">
        <v>454338.0</v>
      </c>
      <c r="H170" s="42" t="s">
        <v>1497</v>
      </c>
      <c r="I170" s="48"/>
      <c r="J170" s="49" t="s">
        <v>197</v>
      </c>
      <c r="K170" s="42" t="s">
        <v>1498</v>
      </c>
      <c r="L170" s="40">
        <v>518547.0</v>
      </c>
      <c r="M170" s="42" t="s">
        <v>1499</v>
      </c>
      <c r="N170" s="40">
        <v>487330.0</v>
      </c>
      <c r="O170" s="42" t="s">
        <v>1500</v>
      </c>
      <c r="P170" s="40">
        <v>454338.0</v>
      </c>
      <c r="Q170" s="42" t="s">
        <v>1501</v>
      </c>
    </row>
    <row r="171">
      <c r="A171" s="49" t="s">
        <v>198</v>
      </c>
      <c r="B171" s="42" t="s">
        <v>1502</v>
      </c>
      <c r="C171" s="40">
        <v>1042.0</v>
      </c>
      <c r="D171" s="42" t="s">
        <v>539</v>
      </c>
      <c r="E171" s="40">
        <v>911.0</v>
      </c>
      <c r="F171" s="42" t="s">
        <v>539</v>
      </c>
      <c r="G171" s="40">
        <v>821.0</v>
      </c>
      <c r="H171" s="42" t="s">
        <v>480</v>
      </c>
      <c r="I171" s="48"/>
      <c r="J171" s="49" t="s">
        <v>198</v>
      </c>
      <c r="K171" s="42" t="s">
        <v>1503</v>
      </c>
      <c r="L171" s="40">
        <v>1042.0</v>
      </c>
      <c r="M171" s="42" t="s">
        <v>1504</v>
      </c>
      <c r="N171" s="40">
        <v>911.0</v>
      </c>
      <c r="O171" s="42" t="s">
        <v>1505</v>
      </c>
      <c r="P171" s="40">
        <v>821.0</v>
      </c>
      <c r="Q171" s="42" t="s">
        <v>491</v>
      </c>
    </row>
    <row r="172">
      <c r="A172" s="49" t="s">
        <v>199</v>
      </c>
      <c r="B172" s="42" t="s">
        <v>1506</v>
      </c>
      <c r="C172" s="40">
        <v>4192.0</v>
      </c>
      <c r="D172" s="42" t="s">
        <v>542</v>
      </c>
      <c r="E172" s="40">
        <v>4029.0</v>
      </c>
      <c r="F172" s="42" t="s">
        <v>542</v>
      </c>
      <c r="G172" s="40">
        <v>3794.0</v>
      </c>
      <c r="H172" s="42" t="s">
        <v>1507</v>
      </c>
      <c r="I172" s="48"/>
      <c r="J172" s="49" t="s">
        <v>199</v>
      </c>
      <c r="K172" s="42" t="s">
        <v>1508</v>
      </c>
      <c r="L172" s="40">
        <v>4192.0</v>
      </c>
      <c r="M172" s="42" t="s">
        <v>1509</v>
      </c>
      <c r="N172" s="40">
        <v>4029.0</v>
      </c>
      <c r="O172" s="42" t="s">
        <v>1510</v>
      </c>
      <c r="P172" s="40">
        <v>3794.0</v>
      </c>
      <c r="Q172" s="42" t="s">
        <v>1129</v>
      </c>
    </row>
    <row r="173">
      <c r="A173" s="49" t="s">
        <v>200</v>
      </c>
      <c r="B173" s="42" t="s">
        <v>1511</v>
      </c>
      <c r="C173" s="40">
        <v>2997.0</v>
      </c>
      <c r="D173" s="42" t="s">
        <v>491</v>
      </c>
      <c r="E173" s="40">
        <v>2723.0</v>
      </c>
      <c r="F173" s="42" t="s">
        <v>491</v>
      </c>
      <c r="G173" s="40">
        <v>2473.0</v>
      </c>
      <c r="H173" s="42" t="s">
        <v>491</v>
      </c>
      <c r="I173" s="48"/>
      <c r="J173" s="49" t="s">
        <v>200</v>
      </c>
      <c r="K173" s="42" t="s">
        <v>1512</v>
      </c>
      <c r="L173" s="40">
        <v>2997.0</v>
      </c>
      <c r="M173" s="42" t="s">
        <v>1513</v>
      </c>
      <c r="N173" s="40">
        <v>2723.0</v>
      </c>
      <c r="O173" s="42" t="s">
        <v>1514</v>
      </c>
      <c r="P173" s="40">
        <v>2473.0</v>
      </c>
      <c r="Q173" s="42" t="s">
        <v>1382</v>
      </c>
    </row>
    <row r="174">
      <c r="A174" s="49" t="s">
        <v>201</v>
      </c>
      <c r="B174" s="42" t="s">
        <v>1515</v>
      </c>
      <c r="C174" s="40">
        <v>7172.0</v>
      </c>
      <c r="D174" s="42" t="s">
        <v>548</v>
      </c>
      <c r="E174" s="40">
        <v>6442.0</v>
      </c>
      <c r="F174" s="42" t="s">
        <v>586</v>
      </c>
      <c r="G174" s="40">
        <v>5905.0</v>
      </c>
      <c r="H174" s="42" t="s">
        <v>1382</v>
      </c>
      <c r="I174" s="48"/>
      <c r="J174" s="49" t="s">
        <v>201</v>
      </c>
      <c r="K174" s="42" t="s">
        <v>1516</v>
      </c>
      <c r="L174" s="40">
        <v>7172.0</v>
      </c>
      <c r="M174" s="42" t="s">
        <v>1517</v>
      </c>
      <c r="N174" s="40">
        <v>6442.0</v>
      </c>
      <c r="O174" s="42" t="s">
        <v>1132</v>
      </c>
      <c r="P174" s="40">
        <v>5905.0</v>
      </c>
      <c r="Q174" s="42" t="s">
        <v>1518</v>
      </c>
    </row>
    <row r="175">
      <c r="A175" s="49" t="s">
        <v>202</v>
      </c>
      <c r="B175" s="42" t="s">
        <v>1519</v>
      </c>
      <c r="C175" s="40">
        <v>485.0</v>
      </c>
      <c r="D175" s="42" t="s">
        <v>477</v>
      </c>
      <c r="E175" s="40">
        <v>449.0</v>
      </c>
      <c r="F175" s="42" t="s">
        <v>477</v>
      </c>
      <c r="G175" s="40">
        <v>402.0</v>
      </c>
      <c r="H175" s="42" t="s">
        <v>477</v>
      </c>
      <c r="I175" s="48"/>
      <c r="J175" s="49" t="s">
        <v>202</v>
      </c>
      <c r="K175" s="42" t="s">
        <v>1520</v>
      </c>
      <c r="L175" s="40">
        <v>485.0</v>
      </c>
      <c r="M175" s="42" t="s">
        <v>539</v>
      </c>
      <c r="N175" s="40">
        <v>449.0</v>
      </c>
      <c r="O175" s="42" t="s">
        <v>480</v>
      </c>
      <c r="P175" s="40">
        <v>402.0</v>
      </c>
      <c r="Q175" s="42" t="s">
        <v>480</v>
      </c>
    </row>
    <row r="176">
      <c r="A176" s="49" t="s">
        <v>203</v>
      </c>
      <c r="B176" s="42" t="s">
        <v>1521</v>
      </c>
      <c r="C176" s="40">
        <v>88243.0</v>
      </c>
      <c r="D176" s="42" t="s">
        <v>1522</v>
      </c>
      <c r="E176" s="40">
        <v>78815.0</v>
      </c>
      <c r="F176" s="42" t="s">
        <v>1523</v>
      </c>
      <c r="G176" s="40">
        <v>67541.0</v>
      </c>
      <c r="H176" s="42" t="s">
        <v>1524</v>
      </c>
      <c r="I176" s="48"/>
      <c r="J176" s="49" t="s">
        <v>203</v>
      </c>
      <c r="K176" s="42" t="s">
        <v>1525</v>
      </c>
      <c r="L176" s="40">
        <v>88243.0</v>
      </c>
      <c r="M176" s="42" t="s">
        <v>1526</v>
      </c>
      <c r="N176" s="40">
        <v>78815.0</v>
      </c>
      <c r="O176" s="42" t="s">
        <v>1527</v>
      </c>
      <c r="P176" s="40">
        <v>67541.0</v>
      </c>
      <c r="Q176" s="42" t="s">
        <v>1528</v>
      </c>
    </row>
    <row r="177">
      <c r="A177" s="49" t="s">
        <v>204</v>
      </c>
      <c r="B177" s="42" t="s">
        <v>1529</v>
      </c>
      <c r="C177" s="40">
        <v>641.0</v>
      </c>
      <c r="D177" s="42" t="s">
        <v>503</v>
      </c>
      <c r="E177" s="40">
        <v>620.0</v>
      </c>
      <c r="F177" s="42" t="s">
        <v>503</v>
      </c>
      <c r="G177" s="40">
        <v>585.0</v>
      </c>
      <c r="H177" s="42" t="s">
        <v>503</v>
      </c>
      <c r="I177" s="48"/>
      <c r="J177" s="49" t="s">
        <v>204</v>
      </c>
      <c r="K177" s="42" t="s">
        <v>1530</v>
      </c>
      <c r="L177" s="40">
        <v>641.0</v>
      </c>
      <c r="M177" s="42" t="s">
        <v>616</v>
      </c>
      <c r="N177" s="40">
        <v>620.0</v>
      </c>
      <c r="O177" s="42" t="s">
        <v>1504</v>
      </c>
      <c r="P177" s="40">
        <v>585.0</v>
      </c>
      <c r="Q177" s="42" t="s">
        <v>1504</v>
      </c>
    </row>
    <row r="178">
      <c r="A178" s="49" t="s">
        <v>205</v>
      </c>
      <c r="B178" s="42" t="s">
        <v>1531</v>
      </c>
      <c r="C178" s="40">
        <v>186208.0</v>
      </c>
      <c r="D178" s="42" t="s">
        <v>1532</v>
      </c>
      <c r="E178" s="40">
        <v>174896.0</v>
      </c>
      <c r="F178" s="42" t="s">
        <v>1533</v>
      </c>
      <c r="G178" s="40">
        <v>164219.0</v>
      </c>
      <c r="H178" s="42" t="s">
        <v>1534</v>
      </c>
      <c r="I178" s="48"/>
      <c r="J178" s="49" t="s">
        <v>205</v>
      </c>
      <c r="K178" s="42" t="s">
        <v>1535</v>
      </c>
      <c r="L178" s="40">
        <v>186208.0</v>
      </c>
      <c r="M178" s="42" t="s">
        <v>1536</v>
      </c>
      <c r="N178" s="40">
        <v>174896.0</v>
      </c>
      <c r="O178" s="42" t="s">
        <v>1537</v>
      </c>
      <c r="P178" s="40">
        <v>164219.0</v>
      </c>
      <c r="Q178" s="42" t="s">
        <v>1538</v>
      </c>
    </row>
    <row r="179">
      <c r="A179" s="49" t="s">
        <v>206</v>
      </c>
      <c r="B179" s="42" t="s">
        <v>1539</v>
      </c>
      <c r="C179" s="40">
        <v>1226.0</v>
      </c>
      <c r="D179" s="42" t="s">
        <v>480</v>
      </c>
      <c r="E179" s="40">
        <v>1092.0</v>
      </c>
      <c r="F179" s="42" t="s">
        <v>480</v>
      </c>
      <c r="G179" s="40">
        <v>964.0</v>
      </c>
      <c r="H179" s="42" t="s">
        <v>480</v>
      </c>
      <c r="I179" s="48"/>
      <c r="J179" s="49" t="s">
        <v>206</v>
      </c>
      <c r="K179" s="42" t="s">
        <v>1540</v>
      </c>
      <c r="L179" s="40">
        <v>1226.0</v>
      </c>
      <c r="M179" s="42" t="s">
        <v>1504</v>
      </c>
      <c r="N179" s="40">
        <v>1092.0</v>
      </c>
      <c r="O179" s="42" t="s">
        <v>1541</v>
      </c>
      <c r="P179" s="40">
        <v>964.0</v>
      </c>
      <c r="Q179" s="42" t="s">
        <v>491</v>
      </c>
    </row>
    <row r="180">
      <c r="A180" s="49" t="s">
        <v>207</v>
      </c>
      <c r="B180" s="42" t="s">
        <v>1542</v>
      </c>
      <c r="C180" s="40">
        <v>15204.0</v>
      </c>
      <c r="D180" s="42" t="s">
        <v>1543</v>
      </c>
      <c r="E180" s="40">
        <v>14572.0</v>
      </c>
      <c r="F180" s="42" t="s">
        <v>532</v>
      </c>
      <c r="G180" s="40">
        <v>13695.0</v>
      </c>
      <c r="H180" s="42" t="s">
        <v>1082</v>
      </c>
      <c r="I180" s="48"/>
      <c r="J180" s="49" t="s">
        <v>207</v>
      </c>
      <c r="K180" s="42" t="s">
        <v>1544</v>
      </c>
      <c r="L180" s="40">
        <v>15204.0</v>
      </c>
      <c r="M180" s="42" t="s">
        <v>1545</v>
      </c>
      <c r="N180" s="40">
        <v>14572.0</v>
      </c>
      <c r="O180" s="42" t="s">
        <v>1546</v>
      </c>
      <c r="P180" s="40">
        <v>13695.0</v>
      </c>
      <c r="Q180" s="42" t="s">
        <v>1547</v>
      </c>
    </row>
    <row r="181">
      <c r="A181" s="49" t="s">
        <v>208</v>
      </c>
      <c r="B181" s="42" t="s">
        <v>1548</v>
      </c>
      <c r="C181" s="40">
        <v>245073.0</v>
      </c>
      <c r="D181" s="42" t="s">
        <v>1549</v>
      </c>
      <c r="E181" s="40">
        <v>237661.0</v>
      </c>
      <c r="F181" s="42" t="s">
        <v>1550</v>
      </c>
      <c r="G181" s="40">
        <v>227963.0</v>
      </c>
      <c r="H181" s="42" t="s">
        <v>1551</v>
      </c>
      <c r="I181" s="48"/>
      <c r="J181" s="49" t="s">
        <v>208</v>
      </c>
      <c r="K181" s="42" t="s">
        <v>1552</v>
      </c>
      <c r="L181" s="40">
        <v>245073.0</v>
      </c>
      <c r="M181" s="42" t="s">
        <v>1553</v>
      </c>
      <c r="N181" s="40">
        <v>237661.0</v>
      </c>
      <c r="O181" s="42" t="s">
        <v>1554</v>
      </c>
      <c r="P181" s="40">
        <v>227963.0</v>
      </c>
      <c r="Q181" s="42" t="s">
        <v>1555</v>
      </c>
    </row>
    <row r="182">
      <c r="A182" s="49" t="s">
        <v>209</v>
      </c>
      <c r="B182" s="42" t="s">
        <v>1556</v>
      </c>
      <c r="C182" s="40">
        <v>28905.0</v>
      </c>
      <c r="D182" s="42" t="s">
        <v>1557</v>
      </c>
      <c r="E182" s="40">
        <v>23111.0</v>
      </c>
      <c r="F182" s="42" t="s">
        <v>1558</v>
      </c>
      <c r="G182" s="40">
        <v>18517.0</v>
      </c>
      <c r="H182" s="42" t="s">
        <v>1559</v>
      </c>
      <c r="I182" s="48"/>
      <c r="J182" s="49" t="s">
        <v>209</v>
      </c>
      <c r="K182" s="42" t="s">
        <v>1560</v>
      </c>
      <c r="L182" s="40">
        <v>28905.0</v>
      </c>
      <c r="M182" s="42" t="s">
        <v>1561</v>
      </c>
      <c r="N182" s="40">
        <v>23111.0</v>
      </c>
      <c r="O182" s="42" t="s">
        <v>1562</v>
      </c>
      <c r="P182" s="40">
        <v>18517.0</v>
      </c>
      <c r="Q182" s="42" t="s">
        <v>1563</v>
      </c>
    </row>
    <row r="183">
      <c r="A183" s="49" t="s">
        <v>210</v>
      </c>
      <c r="B183" s="42" t="s">
        <v>1564</v>
      </c>
      <c r="C183" s="40">
        <v>18729.0</v>
      </c>
      <c r="D183" s="42" t="s">
        <v>1565</v>
      </c>
      <c r="E183" s="40">
        <v>15309.0</v>
      </c>
      <c r="F183" s="42" t="s">
        <v>1566</v>
      </c>
      <c r="G183" s="41">
        <v>10603.0</v>
      </c>
      <c r="H183" s="42" t="s">
        <v>1567</v>
      </c>
      <c r="I183" s="48"/>
      <c r="J183" s="49" t="s">
        <v>210</v>
      </c>
      <c r="K183" s="42" t="s">
        <v>1568</v>
      </c>
      <c r="L183" s="40">
        <v>18729.0</v>
      </c>
      <c r="M183" s="42" t="s">
        <v>1569</v>
      </c>
      <c r="N183" s="40">
        <v>15309.0</v>
      </c>
      <c r="O183" s="42" t="s">
        <v>1570</v>
      </c>
      <c r="P183" s="41">
        <v>10603.0</v>
      </c>
      <c r="Q183" s="42" t="s">
        <v>1571</v>
      </c>
    </row>
    <row r="184">
      <c r="A184" s="49" t="s">
        <v>211</v>
      </c>
      <c r="B184" s="42" t="s">
        <v>1572</v>
      </c>
      <c r="C184" s="40">
        <v>492.0</v>
      </c>
      <c r="D184" s="42" t="s">
        <v>477</v>
      </c>
      <c r="E184" s="40">
        <v>439.0</v>
      </c>
      <c r="F184" s="42" t="s">
        <v>477</v>
      </c>
      <c r="G184" s="40">
        <v>396.0</v>
      </c>
      <c r="H184" s="42" t="s">
        <v>478</v>
      </c>
      <c r="I184" s="48"/>
      <c r="J184" s="49" t="s">
        <v>211</v>
      </c>
      <c r="K184" s="42" t="s">
        <v>1573</v>
      </c>
      <c r="L184" s="40">
        <v>492.0</v>
      </c>
      <c r="M184" s="42" t="s">
        <v>480</v>
      </c>
      <c r="N184" s="40">
        <v>439.0</v>
      </c>
      <c r="O184" s="42" t="s">
        <v>503</v>
      </c>
      <c r="P184" s="40">
        <v>396.0</v>
      </c>
      <c r="Q184" s="42" t="s">
        <v>503</v>
      </c>
    </row>
    <row r="185">
      <c r="A185" s="49" t="s">
        <v>212</v>
      </c>
      <c r="B185" s="42" t="s">
        <v>1574</v>
      </c>
      <c r="C185" s="40">
        <v>1850.0</v>
      </c>
      <c r="D185" s="42" t="s">
        <v>480</v>
      </c>
      <c r="E185" s="40">
        <v>1554.0</v>
      </c>
      <c r="F185" s="42" t="s">
        <v>480</v>
      </c>
      <c r="G185" s="40">
        <v>1378.0</v>
      </c>
      <c r="H185" s="42" t="s">
        <v>480</v>
      </c>
      <c r="I185" s="48"/>
      <c r="J185" s="49" t="s">
        <v>212</v>
      </c>
      <c r="K185" s="42" t="s">
        <v>1575</v>
      </c>
      <c r="L185" s="40">
        <v>1850.0</v>
      </c>
      <c r="M185" s="42" t="s">
        <v>1576</v>
      </c>
      <c r="N185" s="40">
        <v>1554.0</v>
      </c>
      <c r="O185" s="42" t="s">
        <v>1507</v>
      </c>
      <c r="P185" s="40">
        <v>1378.0</v>
      </c>
      <c r="Q185" s="42" t="s">
        <v>616</v>
      </c>
    </row>
    <row r="186">
      <c r="A186" s="49" t="s">
        <v>213</v>
      </c>
      <c r="B186" s="42" t="s">
        <v>1577</v>
      </c>
      <c r="C186" s="40">
        <v>1093.0</v>
      </c>
      <c r="D186" s="42" t="s">
        <v>480</v>
      </c>
      <c r="E186" s="40">
        <v>1048.0</v>
      </c>
      <c r="F186" s="42" t="s">
        <v>480</v>
      </c>
      <c r="G186" s="40">
        <v>941.0</v>
      </c>
      <c r="H186" s="42" t="s">
        <v>503</v>
      </c>
      <c r="I186" s="48"/>
      <c r="J186" s="49" t="s">
        <v>213</v>
      </c>
      <c r="K186" s="42" t="s">
        <v>1578</v>
      </c>
      <c r="L186" s="40">
        <v>1093.0</v>
      </c>
      <c r="M186" s="42" t="s">
        <v>1315</v>
      </c>
      <c r="N186" s="40">
        <v>1048.0</v>
      </c>
      <c r="O186" s="42" t="s">
        <v>491</v>
      </c>
      <c r="P186" s="40">
        <v>941.0</v>
      </c>
      <c r="Q186" s="42" t="s">
        <v>491</v>
      </c>
    </row>
    <row r="187">
      <c r="A187" s="49" t="s">
        <v>214</v>
      </c>
      <c r="B187" s="42" t="s">
        <v>1579</v>
      </c>
      <c r="C187" s="40">
        <v>10577.0</v>
      </c>
      <c r="D187" s="42" t="s">
        <v>1132</v>
      </c>
      <c r="E187" s="40">
        <v>10056.0</v>
      </c>
      <c r="F187" s="42" t="s">
        <v>1580</v>
      </c>
      <c r="G187" s="40">
        <v>9374.0</v>
      </c>
      <c r="H187" s="42" t="s">
        <v>1581</v>
      </c>
      <c r="I187" s="48"/>
      <c r="J187" s="49" t="s">
        <v>214</v>
      </c>
      <c r="K187" s="42" t="s">
        <v>1582</v>
      </c>
      <c r="L187" s="40">
        <v>10577.0</v>
      </c>
      <c r="M187" s="42" t="s">
        <v>1583</v>
      </c>
      <c r="N187" s="40">
        <v>10056.0</v>
      </c>
      <c r="O187" s="42" t="s">
        <v>1584</v>
      </c>
      <c r="P187" s="40">
        <v>9374.0</v>
      </c>
      <c r="Q187" s="42" t="s">
        <v>1585</v>
      </c>
    </row>
    <row r="188">
      <c r="A188" s="49" t="s">
        <v>215</v>
      </c>
      <c r="B188" s="42" t="s">
        <v>1586</v>
      </c>
      <c r="C188" s="40">
        <v>14311.0</v>
      </c>
      <c r="D188" s="42" t="s">
        <v>1587</v>
      </c>
      <c r="E188" s="40">
        <v>13182.0</v>
      </c>
      <c r="F188" s="42" t="s">
        <v>1588</v>
      </c>
      <c r="G188" s="40">
        <v>11769.0</v>
      </c>
      <c r="H188" s="42" t="s">
        <v>1518</v>
      </c>
      <c r="I188" s="48"/>
      <c r="J188" s="49" t="s">
        <v>215</v>
      </c>
      <c r="K188" s="42" t="s">
        <v>1589</v>
      </c>
      <c r="L188" s="40">
        <v>14311.0</v>
      </c>
      <c r="M188" s="42" t="s">
        <v>1590</v>
      </c>
      <c r="N188" s="40">
        <v>13182.0</v>
      </c>
      <c r="O188" s="42" t="s">
        <v>1591</v>
      </c>
      <c r="P188" s="40">
        <v>11769.0</v>
      </c>
      <c r="Q188" s="42" t="s">
        <v>1592</v>
      </c>
    </row>
    <row r="189">
      <c r="A189" s="49" t="s">
        <v>216</v>
      </c>
      <c r="B189" s="42" t="s">
        <v>1593</v>
      </c>
      <c r="C189" s="40">
        <v>866.0</v>
      </c>
      <c r="D189" s="42" t="s">
        <v>503</v>
      </c>
      <c r="E189" s="40">
        <v>793.0</v>
      </c>
      <c r="F189" s="42" t="s">
        <v>503</v>
      </c>
      <c r="G189" s="40">
        <v>756.0</v>
      </c>
      <c r="H189" s="42" t="s">
        <v>503</v>
      </c>
      <c r="I189" s="48"/>
      <c r="J189" s="49" t="s">
        <v>216</v>
      </c>
      <c r="K189" s="42" t="s">
        <v>1594</v>
      </c>
      <c r="L189" s="40">
        <v>866.0</v>
      </c>
      <c r="M189" s="42" t="s">
        <v>1504</v>
      </c>
      <c r="N189" s="40">
        <v>793.0</v>
      </c>
      <c r="O189" s="42" t="s">
        <v>491</v>
      </c>
      <c r="P189" s="40">
        <v>756.0</v>
      </c>
      <c r="Q189" s="42" t="s">
        <v>491</v>
      </c>
    </row>
    <row r="190">
      <c r="A190" s="49" t="s">
        <v>217</v>
      </c>
      <c r="B190" s="42" t="s">
        <v>1595</v>
      </c>
      <c r="C190" s="40">
        <v>658002.0</v>
      </c>
      <c r="D190" s="42" t="s">
        <v>1596</v>
      </c>
      <c r="E190" s="40">
        <v>590838.0</v>
      </c>
      <c r="F190" s="42" t="s">
        <v>1597</v>
      </c>
      <c r="G190" s="40">
        <v>544719.0</v>
      </c>
      <c r="H190" s="42" t="s">
        <v>1598</v>
      </c>
      <c r="I190" s="48"/>
      <c r="J190" s="49" t="s">
        <v>217</v>
      </c>
      <c r="K190" s="42" t="s">
        <v>1599</v>
      </c>
      <c r="L190" s="40">
        <v>658002.0</v>
      </c>
      <c r="M190" s="42" t="s">
        <v>1600</v>
      </c>
      <c r="N190" s="40">
        <v>590838.0</v>
      </c>
      <c r="O190" s="42" t="s">
        <v>1601</v>
      </c>
      <c r="P190" s="40">
        <v>544719.0</v>
      </c>
      <c r="Q190" s="42" t="s">
        <v>1602</v>
      </c>
    </row>
    <row r="191">
      <c r="A191" s="49" t="s">
        <v>218</v>
      </c>
      <c r="B191" s="42" t="s">
        <v>1603</v>
      </c>
      <c r="C191" s="40">
        <v>48850.0</v>
      </c>
      <c r="D191" s="42" t="s">
        <v>1604</v>
      </c>
      <c r="E191" s="40">
        <v>46493.0</v>
      </c>
      <c r="F191" s="42" t="s">
        <v>1605</v>
      </c>
      <c r="G191" s="40">
        <v>41140.0</v>
      </c>
      <c r="H191" s="42" t="s">
        <v>1606</v>
      </c>
      <c r="I191" s="48"/>
      <c r="J191" s="49" t="s">
        <v>218</v>
      </c>
      <c r="K191" s="42" t="s">
        <v>1607</v>
      </c>
      <c r="L191" s="40">
        <v>48850.0</v>
      </c>
      <c r="M191" s="42" t="s">
        <v>1608</v>
      </c>
      <c r="N191" s="40">
        <v>46493.0</v>
      </c>
      <c r="O191" s="42" t="s">
        <v>1609</v>
      </c>
      <c r="P191" s="40">
        <v>41140.0</v>
      </c>
      <c r="Q191" s="42" t="s">
        <v>1610</v>
      </c>
    </row>
    <row r="192">
      <c r="A192" s="49" t="s">
        <v>219</v>
      </c>
      <c r="B192" s="42" t="s">
        <v>1611</v>
      </c>
      <c r="C192" s="40">
        <v>92679.0</v>
      </c>
      <c r="D192" s="42" t="s">
        <v>1612</v>
      </c>
      <c r="E192" s="40">
        <v>80801.0</v>
      </c>
      <c r="F192" s="42" t="s">
        <v>1613</v>
      </c>
      <c r="G192" s="40">
        <v>71552.0</v>
      </c>
      <c r="H192" s="42" t="s">
        <v>1614</v>
      </c>
      <c r="I192" s="48"/>
      <c r="J192" s="49" t="s">
        <v>219</v>
      </c>
      <c r="K192" s="42" t="s">
        <v>1615</v>
      </c>
      <c r="L192" s="40">
        <v>92679.0</v>
      </c>
      <c r="M192" s="42" t="s">
        <v>1616</v>
      </c>
      <c r="N192" s="40">
        <v>80801.0</v>
      </c>
      <c r="O192" s="42" t="s">
        <v>1617</v>
      </c>
      <c r="P192" s="40">
        <v>71552.0</v>
      </c>
      <c r="Q192" s="42" t="s">
        <v>1618</v>
      </c>
    </row>
    <row r="193">
      <c r="A193" s="49" t="s">
        <v>220</v>
      </c>
      <c r="B193" s="42" t="s">
        <v>1619</v>
      </c>
      <c r="C193" s="40">
        <v>375398.0</v>
      </c>
      <c r="D193" s="42" t="s">
        <v>1620</v>
      </c>
      <c r="E193" s="40">
        <v>366037.0</v>
      </c>
      <c r="F193" s="42" t="s">
        <v>1621</v>
      </c>
      <c r="G193" s="40">
        <v>341076.0</v>
      </c>
      <c r="H193" s="42" t="s">
        <v>1622</v>
      </c>
      <c r="I193" s="48"/>
      <c r="J193" s="49" t="s">
        <v>220</v>
      </c>
      <c r="K193" s="42" t="s">
        <v>1623</v>
      </c>
      <c r="L193" s="40">
        <v>375398.0</v>
      </c>
      <c r="M193" s="42" t="s">
        <v>1624</v>
      </c>
      <c r="N193" s="40">
        <v>366037.0</v>
      </c>
      <c r="O193" s="42" t="s">
        <v>1625</v>
      </c>
      <c r="P193" s="40">
        <v>341076.0</v>
      </c>
      <c r="Q193" s="42" t="s">
        <v>1626</v>
      </c>
    </row>
    <row r="194">
      <c r="A194" s="49" t="s">
        <v>221</v>
      </c>
      <c r="B194" s="42" t="s">
        <v>1627</v>
      </c>
      <c r="C194" s="40">
        <v>230094.0</v>
      </c>
      <c r="D194" s="42" t="s">
        <v>1628</v>
      </c>
      <c r="E194" s="40">
        <v>222229.0</v>
      </c>
      <c r="F194" s="42" t="s">
        <v>1629</v>
      </c>
      <c r="G194" s="40">
        <v>216687.0</v>
      </c>
      <c r="H194" s="42" t="s">
        <v>1630</v>
      </c>
      <c r="I194" s="48"/>
      <c r="J194" s="49" t="s">
        <v>221</v>
      </c>
      <c r="K194" s="42" t="s">
        <v>1631</v>
      </c>
      <c r="L194" s="40">
        <v>230094.0</v>
      </c>
      <c r="M194" s="42" t="s">
        <v>1632</v>
      </c>
      <c r="N194" s="40">
        <v>222229.0</v>
      </c>
      <c r="O194" s="42" t="s">
        <v>1633</v>
      </c>
      <c r="P194" s="40">
        <v>216687.0</v>
      </c>
      <c r="Q194" s="42" t="s">
        <v>1634</v>
      </c>
    </row>
    <row r="195">
      <c r="A195" s="49" t="s">
        <v>222</v>
      </c>
      <c r="B195" s="42" t="s">
        <v>1635</v>
      </c>
      <c r="C195" s="40">
        <v>1923511.0</v>
      </c>
      <c r="D195" s="42" t="s">
        <v>1636</v>
      </c>
      <c r="E195" s="40">
        <v>1801273.0</v>
      </c>
      <c r="F195" s="42" t="s">
        <v>1637</v>
      </c>
      <c r="G195" s="40">
        <v>1641339.0</v>
      </c>
      <c r="H195" s="42" t="s">
        <v>1638</v>
      </c>
      <c r="I195" s="48"/>
      <c r="J195" s="49" t="s">
        <v>222</v>
      </c>
      <c r="K195" s="42" t="s">
        <v>1639</v>
      </c>
      <c r="L195" s="40">
        <v>1923511.0</v>
      </c>
      <c r="M195" s="42" t="s">
        <v>1640</v>
      </c>
      <c r="N195" s="40">
        <v>1801273.0</v>
      </c>
      <c r="O195" s="42" t="s">
        <v>1641</v>
      </c>
      <c r="P195" s="40">
        <v>1641339.0</v>
      </c>
      <c r="Q195" s="42" t="s">
        <v>1642</v>
      </c>
    </row>
    <row r="196">
      <c r="A196" s="49" t="s">
        <v>223</v>
      </c>
      <c r="B196" s="42" t="s">
        <v>1643</v>
      </c>
      <c r="C196" s="40">
        <v>127571.0</v>
      </c>
      <c r="D196" s="42" t="s">
        <v>1644</v>
      </c>
      <c r="E196" s="40">
        <v>121488.0</v>
      </c>
      <c r="F196" s="42" t="s">
        <v>1645</v>
      </c>
      <c r="G196" s="40">
        <v>114069.0</v>
      </c>
      <c r="H196" s="42" t="s">
        <v>1646</v>
      </c>
      <c r="I196" s="48"/>
      <c r="J196" s="49" t="s">
        <v>223</v>
      </c>
      <c r="K196" s="42" t="s">
        <v>1647</v>
      </c>
      <c r="L196" s="40">
        <v>127571.0</v>
      </c>
      <c r="M196" s="42" t="s">
        <v>1648</v>
      </c>
      <c r="N196" s="40">
        <v>121488.0</v>
      </c>
      <c r="O196" s="42" t="s">
        <v>1649</v>
      </c>
      <c r="P196" s="40">
        <v>114069.0</v>
      </c>
      <c r="Q196" s="42" t="s">
        <v>1650</v>
      </c>
    </row>
    <row r="197">
      <c r="A197" s="49" t="s">
        <v>224</v>
      </c>
      <c r="B197" s="42" t="s">
        <v>1651</v>
      </c>
      <c r="C197" s="40">
        <v>70867.0</v>
      </c>
      <c r="D197" s="42" t="s">
        <v>1652</v>
      </c>
      <c r="E197" s="40">
        <v>70232.0</v>
      </c>
      <c r="F197" s="42" t="s">
        <v>1653</v>
      </c>
      <c r="G197" s="40">
        <v>66719.0</v>
      </c>
      <c r="H197" s="42" t="s">
        <v>1654</v>
      </c>
      <c r="I197" s="48"/>
      <c r="J197" s="49" t="s">
        <v>224</v>
      </c>
      <c r="K197" s="42" t="s">
        <v>1655</v>
      </c>
      <c r="L197" s="40">
        <v>70867.0</v>
      </c>
      <c r="M197" s="42" t="s">
        <v>1656</v>
      </c>
      <c r="N197" s="40">
        <v>70232.0</v>
      </c>
      <c r="O197" s="42" t="s">
        <v>1657</v>
      </c>
      <c r="P197" s="40">
        <v>66719.0</v>
      </c>
      <c r="Q197" s="42" t="s">
        <v>1658</v>
      </c>
    </row>
    <row r="198">
      <c r="A198" s="49" t="s">
        <v>225</v>
      </c>
      <c r="B198" s="42" t="s">
        <v>1659</v>
      </c>
      <c r="C198" s="40">
        <v>445167.0</v>
      </c>
      <c r="D198" s="42" t="s">
        <v>1660</v>
      </c>
      <c r="E198" s="40">
        <v>429328.0</v>
      </c>
      <c r="F198" s="42" t="s">
        <v>1661</v>
      </c>
      <c r="G198" s="40">
        <v>375504.0</v>
      </c>
      <c r="H198" s="42" t="s">
        <v>1662</v>
      </c>
      <c r="I198" s="48"/>
      <c r="J198" s="49" t="s">
        <v>225</v>
      </c>
      <c r="K198" s="42" t="s">
        <v>1663</v>
      </c>
      <c r="L198" s="40">
        <v>445167.0</v>
      </c>
      <c r="M198" s="42" t="s">
        <v>1664</v>
      </c>
      <c r="N198" s="40">
        <v>429328.0</v>
      </c>
      <c r="O198" s="42" t="s">
        <v>1665</v>
      </c>
      <c r="P198" s="40">
        <v>375504.0</v>
      </c>
      <c r="Q198" s="42" t="s">
        <v>1666</v>
      </c>
    </row>
    <row r="199">
      <c r="A199" s="49" t="s">
        <v>226</v>
      </c>
      <c r="B199" s="42" t="s">
        <v>1667</v>
      </c>
      <c r="C199" s="40">
        <v>2375021.0</v>
      </c>
      <c r="D199" s="42" t="s">
        <v>1668</v>
      </c>
      <c r="E199" s="40">
        <v>2194434.0</v>
      </c>
      <c r="F199" s="42" t="s">
        <v>1669</v>
      </c>
      <c r="G199" s="40">
        <v>1992670.0</v>
      </c>
      <c r="H199" s="42" t="s">
        <v>1670</v>
      </c>
      <c r="I199" s="48"/>
      <c r="J199" s="49" t="s">
        <v>226</v>
      </c>
      <c r="K199" s="42" t="s">
        <v>1671</v>
      </c>
      <c r="L199" s="40">
        <v>2375021.0</v>
      </c>
      <c r="M199" s="42" t="s">
        <v>1672</v>
      </c>
      <c r="N199" s="40">
        <v>2194434.0</v>
      </c>
      <c r="O199" s="42" t="s">
        <v>1673</v>
      </c>
      <c r="P199" s="40">
        <v>1992670.0</v>
      </c>
      <c r="Q199" s="42" t="s">
        <v>1674</v>
      </c>
    </row>
    <row r="200">
      <c r="A200" s="49" t="s">
        <v>227</v>
      </c>
      <c r="B200" s="42" t="s">
        <v>1675</v>
      </c>
      <c r="C200" s="40">
        <v>129718.0</v>
      </c>
      <c r="D200" s="42" t="s">
        <v>1676</v>
      </c>
      <c r="E200" s="40">
        <v>125576.0</v>
      </c>
      <c r="F200" s="42" t="s">
        <v>1677</v>
      </c>
      <c r="G200" s="40">
        <v>123089.0</v>
      </c>
      <c r="H200" s="42" t="s">
        <v>1678</v>
      </c>
      <c r="I200" s="48"/>
      <c r="J200" s="49" t="s">
        <v>227</v>
      </c>
      <c r="K200" s="42" t="s">
        <v>1679</v>
      </c>
      <c r="L200" s="40">
        <v>129718.0</v>
      </c>
      <c r="M200" s="42" t="s">
        <v>1680</v>
      </c>
      <c r="N200" s="40">
        <v>125576.0</v>
      </c>
      <c r="O200" s="42" t="s">
        <v>1681</v>
      </c>
      <c r="P200" s="40">
        <v>123089.0</v>
      </c>
      <c r="Q200" s="42" t="s">
        <v>1682</v>
      </c>
    </row>
    <row r="201">
      <c r="A201" s="50"/>
      <c r="B201" s="42"/>
      <c r="C201" s="42"/>
      <c r="D201" s="42"/>
      <c r="E201" s="42"/>
      <c r="F201" s="42"/>
      <c r="G201" s="42"/>
      <c r="H201" s="42"/>
      <c r="I201" s="48"/>
      <c r="J201" s="50"/>
      <c r="K201" s="42"/>
      <c r="L201" s="42"/>
      <c r="M201" s="42"/>
      <c r="N201" s="42"/>
      <c r="O201" s="42"/>
      <c r="P201" s="42"/>
      <c r="Q201" s="42"/>
    </row>
    <row r="202">
      <c r="A202" s="50"/>
      <c r="B202" s="42"/>
      <c r="C202" s="42"/>
      <c r="D202" s="42"/>
      <c r="E202" s="42"/>
      <c r="F202" s="42"/>
      <c r="G202" s="42"/>
      <c r="H202" s="42"/>
      <c r="I202" s="48"/>
      <c r="J202" s="50"/>
      <c r="K202" s="42"/>
      <c r="L202" s="42"/>
      <c r="M202" s="42"/>
      <c r="N202" s="42"/>
      <c r="O202" s="42"/>
      <c r="P202" s="42"/>
      <c r="Q202" s="42"/>
    </row>
    <row r="203">
      <c r="A203" s="50"/>
      <c r="B203" s="42"/>
      <c r="C203" s="42"/>
      <c r="D203" s="42"/>
      <c r="E203" s="42"/>
      <c r="F203" s="42"/>
      <c r="G203" s="42"/>
      <c r="H203" s="42"/>
      <c r="I203" s="48"/>
      <c r="J203" s="50"/>
      <c r="K203" s="42"/>
      <c r="L203" s="42"/>
      <c r="M203" s="42"/>
      <c r="N203" s="42"/>
      <c r="O203" s="42"/>
      <c r="P203" s="42"/>
      <c r="Q203" s="42"/>
    </row>
    <row r="204">
      <c r="A204" s="50"/>
      <c r="B204" s="42"/>
      <c r="C204" s="42"/>
      <c r="D204" s="42"/>
      <c r="E204" s="42"/>
      <c r="F204" s="42"/>
      <c r="G204" s="42"/>
      <c r="H204" s="42"/>
      <c r="I204" s="48"/>
      <c r="J204" s="50"/>
      <c r="K204" s="42"/>
      <c r="L204" s="42"/>
      <c r="M204" s="42"/>
      <c r="N204" s="42"/>
      <c r="O204" s="42"/>
      <c r="P204" s="42"/>
      <c r="Q204" s="42"/>
    </row>
    <row r="205">
      <c r="A205" s="50"/>
      <c r="B205" s="42"/>
      <c r="C205" s="42"/>
      <c r="D205" s="42"/>
      <c r="E205" s="42"/>
      <c r="F205" s="42"/>
      <c r="G205" s="42"/>
      <c r="H205" s="42"/>
      <c r="I205" s="48"/>
      <c r="J205" s="50"/>
      <c r="K205" s="42"/>
      <c r="L205" s="42"/>
      <c r="M205" s="42"/>
      <c r="N205" s="42"/>
      <c r="O205" s="42"/>
      <c r="P205" s="42"/>
      <c r="Q205" s="42"/>
    </row>
    <row r="206">
      <c r="A206" s="50"/>
      <c r="B206" s="42"/>
      <c r="C206" s="42"/>
      <c r="D206" s="42"/>
      <c r="E206" s="42"/>
      <c r="F206" s="42"/>
      <c r="G206" s="42"/>
      <c r="H206" s="42"/>
      <c r="I206" s="48"/>
      <c r="J206" s="50"/>
      <c r="K206" s="42"/>
      <c r="L206" s="42"/>
      <c r="M206" s="42"/>
      <c r="N206" s="42"/>
      <c r="O206" s="42"/>
      <c r="P206" s="42"/>
      <c r="Q206" s="42"/>
    </row>
    <row r="207">
      <c r="A207" s="50"/>
      <c r="B207" s="42"/>
      <c r="C207" s="42"/>
      <c r="D207" s="42"/>
      <c r="E207" s="42"/>
      <c r="F207" s="42"/>
      <c r="G207" s="42"/>
      <c r="H207" s="42"/>
      <c r="I207" s="48"/>
      <c r="J207" s="50"/>
      <c r="K207" s="42"/>
      <c r="L207" s="42"/>
      <c r="M207" s="42"/>
      <c r="N207" s="42"/>
      <c r="O207" s="42"/>
      <c r="P207" s="42"/>
      <c r="Q207" s="42"/>
    </row>
    <row r="208">
      <c r="A208" s="50"/>
      <c r="B208" s="42"/>
      <c r="C208" s="42"/>
      <c r="D208" s="42"/>
      <c r="E208" s="42"/>
      <c r="F208" s="42"/>
      <c r="G208" s="42"/>
      <c r="H208" s="42"/>
      <c r="I208" s="48"/>
      <c r="J208" s="50"/>
      <c r="K208" s="42"/>
      <c r="L208" s="42"/>
      <c r="M208" s="42"/>
      <c r="N208" s="42"/>
      <c r="O208" s="42"/>
      <c r="P208" s="42"/>
      <c r="Q208" s="42"/>
    </row>
    <row r="209">
      <c r="A209" s="50"/>
      <c r="B209" s="42"/>
      <c r="C209" s="42"/>
      <c r="D209" s="42"/>
      <c r="E209" s="42"/>
      <c r="F209" s="42"/>
      <c r="G209" s="42"/>
      <c r="H209" s="42"/>
      <c r="I209" s="48"/>
      <c r="J209" s="50"/>
      <c r="K209" s="42"/>
      <c r="L209" s="42"/>
      <c r="M209" s="42"/>
      <c r="N209" s="42"/>
      <c r="O209" s="42"/>
      <c r="P209" s="42"/>
      <c r="Q209" s="42"/>
    </row>
    <row r="210">
      <c r="A210" s="50"/>
      <c r="B210" s="42"/>
      <c r="C210" s="42"/>
      <c r="D210" s="42"/>
      <c r="E210" s="42"/>
      <c r="F210" s="42"/>
      <c r="G210" s="42"/>
      <c r="H210" s="42"/>
      <c r="I210" s="48"/>
      <c r="J210" s="50"/>
      <c r="K210" s="42"/>
      <c r="L210" s="42"/>
      <c r="M210" s="42"/>
      <c r="N210" s="42"/>
      <c r="O210" s="42"/>
      <c r="P210" s="42"/>
      <c r="Q210" s="42"/>
    </row>
    <row r="211">
      <c r="A211" s="50"/>
      <c r="B211" s="42"/>
      <c r="C211" s="42"/>
      <c r="D211" s="42"/>
      <c r="E211" s="42"/>
      <c r="F211" s="42"/>
      <c r="G211" s="42"/>
      <c r="H211" s="42"/>
      <c r="I211" s="48"/>
      <c r="J211" s="50"/>
      <c r="K211" s="42"/>
      <c r="L211" s="42"/>
      <c r="M211" s="42"/>
      <c r="N211" s="42"/>
      <c r="O211" s="42"/>
      <c r="P211" s="42"/>
      <c r="Q211" s="42"/>
    </row>
    <row r="212">
      <c r="A212" s="50"/>
      <c r="B212" s="42"/>
      <c r="C212" s="42"/>
      <c r="D212" s="42"/>
      <c r="E212" s="42"/>
      <c r="F212" s="42"/>
      <c r="G212" s="42"/>
      <c r="H212" s="42"/>
      <c r="I212" s="48"/>
      <c r="J212" s="50"/>
      <c r="K212" s="42"/>
      <c r="L212" s="42"/>
      <c r="M212" s="42"/>
      <c r="N212" s="42"/>
      <c r="O212" s="42"/>
      <c r="P212" s="42"/>
      <c r="Q212" s="42"/>
    </row>
    <row r="213">
      <c r="A213" s="50"/>
      <c r="B213" s="42"/>
      <c r="C213" s="42"/>
      <c r="D213" s="42"/>
      <c r="E213" s="42"/>
      <c r="F213" s="42"/>
      <c r="G213" s="42"/>
      <c r="H213" s="42"/>
      <c r="I213" s="48"/>
      <c r="J213" s="50"/>
      <c r="K213" s="42"/>
      <c r="L213" s="42"/>
      <c r="M213" s="42"/>
      <c r="N213" s="42"/>
      <c r="O213" s="42"/>
      <c r="P213" s="42"/>
      <c r="Q213" s="42"/>
    </row>
    <row r="214">
      <c r="A214" s="50"/>
      <c r="B214" s="42"/>
      <c r="C214" s="42"/>
      <c r="D214" s="42"/>
      <c r="E214" s="42"/>
      <c r="F214" s="42"/>
      <c r="G214" s="42"/>
      <c r="H214" s="42"/>
      <c r="I214" s="48"/>
      <c r="J214" s="50"/>
      <c r="K214" s="42"/>
      <c r="L214" s="42"/>
      <c r="M214" s="42"/>
      <c r="N214" s="42"/>
      <c r="O214" s="42"/>
      <c r="P214" s="42"/>
      <c r="Q214" s="42"/>
    </row>
    <row r="215">
      <c r="A215" s="50"/>
      <c r="B215" s="42"/>
      <c r="C215" s="42"/>
      <c r="D215" s="42"/>
      <c r="E215" s="42"/>
      <c r="F215" s="42"/>
      <c r="G215" s="42"/>
      <c r="H215" s="42"/>
      <c r="I215" s="48"/>
      <c r="J215" s="50"/>
      <c r="K215" s="42"/>
      <c r="L215" s="42"/>
      <c r="M215" s="42"/>
      <c r="N215" s="42"/>
      <c r="O215" s="42"/>
      <c r="P215" s="42"/>
      <c r="Q215" s="42"/>
    </row>
    <row r="216">
      <c r="A216" s="50"/>
      <c r="B216" s="42"/>
      <c r="C216" s="42"/>
      <c r="D216" s="42"/>
      <c r="E216" s="42"/>
      <c r="F216" s="42"/>
      <c r="G216" s="42"/>
      <c r="H216" s="42"/>
      <c r="I216" s="48"/>
      <c r="J216" s="50"/>
      <c r="K216" s="42"/>
      <c r="L216" s="42"/>
      <c r="M216" s="42"/>
      <c r="N216" s="42"/>
      <c r="O216" s="42"/>
      <c r="P216" s="42"/>
      <c r="Q216" s="42"/>
    </row>
    <row r="217">
      <c r="A217" s="50"/>
      <c r="B217" s="42"/>
      <c r="C217" s="42"/>
      <c r="D217" s="42"/>
      <c r="E217" s="42"/>
      <c r="F217" s="42"/>
      <c r="G217" s="42"/>
      <c r="H217" s="42"/>
      <c r="I217" s="48"/>
      <c r="J217" s="50"/>
      <c r="K217" s="42"/>
      <c r="L217" s="42"/>
      <c r="M217" s="42"/>
      <c r="N217" s="42"/>
      <c r="O217" s="42"/>
      <c r="P217" s="42"/>
      <c r="Q217" s="42"/>
    </row>
    <row r="218">
      <c r="A218" s="50"/>
      <c r="B218" s="42"/>
      <c r="C218" s="42"/>
      <c r="D218" s="42"/>
      <c r="E218" s="42"/>
      <c r="F218" s="42"/>
      <c r="G218" s="42"/>
      <c r="H218" s="42"/>
      <c r="I218" s="48"/>
      <c r="J218" s="50"/>
      <c r="K218" s="42"/>
      <c r="L218" s="42"/>
      <c r="M218" s="42"/>
      <c r="N218" s="42"/>
      <c r="O218" s="42"/>
      <c r="P218" s="42"/>
      <c r="Q218" s="42"/>
    </row>
    <row r="219">
      <c r="A219" s="50"/>
      <c r="B219" s="42"/>
      <c r="C219" s="42"/>
      <c r="D219" s="42"/>
      <c r="E219" s="42"/>
      <c r="F219" s="42"/>
      <c r="G219" s="42"/>
      <c r="H219" s="42"/>
      <c r="I219" s="48"/>
      <c r="J219" s="50"/>
      <c r="K219" s="42"/>
      <c r="L219" s="42"/>
      <c r="M219" s="42"/>
      <c r="N219" s="42"/>
      <c r="O219" s="42"/>
      <c r="P219" s="42"/>
      <c r="Q219" s="42"/>
    </row>
    <row r="220">
      <c r="A220" s="50"/>
      <c r="B220" s="42"/>
      <c r="C220" s="42"/>
      <c r="D220" s="42"/>
      <c r="E220" s="42"/>
      <c r="F220" s="42"/>
      <c r="G220" s="42"/>
      <c r="H220" s="42"/>
      <c r="I220" s="48"/>
      <c r="J220" s="50"/>
      <c r="K220" s="42"/>
      <c r="L220" s="42"/>
      <c r="M220" s="42"/>
      <c r="N220" s="42"/>
      <c r="O220" s="42"/>
      <c r="P220" s="42"/>
      <c r="Q220" s="42"/>
    </row>
    <row r="221">
      <c r="A221" s="50"/>
      <c r="B221" s="42"/>
      <c r="C221" s="42"/>
      <c r="D221" s="42"/>
      <c r="E221" s="42"/>
      <c r="F221" s="42"/>
      <c r="G221" s="42"/>
      <c r="H221" s="42"/>
      <c r="I221" s="48"/>
      <c r="J221" s="50"/>
      <c r="K221" s="42"/>
      <c r="L221" s="42"/>
      <c r="M221" s="42"/>
      <c r="N221" s="42"/>
      <c r="O221" s="42"/>
      <c r="P221" s="42"/>
      <c r="Q221" s="42"/>
    </row>
    <row r="222">
      <c r="A222" s="50"/>
      <c r="B222" s="42"/>
      <c r="C222" s="42"/>
      <c r="D222" s="42"/>
      <c r="E222" s="42"/>
      <c r="F222" s="42"/>
      <c r="G222" s="42"/>
      <c r="H222" s="42"/>
      <c r="I222" s="48"/>
      <c r="J222" s="50"/>
      <c r="K222" s="42"/>
      <c r="L222" s="42"/>
      <c r="M222" s="42"/>
      <c r="N222" s="42"/>
      <c r="O222" s="42"/>
      <c r="P222" s="42"/>
      <c r="Q222" s="42"/>
    </row>
    <row r="223">
      <c r="A223" s="50"/>
      <c r="B223" s="42"/>
      <c r="C223" s="42"/>
      <c r="D223" s="42"/>
      <c r="E223" s="42"/>
      <c r="F223" s="42"/>
      <c r="G223" s="42"/>
      <c r="H223" s="42"/>
      <c r="I223" s="48"/>
      <c r="J223" s="50"/>
      <c r="K223" s="42"/>
      <c r="L223" s="42"/>
      <c r="M223" s="42"/>
      <c r="N223" s="42"/>
      <c r="O223" s="42"/>
      <c r="P223" s="42"/>
      <c r="Q223" s="42"/>
    </row>
    <row r="224">
      <c r="A224" s="50"/>
      <c r="B224" s="42"/>
      <c r="C224" s="42"/>
      <c r="D224" s="42"/>
      <c r="E224" s="42"/>
      <c r="F224" s="42"/>
      <c r="G224" s="42"/>
      <c r="H224" s="42"/>
      <c r="I224" s="48"/>
      <c r="J224" s="50"/>
      <c r="K224" s="42"/>
      <c r="L224" s="42"/>
      <c r="M224" s="42"/>
      <c r="N224" s="42"/>
      <c r="O224" s="42"/>
      <c r="P224" s="42"/>
      <c r="Q224" s="42"/>
    </row>
    <row r="225">
      <c r="A225" s="50"/>
      <c r="B225" s="42"/>
      <c r="C225" s="42"/>
      <c r="D225" s="42"/>
      <c r="E225" s="42"/>
      <c r="F225" s="42"/>
      <c r="G225" s="42"/>
      <c r="H225" s="42"/>
      <c r="I225" s="48"/>
      <c r="J225" s="50"/>
      <c r="K225" s="42"/>
      <c r="L225" s="42"/>
      <c r="M225" s="42"/>
      <c r="N225" s="42"/>
      <c r="O225" s="42"/>
      <c r="P225" s="42"/>
      <c r="Q225" s="42"/>
    </row>
    <row r="226">
      <c r="A226" s="50"/>
      <c r="B226" s="42"/>
      <c r="C226" s="42"/>
      <c r="D226" s="42"/>
      <c r="E226" s="42"/>
      <c r="F226" s="42"/>
      <c r="G226" s="42"/>
      <c r="H226" s="42"/>
      <c r="I226" s="48"/>
      <c r="J226" s="50"/>
      <c r="K226" s="42"/>
      <c r="L226" s="42"/>
      <c r="M226" s="42"/>
      <c r="N226" s="42"/>
      <c r="O226" s="42"/>
      <c r="P226" s="42"/>
      <c r="Q226" s="42"/>
    </row>
    <row r="227">
      <c r="A227" s="50"/>
      <c r="B227" s="42"/>
      <c r="C227" s="42"/>
      <c r="D227" s="42"/>
      <c r="E227" s="42"/>
      <c r="F227" s="42"/>
      <c r="G227" s="42"/>
      <c r="H227" s="42"/>
      <c r="I227" s="48"/>
      <c r="J227" s="50"/>
      <c r="K227" s="42"/>
      <c r="L227" s="42"/>
      <c r="M227" s="42"/>
      <c r="N227" s="42"/>
      <c r="O227" s="42"/>
      <c r="P227" s="42"/>
      <c r="Q227" s="42"/>
    </row>
    <row r="228">
      <c r="A228" s="50"/>
      <c r="B228" s="42"/>
      <c r="C228" s="42"/>
      <c r="D228" s="42"/>
      <c r="E228" s="42"/>
      <c r="F228" s="42"/>
      <c r="G228" s="42"/>
      <c r="H228" s="42"/>
      <c r="I228" s="48"/>
      <c r="J228" s="50"/>
      <c r="K228" s="42"/>
      <c r="L228" s="42"/>
      <c r="M228" s="42"/>
      <c r="N228" s="42"/>
      <c r="O228" s="42"/>
      <c r="P228" s="42"/>
      <c r="Q228" s="42"/>
    </row>
    <row r="229">
      <c r="A229" s="50"/>
      <c r="B229" s="42"/>
      <c r="C229" s="42"/>
      <c r="D229" s="42"/>
      <c r="E229" s="42"/>
      <c r="F229" s="42"/>
      <c r="G229" s="42"/>
      <c r="H229" s="42"/>
      <c r="I229" s="48"/>
      <c r="J229" s="50"/>
      <c r="K229" s="42"/>
      <c r="L229" s="42"/>
      <c r="M229" s="42"/>
      <c r="N229" s="42"/>
      <c r="O229" s="42"/>
      <c r="P229" s="42"/>
      <c r="Q229" s="42"/>
    </row>
    <row r="230">
      <c r="A230" s="50"/>
      <c r="B230" s="42"/>
      <c r="C230" s="42"/>
      <c r="D230" s="42"/>
      <c r="E230" s="42"/>
      <c r="F230" s="42"/>
      <c r="G230" s="42"/>
      <c r="H230" s="42"/>
      <c r="I230" s="48"/>
      <c r="J230" s="50"/>
      <c r="K230" s="42"/>
      <c r="L230" s="42"/>
      <c r="M230" s="42"/>
      <c r="N230" s="42"/>
      <c r="O230" s="42"/>
      <c r="P230" s="42"/>
      <c r="Q230" s="42"/>
    </row>
    <row r="231">
      <c r="A231" s="50"/>
      <c r="B231" s="42"/>
      <c r="C231" s="42"/>
      <c r="D231" s="42"/>
      <c r="E231" s="42"/>
      <c r="F231" s="42"/>
      <c r="G231" s="42"/>
      <c r="H231" s="42"/>
      <c r="I231" s="48"/>
      <c r="J231" s="50"/>
      <c r="K231" s="42"/>
      <c r="L231" s="42"/>
      <c r="M231" s="42"/>
      <c r="N231" s="42"/>
      <c r="O231" s="42"/>
      <c r="P231" s="42"/>
      <c r="Q231" s="42"/>
    </row>
    <row r="232">
      <c r="A232" s="50"/>
      <c r="B232" s="42"/>
      <c r="C232" s="42"/>
      <c r="D232" s="42"/>
      <c r="E232" s="42"/>
      <c r="F232" s="42"/>
      <c r="G232" s="42"/>
      <c r="H232" s="42"/>
      <c r="I232" s="48"/>
      <c r="J232" s="50"/>
      <c r="K232" s="42"/>
      <c r="L232" s="42"/>
      <c r="M232" s="42"/>
      <c r="N232" s="42"/>
      <c r="O232" s="42"/>
      <c r="P232" s="42"/>
      <c r="Q232" s="42"/>
    </row>
    <row r="233">
      <c r="A233" s="50"/>
      <c r="B233" s="42"/>
      <c r="C233" s="42"/>
      <c r="D233" s="42"/>
      <c r="E233" s="42"/>
      <c r="F233" s="42"/>
      <c r="G233" s="42"/>
      <c r="H233" s="42"/>
      <c r="I233" s="48"/>
      <c r="J233" s="50"/>
      <c r="K233" s="42"/>
      <c r="L233" s="42"/>
      <c r="M233" s="42"/>
      <c r="N233" s="42"/>
      <c r="O233" s="42"/>
      <c r="P233" s="42"/>
      <c r="Q233" s="42"/>
    </row>
    <row r="234">
      <c r="A234" s="50"/>
      <c r="B234" s="42"/>
      <c r="C234" s="42"/>
      <c r="D234" s="42"/>
      <c r="E234" s="42"/>
      <c r="F234" s="42"/>
      <c r="G234" s="42"/>
      <c r="H234" s="42"/>
      <c r="I234" s="48"/>
      <c r="J234" s="50"/>
      <c r="K234" s="42"/>
      <c r="L234" s="42"/>
      <c r="M234" s="42"/>
      <c r="N234" s="42"/>
      <c r="O234" s="42"/>
      <c r="P234" s="42"/>
      <c r="Q234" s="42"/>
    </row>
    <row r="235">
      <c r="A235" s="50"/>
      <c r="B235" s="42"/>
      <c r="C235" s="42"/>
      <c r="D235" s="42"/>
      <c r="E235" s="42"/>
      <c r="F235" s="42"/>
      <c r="G235" s="42"/>
      <c r="H235" s="42"/>
      <c r="I235" s="48"/>
      <c r="J235" s="50"/>
      <c r="K235" s="42"/>
      <c r="L235" s="42"/>
      <c r="M235" s="42"/>
      <c r="N235" s="42"/>
      <c r="O235" s="42"/>
      <c r="P235" s="42"/>
      <c r="Q235" s="42"/>
    </row>
    <row r="236">
      <c r="A236" s="50"/>
      <c r="B236" s="42"/>
      <c r="C236" s="42"/>
      <c r="D236" s="42"/>
      <c r="E236" s="42"/>
      <c r="F236" s="42"/>
      <c r="G236" s="42"/>
      <c r="H236" s="42"/>
      <c r="I236" s="48"/>
      <c r="J236" s="50"/>
      <c r="K236" s="42"/>
      <c r="L236" s="42"/>
      <c r="M236" s="42"/>
      <c r="N236" s="42"/>
      <c r="O236" s="42"/>
      <c r="P236" s="42"/>
      <c r="Q236" s="42"/>
    </row>
    <row r="237">
      <c r="A237" s="50"/>
      <c r="B237" s="42"/>
      <c r="C237" s="42"/>
      <c r="D237" s="42"/>
      <c r="E237" s="42"/>
      <c r="F237" s="42"/>
      <c r="G237" s="42"/>
      <c r="H237" s="42"/>
      <c r="I237" s="48"/>
      <c r="J237" s="50"/>
      <c r="K237" s="42"/>
      <c r="L237" s="42"/>
      <c r="M237" s="42"/>
      <c r="N237" s="42"/>
      <c r="O237" s="42"/>
      <c r="P237" s="42"/>
      <c r="Q237" s="42"/>
    </row>
    <row r="238">
      <c r="A238" s="50"/>
      <c r="B238" s="42"/>
      <c r="C238" s="42"/>
      <c r="D238" s="42"/>
      <c r="E238" s="42"/>
      <c r="F238" s="42"/>
      <c r="G238" s="42"/>
      <c r="H238" s="42"/>
      <c r="I238" s="48"/>
      <c r="J238" s="50"/>
      <c r="K238" s="42"/>
      <c r="L238" s="42"/>
      <c r="M238" s="42"/>
      <c r="N238" s="42"/>
      <c r="O238" s="42"/>
      <c r="P238" s="42"/>
      <c r="Q238" s="42"/>
    </row>
    <row r="239">
      <c r="A239" s="50"/>
      <c r="B239" s="42"/>
      <c r="C239" s="42"/>
      <c r="D239" s="42"/>
      <c r="E239" s="42"/>
      <c r="F239" s="42"/>
      <c r="G239" s="42"/>
      <c r="H239" s="42"/>
      <c r="I239" s="48"/>
      <c r="J239" s="50"/>
      <c r="K239" s="42"/>
      <c r="L239" s="42"/>
      <c r="M239" s="42"/>
      <c r="N239" s="42"/>
      <c r="O239" s="42"/>
      <c r="P239" s="42"/>
      <c r="Q239" s="42"/>
    </row>
    <row r="240">
      <c r="A240" s="50"/>
      <c r="B240" s="42"/>
      <c r="C240" s="42"/>
      <c r="D240" s="42"/>
      <c r="E240" s="42"/>
      <c r="F240" s="42"/>
      <c r="G240" s="42"/>
      <c r="H240" s="42"/>
      <c r="I240" s="48"/>
      <c r="J240" s="50"/>
      <c r="K240" s="42"/>
      <c r="L240" s="42"/>
      <c r="M240" s="42"/>
      <c r="N240" s="42"/>
      <c r="O240" s="42"/>
      <c r="P240" s="42"/>
      <c r="Q240" s="42"/>
    </row>
    <row r="241">
      <c r="A241" s="50"/>
      <c r="B241" s="42"/>
      <c r="C241" s="42"/>
      <c r="D241" s="42"/>
      <c r="E241" s="42"/>
      <c r="F241" s="42"/>
      <c r="G241" s="42"/>
      <c r="H241" s="42"/>
      <c r="I241" s="48"/>
      <c r="J241" s="50"/>
      <c r="K241" s="42"/>
      <c r="L241" s="42"/>
      <c r="M241" s="42"/>
      <c r="N241" s="42"/>
      <c r="O241" s="42"/>
      <c r="P241" s="42"/>
      <c r="Q241" s="42"/>
    </row>
    <row r="242">
      <c r="A242" s="50"/>
      <c r="B242" s="42"/>
      <c r="C242" s="42"/>
      <c r="D242" s="42"/>
      <c r="E242" s="42"/>
      <c r="F242" s="42"/>
      <c r="G242" s="42"/>
      <c r="H242" s="42"/>
      <c r="I242" s="48"/>
      <c r="J242" s="50"/>
      <c r="K242" s="42"/>
      <c r="L242" s="42"/>
      <c r="M242" s="42"/>
      <c r="N242" s="42"/>
      <c r="O242" s="42"/>
      <c r="P242" s="42"/>
      <c r="Q242" s="42"/>
    </row>
    <row r="243">
      <c r="A243" s="50"/>
      <c r="B243" s="42"/>
      <c r="C243" s="42"/>
      <c r="D243" s="42"/>
      <c r="E243" s="42"/>
      <c r="F243" s="42"/>
      <c r="G243" s="42"/>
      <c r="H243" s="42"/>
      <c r="I243" s="48"/>
      <c r="J243" s="50"/>
      <c r="K243" s="42"/>
      <c r="L243" s="42"/>
      <c r="M243" s="42"/>
      <c r="N243" s="42"/>
      <c r="O243" s="42"/>
      <c r="P243" s="42"/>
      <c r="Q243" s="42"/>
    </row>
    <row r="244">
      <c r="A244" s="50"/>
      <c r="B244" s="42"/>
      <c r="C244" s="42"/>
      <c r="D244" s="42"/>
      <c r="E244" s="42"/>
      <c r="F244" s="42"/>
      <c r="G244" s="42"/>
      <c r="H244" s="42"/>
      <c r="I244" s="48"/>
      <c r="J244" s="50"/>
      <c r="K244" s="42"/>
      <c r="L244" s="42"/>
      <c r="M244" s="42"/>
      <c r="N244" s="42"/>
      <c r="O244" s="42"/>
      <c r="P244" s="42"/>
      <c r="Q244" s="42"/>
    </row>
    <row r="245">
      <c r="A245" s="50"/>
      <c r="B245" s="42"/>
      <c r="C245" s="42"/>
      <c r="D245" s="42"/>
      <c r="E245" s="42"/>
      <c r="F245" s="42"/>
      <c r="G245" s="42"/>
      <c r="H245" s="42"/>
      <c r="I245" s="48"/>
      <c r="J245" s="50"/>
      <c r="K245" s="42"/>
      <c r="L245" s="42"/>
      <c r="M245" s="42"/>
      <c r="N245" s="42"/>
      <c r="O245" s="42"/>
      <c r="P245" s="42"/>
      <c r="Q245" s="42"/>
    </row>
    <row r="246">
      <c r="A246" s="50"/>
      <c r="B246" s="42"/>
      <c r="C246" s="42"/>
      <c r="D246" s="42"/>
      <c r="E246" s="42"/>
      <c r="F246" s="42"/>
      <c r="G246" s="42"/>
      <c r="H246" s="42"/>
      <c r="I246" s="48"/>
      <c r="J246" s="50"/>
      <c r="K246" s="42"/>
      <c r="L246" s="42"/>
      <c r="M246" s="42"/>
      <c r="N246" s="42"/>
      <c r="O246" s="42"/>
      <c r="P246" s="42"/>
      <c r="Q246" s="42"/>
    </row>
    <row r="247">
      <c r="A247" s="50"/>
      <c r="B247" s="42"/>
      <c r="C247" s="42"/>
      <c r="D247" s="42"/>
      <c r="E247" s="42"/>
      <c r="F247" s="42"/>
      <c r="G247" s="42"/>
      <c r="H247" s="42"/>
      <c r="I247" s="48"/>
      <c r="J247" s="50"/>
      <c r="K247" s="42"/>
      <c r="L247" s="42"/>
      <c r="M247" s="42"/>
      <c r="N247" s="42"/>
      <c r="O247" s="42"/>
      <c r="P247" s="42"/>
      <c r="Q247" s="42"/>
    </row>
    <row r="248">
      <c r="A248" s="50"/>
      <c r="B248" s="42"/>
      <c r="C248" s="42"/>
      <c r="D248" s="42"/>
      <c r="E248" s="42"/>
      <c r="F248" s="42"/>
      <c r="G248" s="42"/>
      <c r="H248" s="42"/>
      <c r="I248" s="48"/>
      <c r="J248" s="50"/>
      <c r="K248" s="42"/>
      <c r="L248" s="42"/>
      <c r="M248" s="42"/>
      <c r="N248" s="42"/>
      <c r="O248" s="42"/>
      <c r="P248" s="42"/>
      <c r="Q248" s="42"/>
    </row>
    <row r="249">
      <c r="A249" s="50"/>
      <c r="B249" s="42"/>
      <c r="C249" s="42"/>
      <c r="D249" s="42"/>
      <c r="E249" s="42"/>
      <c r="F249" s="42"/>
      <c r="G249" s="42"/>
      <c r="H249" s="42"/>
      <c r="I249" s="48"/>
      <c r="J249" s="50"/>
      <c r="K249" s="42"/>
      <c r="L249" s="42"/>
      <c r="M249" s="42"/>
      <c r="N249" s="42"/>
      <c r="O249" s="42"/>
      <c r="P249" s="42"/>
      <c r="Q249" s="42"/>
    </row>
    <row r="250">
      <c r="A250" s="50"/>
      <c r="B250" s="42"/>
      <c r="C250" s="42"/>
      <c r="D250" s="42"/>
      <c r="E250" s="42"/>
      <c r="F250" s="42"/>
      <c r="G250" s="42"/>
      <c r="H250" s="42"/>
      <c r="I250" s="48"/>
      <c r="J250" s="50"/>
      <c r="K250" s="42"/>
      <c r="L250" s="42"/>
      <c r="M250" s="42"/>
      <c r="N250" s="42"/>
      <c r="O250" s="42"/>
      <c r="P250" s="42"/>
      <c r="Q250" s="42"/>
    </row>
    <row r="251">
      <c r="A251" s="50"/>
      <c r="B251" s="42"/>
      <c r="C251" s="42"/>
      <c r="D251" s="42"/>
      <c r="E251" s="42"/>
      <c r="F251" s="42"/>
      <c r="G251" s="42"/>
      <c r="H251" s="42"/>
      <c r="I251" s="48"/>
      <c r="J251" s="50"/>
      <c r="K251" s="42"/>
      <c r="L251" s="42"/>
      <c r="M251" s="42"/>
      <c r="N251" s="42"/>
      <c r="O251" s="42"/>
      <c r="P251" s="42"/>
      <c r="Q251" s="42"/>
    </row>
    <row r="252">
      <c r="A252" s="50"/>
      <c r="B252" s="42"/>
      <c r="C252" s="42"/>
      <c r="D252" s="42"/>
      <c r="E252" s="42"/>
      <c r="F252" s="42"/>
      <c r="G252" s="42"/>
      <c r="H252" s="42"/>
      <c r="I252" s="48"/>
      <c r="J252" s="50"/>
      <c r="K252" s="42"/>
      <c r="L252" s="42"/>
      <c r="M252" s="42"/>
      <c r="N252" s="42"/>
      <c r="O252" s="42"/>
      <c r="P252" s="42"/>
      <c r="Q252" s="42"/>
    </row>
    <row r="253">
      <c r="A253" s="50"/>
      <c r="B253" s="42"/>
      <c r="C253" s="42"/>
      <c r="D253" s="42"/>
      <c r="E253" s="42"/>
      <c r="F253" s="42"/>
      <c r="G253" s="42"/>
      <c r="H253" s="42"/>
      <c r="I253" s="48"/>
      <c r="J253" s="50"/>
      <c r="K253" s="42"/>
      <c r="L253" s="42"/>
      <c r="M253" s="42"/>
      <c r="N253" s="42"/>
      <c r="O253" s="42"/>
      <c r="P253" s="42"/>
      <c r="Q253" s="42"/>
    </row>
    <row r="254">
      <c r="A254" s="50"/>
      <c r="B254" s="42"/>
      <c r="C254" s="42"/>
      <c r="D254" s="42"/>
      <c r="E254" s="42"/>
      <c r="F254" s="42"/>
      <c r="G254" s="42"/>
      <c r="H254" s="42"/>
      <c r="I254" s="48"/>
      <c r="J254" s="50"/>
      <c r="K254" s="42"/>
      <c r="L254" s="42"/>
      <c r="M254" s="42"/>
      <c r="N254" s="42"/>
      <c r="O254" s="42"/>
      <c r="P254" s="42"/>
      <c r="Q254" s="42"/>
    </row>
    <row r="255">
      <c r="A255" s="50"/>
      <c r="B255" s="42"/>
      <c r="C255" s="42"/>
      <c r="D255" s="42"/>
      <c r="E255" s="42"/>
      <c r="F255" s="42"/>
      <c r="G255" s="42"/>
      <c r="H255" s="42"/>
      <c r="I255" s="48"/>
      <c r="J255" s="50"/>
      <c r="K255" s="42"/>
      <c r="L255" s="42"/>
      <c r="M255" s="42"/>
      <c r="N255" s="42"/>
      <c r="O255" s="42"/>
      <c r="P255" s="42"/>
      <c r="Q255" s="42"/>
    </row>
    <row r="256">
      <c r="A256" s="50"/>
      <c r="B256" s="42"/>
      <c r="C256" s="42"/>
      <c r="D256" s="42"/>
      <c r="E256" s="42"/>
      <c r="F256" s="42"/>
      <c r="G256" s="42"/>
      <c r="H256" s="42"/>
      <c r="I256" s="48"/>
      <c r="J256" s="50"/>
      <c r="K256" s="42"/>
      <c r="L256" s="42"/>
      <c r="M256" s="42"/>
      <c r="N256" s="42"/>
      <c r="O256" s="42"/>
      <c r="P256" s="42"/>
      <c r="Q256" s="42"/>
    </row>
    <row r="257">
      <c r="A257" s="50"/>
      <c r="B257" s="42"/>
      <c r="C257" s="42"/>
      <c r="D257" s="42"/>
      <c r="E257" s="42"/>
      <c r="F257" s="42"/>
      <c r="G257" s="42"/>
      <c r="H257" s="42"/>
      <c r="I257" s="48"/>
      <c r="J257" s="50"/>
      <c r="K257" s="42"/>
      <c r="L257" s="42"/>
      <c r="M257" s="42"/>
      <c r="N257" s="42"/>
      <c r="O257" s="42"/>
      <c r="P257" s="42"/>
      <c r="Q257" s="42"/>
    </row>
    <row r="258">
      <c r="A258" s="50"/>
      <c r="B258" s="42"/>
      <c r="C258" s="42"/>
      <c r="D258" s="42"/>
      <c r="E258" s="42"/>
      <c r="F258" s="42"/>
      <c r="G258" s="42"/>
      <c r="H258" s="42"/>
      <c r="I258" s="48"/>
      <c r="J258" s="50"/>
      <c r="K258" s="42"/>
      <c r="L258" s="42"/>
      <c r="M258" s="42"/>
      <c r="N258" s="42"/>
      <c r="O258" s="42"/>
      <c r="P258" s="42"/>
      <c r="Q258" s="42"/>
    </row>
    <row r="259">
      <c r="A259" s="50"/>
      <c r="B259" s="42"/>
      <c r="C259" s="42"/>
      <c r="D259" s="42"/>
      <c r="E259" s="42"/>
      <c r="F259" s="42"/>
      <c r="G259" s="42"/>
      <c r="H259" s="42"/>
      <c r="I259" s="48"/>
      <c r="J259" s="50"/>
      <c r="K259" s="42"/>
      <c r="L259" s="42"/>
      <c r="M259" s="42"/>
      <c r="N259" s="42"/>
      <c r="O259" s="42"/>
      <c r="P259" s="42"/>
      <c r="Q259" s="42"/>
    </row>
    <row r="260">
      <c r="A260" s="50"/>
      <c r="B260" s="42"/>
      <c r="C260" s="42"/>
      <c r="D260" s="42"/>
      <c r="E260" s="42"/>
      <c r="F260" s="42"/>
      <c r="G260" s="42"/>
      <c r="H260" s="42"/>
      <c r="I260" s="48"/>
      <c r="J260" s="50"/>
      <c r="K260" s="42"/>
      <c r="L260" s="42"/>
      <c r="M260" s="42"/>
      <c r="N260" s="42"/>
      <c r="O260" s="42"/>
      <c r="P260" s="42"/>
      <c r="Q260" s="42"/>
    </row>
    <row r="261">
      <c r="A261" s="50"/>
      <c r="B261" s="42"/>
      <c r="C261" s="42"/>
      <c r="D261" s="42"/>
      <c r="E261" s="42"/>
      <c r="F261" s="42"/>
      <c r="G261" s="42"/>
      <c r="H261" s="42"/>
      <c r="I261" s="48"/>
      <c r="J261" s="50"/>
      <c r="K261" s="42"/>
      <c r="L261" s="42"/>
      <c r="M261" s="42"/>
      <c r="N261" s="42"/>
      <c r="O261" s="42"/>
      <c r="P261" s="42"/>
      <c r="Q261" s="42"/>
    </row>
    <row r="262">
      <c r="A262" s="50"/>
      <c r="B262" s="42"/>
      <c r="C262" s="42"/>
      <c r="D262" s="42"/>
      <c r="E262" s="42"/>
      <c r="F262" s="42"/>
      <c r="G262" s="42"/>
      <c r="H262" s="42"/>
      <c r="I262" s="48"/>
      <c r="J262" s="50"/>
      <c r="K262" s="42"/>
      <c r="L262" s="42"/>
      <c r="M262" s="42"/>
      <c r="N262" s="42"/>
      <c r="O262" s="42"/>
      <c r="P262" s="42"/>
      <c r="Q262" s="42"/>
    </row>
    <row r="263">
      <c r="A263" s="50"/>
      <c r="B263" s="42"/>
      <c r="C263" s="42"/>
      <c r="D263" s="42"/>
      <c r="E263" s="42"/>
      <c r="F263" s="42"/>
      <c r="G263" s="42"/>
      <c r="H263" s="42"/>
      <c r="I263" s="48"/>
      <c r="J263" s="50"/>
      <c r="K263" s="42"/>
      <c r="L263" s="42"/>
      <c r="M263" s="42"/>
      <c r="N263" s="42"/>
      <c r="O263" s="42"/>
      <c r="P263" s="42"/>
      <c r="Q263" s="42"/>
    </row>
    <row r="264">
      <c r="A264" s="50"/>
      <c r="B264" s="42"/>
      <c r="C264" s="42"/>
      <c r="D264" s="42"/>
      <c r="E264" s="42"/>
      <c r="F264" s="42"/>
      <c r="G264" s="42"/>
      <c r="H264" s="42"/>
      <c r="I264" s="48"/>
      <c r="J264" s="50"/>
      <c r="K264" s="42"/>
      <c r="L264" s="42"/>
      <c r="M264" s="42"/>
      <c r="N264" s="42"/>
      <c r="O264" s="42"/>
      <c r="P264" s="42"/>
      <c r="Q264" s="42"/>
    </row>
    <row r="265">
      <c r="A265" s="50"/>
      <c r="B265" s="42"/>
      <c r="C265" s="42"/>
      <c r="D265" s="42"/>
      <c r="E265" s="42"/>
      <c r="F265" s="42"/>
      <c r="G265" s="42"/>
      <c r="H265" s="42"/>
      <c r="I265" s="48"/>
      <c r="J265" s="50"/>
      <c r="K265" s="42"/>
      <c r="L265" s="42"/>
      <c r="M265" s="42"/>
      <c r="N265" s="42"/>
      <c r="O265" s="42"/>
      <c r="P265" s="42"/>
      <c r="Q265" s="42"/>
    </row>
    <row r="266">
      <c r="A266" s="50"/>
      <c r="B266" s="42"/>
      <c r="C266" s="42"/>
      <c r="D266" s="42"/>
      <c r="E266" s="42"/>
      <c r="F266" s="42"/>
      <c r="G266" s="42"/>
      <c r="H266" s="42"/>
      <c r="I266" s="48"/>
      <c r="J266" s="50"/>
      <c r="K266" s="42"/>
      <c r="L266" s="42"/>
      <c r="M266" s="42"/>
      <c r="N266" s="42"/>
      <c r="O266" s="42"/>
      <c r="P266" s="42"/>
      <c r="Q266" s="42"/>
    </row>
    <row r="267">
      <c r="A267" s="50"/>
      <c r="B267" s="42"/>
      <c r="C267" s="42"/>
      <c r="D267" s="42"/>
      <c r="E267" s="42"/>
      <c r="F267" s="42"/>
      <c r="G267" s="42"/>
      <c r="H267" s="42"/>
      <c r="I267" s="48"/>
      <c r="J267" s="50"/>
      <c r="K267" s="42"/>
      <c r="L267" s="42"/>
      <c r="M267" s="42"/>
      <c r="N267" s="42"/>
      <c r="O267" s="42"/>
      <c r="P267" s="42"/>
      <c r="Q267" s="42"/>
    </row>
    <row r="268">
      <c r="A268" s="50"/>
      <c r="B268" s="42"/>
      <c r="C268" s="42"/>
      <c r="D268" s="42"/>
      <c r="E268" s="42"/>
      <c r="F268" s="42"/>
      <c r="G268" s="42"/>
      <c r="H268" s="42"/>
      <c r="I268" s="48"/>
      <c r="J268" s="50"/>
      <c r="K268" s="42"/>
      <c r="L268" s="42"/>
      <c r="M268" s="42"/>
      <c r="N268" s="42"/>
      <c r="O268" s="42"/>
      <c r="P268" s="42"/>
      <c r="Q268" s="42"/>
    </row>
    <row r="269">
      <c r="A269" s="50"/>
      <c r="B269" s="42"/>
      <c r="C269" s="42"/>
      <c r="D269" s="42"/>
      <c r="E269" s="42"/>
      <c r="F269" s="42"/>
      <c r="G269" s="42"/>
      <c r="H269" s="42"/>
      <c r="I269" s="48"/>
      <c r="J269" s="50"/>
      <c r="K269" s="42"/>
      <c r="L269" s="42"/>
      <c r="M269" s="42"/>
      <c r="N269" s="42"/>
      <c r="O269" s="42"/>
      <c r="P269" s="42"/>
      <c r="Q269" s="42"/>
    </row>
    <row r="270">
      <c r="A270" s="50"/>
      <c r="B270" s="42"/>
      <c r="C270" s="42"/>
      <c r="D270" s="42"/>
      <c r="E270" s="42"/>
      <c r="F270" s="42"/>
      <c r="G270" s="42"/>
      <c r="H270" s="42"/>
      <c r="I270" s="48"/>
      <c r="J270" s="50"/>
      <c r="K270" s="42"/>
      <c r="L270" s="42"/>
      <c r="M270" s="42"/>
      <c r="N270" s="42"/>
      <c r="O270" s="42"/>
      <c r="P270" s="42"/>
      <c r="Q270" s="42"/>
    </row>
    <row r="271">
      <c r="A271" s="50"/>
      <c r="B271" s="42"/>
      <c r="C271" s="42"/>
      <c r="D271" s="42"/>
      <c r="E271" s="42"/>
      <c r="F271" s="42"/>
      <c r="G271" s="42"/>
      <c r="H271" s="42"/>
      <c r="I271" s="48"/>
      <c r="J271" s="50"/>
      <c r="K271" s="42"/>
      <c r="L271" s="42"/>
      <c r="M271" s="42"/>
      <c r="N271" s="42"/>
      <c r="O271" s="42"/>
      <c r="P271" s="42"/>
      <c r="Q271" s="42"/>
    </row>
    <row r="272">
      <c r="A272" s="50"/>
      <c r="B272" s="42"/>
      <c r="C272" s="42"/>
      <c r="D272" s="42"/>
      <c r="E272" s="42"/>
      <c r="F272" s="42"/>
      <c r="G272" s="42"/>
      <c r="H272" s="42"/>
      <c r="I272" s="48"/>
      <c r="J272" s="50"/>
      <c r="K272" s="42"/>
      <c r="L272" s="42"/>
      <c r="M272" s="42"/>
      <c r="N272" s="42"/>
      <c r="O272" s="42"/>
      <c r="P272" s="42"/>
      <c r="Q272" s="42"/>
    </row>
    <row r="273">
      <c r="A273" s="50"/>
      <c r="B273" s="42"/>
      <c r="C273" s="42"/>
      <c r="D273" s="42"/>
      <c r="E273" s="42"/>
      <c r="F273" s="42"/>
      <c r="G273" s="42"/>
      <c r="H273" s="42"/>
      <c r="I273" s="48"/>
      <c r="J273" s="50"/>
      <c r="K273" s="42"/>
      <c r="L273" s="42"/>
      <c r="M273" s="42"/>
      <c r="N273" s="42"/>
      <c r="O273" s="42"/>
      <c r="P273" s="42"/>
      <c r="Q273" s="42"/>
    </row>
    <row r="274">
      <c r="A274" s="50"/>
      <c r="B274" s="42"/>
      <c r="C274" s="42"/>
      <c r="D274" s="42"/>
      <c r="E274" s="42"/>
      <c r="F274" s="42"/>
      <c r="G274" s="42"/>
      <c r="H274" s="42"/>
      <c r="I274" s="48"/>
      <c r="J274" s="50"/>
      <c r="K274" s="42"/>
      <c r="L274" s="42"/>
      <c r="M274" s="42"/>
      <c r="N274" s="42"/>
      <c r="O274" s="42"/>
      <c r="P274" s="42"/>
      <c r="Q274" s="42"/>
    </row>
    <row r="275">
      <c r="A275" s="50"/>
      <c r="B275" s="42"/>
      <c r="C275" s="42"/>
      <c r="D275" s="42"/>
      <c r="E275" s="42"/>
      <c r="F275" s="42"/>
      <c r="G275" s="42"/>
      <c r="H275" s="42"/>
      <c r="I275" s="48"/>
      <c r="J275" s="50"/>
      <c r="K275" s="42"/>
      <c r="L275" s="42"/>
      <c r="M275" s="42"/>
      <c r="N275" s="42"/>
      <c r="O275" s="42"/>
      <c r="P275" s="42"/>
      <c r="Q275" s="42"/>
    </row>
    <row r="276">
      <c r="A276" s="50"/>
      <c r="B276" s="42"/>
      <c r="C276" s="42"/>
      <c r="D276" s="42"/>
      <c r="E276" s="42"/>
      <c r="F276" s="42"/>
      <c r="G276" s="42"/>
      <c r="H276" s="42"/>
      <c r="I276" s="48"/>
      <c r="J276" s="50"/>
      <c r="K276" s="42"/>
      <c r="L276" s="42"/>
      <c r="M276" s="42"/>
      <c r="N276" s="42"/>
      <c r="O276" s="42"/>
      <c r="P276" s="42"/>
      <c r="Q276" s="42"/>
    </row>
    <row r="277">
      <c r="A277" s="50"/>
      <c r="B277" s="42"/>
      <c r="C277" s="42"/>
      <c r="D277" s="42"/>
      <c r="E277" s="42"/>
      <c r="F277" s="42"/>
      <c r="G277" s="42"/>
      <c r="H277" s="42"/>
      <c r="I277" s="48"/>
      <c r="J277" s="50"/>
      <c r="K277" s="42"/>
      <c r="L277" s="42"/>
      <c r="M277" s="42"/>
      <c r="N277" s="42"/>
      <c r="O277" s="42"/>
      <c r="P277" s="42"/>
      <c r="Q277" s="42"/>
    </row>
    <row r="278">
      <c r="A278" s="50"/>
      <c r="B278" s="42"/>
      <c r="C278" s="42"/>
      <c r="D278" s="42"/>
      <c r="E278" s="42"/>
      <c r="F278" s="42"/>
      <c r="G278" s="42"/>
      <c r="H278" s="42"/>
      <c r="I278" s="48"/>
      <c r="J278" s="50"/>
      <c r="K278" s="42"/>
      <c r="L278" s="42"/>
      <c r="M278" s="42"/>
      <c r="N278" s="42"/>
      <c r="O278" s="42"/>
      <c r="P278" s="42"/>
      <c r="Q278" s="42"/>
    </row>
    <row r="279">
      <c r="A279" s="50"/>
      <c r="B279" s="42"/>
      <c r="C279" s="42"/>
      <c r="D279" s="42"/>
      <c r="E279" s="42"/>
      <c r="F279" s="42"/>
      <c r="G279" s="42"/>
      <c r="H279" s="42"/>
      <c r="I279" s="48"/>
      <c r="J279" s="50"/>
      <c r="K279" s="42"/>
      <c r="L279" s="42"/>
      <c r="M279" s="42"/>
      <c r="N279" s="42"/>
      <c r="O279" s="42"/>
      <c r="P279" s="42"/>
      <c r="Q279" s="42"/>
    </row>
    <row r="280">
      <c r="A280" s="50"/>
      <c r="B280" s="42"/>
      <c r="C280" s="42"/>
      <c r="D280" s="42"/>
      <c r="E280" s="42"/>
      <c r="F280" s="42"/>
      <c r="G280" s="42"/>
      <c r="H280" s="42"/>
      <c r="I280" s="48"/>
      <c r="J280" s="50"/>
      <c r="K280" s="42"/>
      <c r="L280" s="42"/>
      <c r="M280" s="42"/>
      <c r="N280" s="42"/>
      <c r="O280" s="42"/>
      <c r="P280" s="42"/>
      <c r="Q280" s="42"/>
    </row>
    <row r="281">
      <c r="A281" s="50"/>
      <c r="B281" s="42"/>
      <c r="C281" s="42"/>
      <c r="D281" s="42"/>
      <c r="E281" s="42"/>
      <c r="F281" s="42"/>
      <c r="G281" s="42"/>
      <c r="H281" s="42"/>
      <c r="I281" s="48"/>
      <c r="J281" s="50"/>
      <c r="K281" s="42"/>
      <c r="L281" s="42"/>
      <c r="M281" s="42"/>
      <c r="N281" s="42"/>
      <c r="O281" s="42"/>
      <c r="P281" s="42"/>
      <c r="Q281" s="42"/>
    </row>
    <row r="282">
      <c r="A282" s="50"/>
      <c r="B282" s="42"/>
      <c r="C282" s="42"/>
      <c r="D282" s="42"/>
      <c r="E282" s="42"/>
      <c r="F282" s="42"/>
      <c r="G282" s="42"/>
      <c r="H282" s="42"/>
      <c r="I282" s="48"/>
      <c r="J282" s="50"/>
      <c r="K282" s="42"/>
      <c r="L282" s="42"/>
      <c r="M282" s="42"/>
      <c r="N282" s="42"/>
      <c r="O282" s="42"/>
      <c r="P282" s="42"/>
      <c r="Q282" s="42"/>
    </row>
    <row r="283">
      <c r="A283" s="50"/>
      <c r="B283" s="42"/>
      <c r="C283" s="42"/>
      <c r="D283" s="42"/>
      <c r="E283" s="42"/>
      <c r="F283" s="42"/>
      <c r="G283" s="42"/>
      <c r="H283" s="42"/>
      <c r="I283" s="48"/>
      <c r="J283" s="50"/>
      <c r="K283" s="42"/>
      <c r="L283" s="42"/>
      <c r="M283" s="42"/>
      <c r="N283" s="42"/>
      <c r="O283" s="42"/>
      <c r="P283" s="42"/>
      <c r="Q283" s="42"/>
    </row>
    <row r="284">
      <c r="A284" s="50"/>
      <c r="B284" s="42"/>
      <c r="C284" s="42"/>
      <c r="D284" s="42"/>
      <c r="E284" s="42"/>
      <c r="F284" s="42"/>
      <c r="G284" s="42"/>
      <c r="H284" s="42"/>
      <c r="I284" s="48"/>
      <c r="J284" s="50"/>
      <c r="K284" s="42"/>
      <c r="L284" s="42"/>
      <c r="M284" s="42"/>
      <c r="N284" s="42"/>
      <c r="O284" s="42"/>
      <c r="P284" s="42"/>
      <c r="Q284" s="42"/>
    </row>
    <row r="285">
      <c r="A285" s="50"/>
      <c r="B285" s="42"/>
      <c r="C285" s="42"/>
      <c r="D285" s="42"/>
      <c r="E285" s="42"/>
      <c r="F285" s="42"/>
      <c r="G285" s="42"/>
      <c r="H285" s="42"/>
      <c r="I285" s="48"/>
      <c r="J285" s="50"/>
      <c r="K285" s="42"/>
      <c r="L285" s="42"/>
      <c r="M285" s="42"/>
      <c r="N285" s="42"/>
      <c r="O285" s="42"/>
      <c r="P285" s="42"/>
      <c r="Q285" s="42"/>
    </row>
    <row r="286">
      <c r="A286" s="50"/>
      <c r="B286" s="42"/>
      <c r="C286" s="42"/>
      <c r="D286" s="42"/>
      <c r="E286" s="42"/>
      <c r="F286" s="42"/>
      <c r="G286" s="42"/>
      <c r="H286" s="42"/>
      <c r="I286" s="48"/>
      <c r="J286" s="50"/>
      <c r="K286" s="42"/>
      <c r="L286" s="42"/>
      <c r="M286" s="42"/>
      <c r="N286" s="42"/>
      <c r="O286" s="42"/>
      <c r="P286" s="42"/>
      <c r="Q286" s="42"/>
    </row>
    <row r="287">
      <c r="A287" s="50"/>
      <c r="B287" s="42"/>
      <c r="C287" s="42"/>
      <c r="D287" s="42"/>
      <c r="E287" s="42"/>
      <c r="F287" s="42"/>
      <c r="G287" s="42"/>
      <c r="H287" s="42"/>
      <c r="I287" s="48"/>
      <c r="J287" s="50"/>
      <c r="K287" s="42"/>
      <c r="L287" s="42"/>
      <c r="M287" s="42"/>
      <c r="N287" s="42"/>
      <c r="O287" s="42"/>
      <c r="P287" s="42"/>
      <c r="Q287" s="42"/>
    </row>
    <row r="288">
      <c r="A288" s="50"/>
      <c r="B288" s="42"/>
      <c r="C288" s="42"/>
      <c r="D288" s="42"/>
      <c r="E288" s="42"/>
      <c r="F288" s="42"/>
      <c r="G288" s="42"/>
      <c r="H288" s="42"/>
      <c r="I288" s="48"/>
      <c r="J288" s="50"/>
      <c r="K288" s="42"/>
      <c r="L288" s="42"/>
      <c r="M288" s="42"/>
      <c r="N288" s="42"/>
      <c r="O288" s="42"/>
      <c r="P288" s="42"/>
      <c r="Q288" s="42"/>
    </row>
    <row r="289">
      <c r="A289" s="50"/>
      <c r="B289" s="42"/>
      <c r="C289" s="42"/>
      <c r="D289" s="42"/>
      <c r="E289" s="42"/>
      <c r="F289" s="42"/>
      <c r="G289" s="42"/>
      <c r="H289" s="42"/>
      <c r="I289" s="48"/>
      <c r="J289" s="50"/>
      <c r="K289" s="42"/>
      <c r="L289" s="42"/>
      <c r="M289" s="42"/>
      <c r="N289" s="42"/>
      <c r="O289" s="42"/>
      <c r="P289" s="42"/>
      <c r="Q289" s="42"/>
    </row>
    <row r="290">
      <c r="A290" s="50"/>
      <c r="B290" s="42"/>
      <c r="C290" s="42"/>
      <c r="D290" s="42"/>
      <c r="E290" s="42"/>
      <c r="F290" s="42"/>
      <c r="G290" s="42"/>
      <c r="H290" s="42"/>
      <c r="I290" s="48"/>
      <c r="J290" s="50"/>
      <c r="K290" s="42"/>
      <c r="L290" s="42"/>
      <c r="M290" s="42"/>
      <c r="N290" s="42"/>
      <c r="O290" s="42"/>
      <c r="P290" s="42"/>
      <c r="Q290" s="42"/>
    </row>
    <row r="291">
      <c r="A291" s="50"/>
      <c r="B291" s="42"/>
      <c r="C291" s="42"/>
      <c r="D291" s="42"/>
      <c r="E291" s="42"/>
      <c r="F291" s="42"/>
      <c r="G291" s="42"/>
      <c r="H291" s="42"/>
      <c r="I291" s="48"/>
      <c r="J291" s="50"/>
      <c r="K291" s="42"/>
      <c r="L291" s="42"/>
      <c r="M291" s="42"/>
      <c r="N291" s="42"/>
      <c r="O291" s="42"/>
      <c r="P291" s="42"/>
      <c r="Q291" s="42"/>
    </row>
    <row r="292">
      <c r="A292" s="50"/>
      <c r="B292" s="42"/>
      <c r="C292" s="42"/>
      <c r="D292" s="42"/>
      <c r="E292" s="42"/>
      <c r="F292" s="42"/>
      <c r="G292" s="42"/>
      <c r="H292" s="42"/>
      <c r="I292" s="48"/>
      <c r="J292" s="50"/>
      <c r="K292" s="42"/>
      <c r="L292" s="42"/>
      <c r="M292" s="42"/>
      <c r="N292" s="42"/>
      <c r="O292" s="42"/>
      <c r="P292" s="42"/>
      <c r="Q292" s="42"/>
    </row>
    <row r="293">
      <c r="A293" s="50"/>
      <c r="B293" s="42"/>
      <c r="C293" s="42"/>
      <c r="D293" s="42"/>
      <c r="E293" s="42"/>
      <c r="F293" s="42"/>
      <c r="G293" s="42"/>
      <c r="H293" s="42"/>
      <c r="I293" s="48"/>
      <c r="J293" s="50"/>
      <c r="K293" s="42"/>
      <c r="L293" s="42"/>
      <c r="M293" s="42"/>
      <c r="N293" s="42"/>
      <c r="O293" s="42"/>
      <c r="P293" s="42"/>
      <c r="Q293" s="42"/>
    </row>
    <row r="294">
      <c r="A294" s="50"/>
      <c r="B294" s="42"/>
      <c r="C294" s="42"/>
      <c r="D294" s="42"/>
      <c r="E294" s="42"/>
      <c r="F294" s="42"/>
      <c r="G294" s="42"/>
      <c r="H294" s="42"/>
      <c r="I294" s="48"/>
      <c r="J294" s="50"/>
      <c r="K294" s="42"/>
      <c r="L294" s="42"/>
      <c r="M294" s="42"/>
      <c r="N294" s="42"/>
      <c r="O294" s="42"/>
      <c r="P294" s="42"/>
      <c r="Q294" s="42"/>
    </row>
    <row r="295">
      <c r="A295" s="50"/>
      <c r="B295" s="42"/>
      <c r="C295" s="42"/>
      <c r="D295" s="42"/>
      <c r="E295" s="42"/>
      <c r="F295" s="42"/>
      <c r="G295" s="42"/>
      <c r="H295" s="42"/>
      <c r="I295" s="48"/>
      <c r="J295" s="50"/>
      <c r="K295" s="42"/>
      <c r="L295" s="42"/>
      <c r="M295" s="42"/>
      <c r="N295" s="42"/>
      <c r="O295" s="42"/>
      <c r="P295" s="42"/>
      <c r="Q295" s="42"/>
    </row>
    <row r="296">
      <c r="A296" s="50"/>
      <c r="B296" s="42"/>
      <c r="C296" s="42"/>
      <c r="D296" s="42"/>
      <c r="E296" s="42"/>
      <c r="F296" s="42"/>
      <c r="G296" s="42"/>
      <c r="H296" s="42"/>
      <c r="I296" s="48"/>
      <c r="J296" s="50"/>
      <c r="K296" s="42"/>
      <c r="L296" s="42"/>
      <c r="M296" s="42"/>
      <c r="N296" s="42"/>
      <c r="O296" s="42"/>
      <c r="P296" s="42"/>
      <c r="Q296" s="42"/>
    </row>
    <row r="297">
      <c r="A297" s="50"/>
      <c r="B297" s="42"/>
      <c r="C297" s="42"/>
      <c r="D297" s="42"/>
      <c r="E297" s="42"/>
      <c r="F297" s="42"/>
      <c r="G297" s="42"/>
      <c r="H297" s="42"/>
      <c r="I297" s="48"/>
      <c r="J297" s="50"/>
      <c r="K297" s="42"/>
      <c r="L297" s="42"/>
      <c r="M297" s="42"/>
      <c r="N297" s="42"/>
      <c r="O297" s="42"/>
      <c r="P297" s="42"/>
      <c r="Q297" s="42"/>
    </row>
    <row r="298">
      <c r="A298" s="50"/>
      <c r="B298" s="42"/>
      <c r="C298" s="42"/>
      <c r="D298" s="42"/>
      <c r="E298" s="42"/>
      <c r="F298" s="42"/>
      <c r="G298" s="42"/>
      <c r="H298" s="42"/>
      <c r="I298" s="48"/>
      <c r="J298" s="50"/>
      <c r="K298" s="42"/>
      <c r="L298" s="42"/>
      <c r="M298" s="42"/>
      <c r="N298" s="42"/>
      <c r="O298" s="42"/>
      <c r="P298" s="42"/>
      <c r="Q298" s="42"/>
    </row>
    <row r="299">
      <c r="A299" s="50"/>
      <c r="B299" s="42"/>
      <c r="C299" s="42"/>
      <c r="D299" s="42"/>
      <c r="E299" s="42"/>
      <c r="F299" s="42"/>
      <c r="G299" s="42"/>
      <c r="H299" s="42"/>
      <c r="I299" s="48"/>
      <c r="J299" s="50"/>
      <c r="K299" s="42"/>
      <c r="L299" s="42"/>
      <c r="M299" s="42"/>
      <c r="N299" s="42"/>
      <c r="O299" s="42"/>
      <c r="P299" s="42"/>
      <c r="Q299" s="42"/>
    </row>
    <row r="300">
      <c r="A300" s="50"/>
      <c r="B300" s="42"/>
      <c r="C300" s="42"/>
      <c r="D300" s="42"/>
      <c r="E300" s="42"/>
      <c r="F300" s="42"/>
      <c r="G300" s="42"/>
      <c r="H300" s="42"/>
      <c r="I300" s="48"/>
      <c r="J300" s="50"/>
      <c r="K300" s="42"/>
      <c r="L300" s="42"/>
      <c r="M300" s="42"/>
      <c r="N300" s="42"/>
      <c r="O300" s="42"/>
      <c r="P300" s="42"/>
      <c r="Q300" s="42"/>
    </row>
    <row r="301">
      <c r="A301" s="50"/>
      <c r="B301" s="42"/>
      <c r="C301" s="42"/>
      <c r="D301" s="42"/>
      <c r="E301" s="42"/>
      <c r="F301" s="42"/>
      <c r="G301" s="42"/>
      <c r="H301" s="42"/>
      <c r="I301" s="48"/>
      <c r="J301" s="50"/>
      <c r="K301" s="42"/>
      <c r="L301" s="42"/>
      <c r="M301" s="42"/>
      <c r="N301" s="42"/>
      <c r="O301" s="42"/>
      <c r="P301" s="42"/>
      <c r="Q301" s="42"/>
    </row>
    <row r="302">
      <c r="A302" s="50"/>
      <c r="B302" s="42"/>
      <c r="C302" s="42"/>
      <c r="D302" s="42"/>
      <c r="E302" s="42"/>
      <c r="F302" s="42"/>
      <c r="G302" s="42"/>
      <c r="H302" s="42"/>
      <c r="I302" s="48"/>
      <c r="J302" s="50"/>
      <c r="K302" s="42"/>
      <c r="L302" s="42"/>
      <c r="M302" s="42"/>
      <c r="N302" s="42"/>
      <c r="O302" s="42"/>
      <c r="P302" s="42"/>
      <c r="Q302" s="42"/>
    </row>
    <row r="303">
      <c r="A303" s="50"/>
      <c r="B303" s="42"/>
      <c r="C303" s="42"/>
      <c r="D303" s="42"/>
      <c r="E303" s="42"/>
      <c r="F303" s="42"/>
      <c r="G303" s="42"/>
      <c r="H303" s="42"/>
      <c r="I303" s="48"/>
      <c r="J303" s="50"/>
      <c r="K303" s="42"/>
      <c r="L303" s="42"/>
      <c r="M303" s="42"/>
      <c r="N303" s="42"/>
      <c r="O303" s="42"/>
      <c r="P303" s="42"/>
      <c r="Q303" s="42"/>
    </row>
    <row r="304">
      <c r="A304" s="50"/>
      <c r="B304" s="42"/>
      <c r="C304" s="42"/>
      <c r="D304" s="42"/>
      <c r="E304" s="42"/>
      <c r="F304" s="42"/>
      <c r="G304" s="42"/>
      <c r="H304" s="42"/>
      <c r="I304" s="48"/>
      <c r="J304" s="50"/>
      <c r="K304" s="42"/>
      <c r="L304" s="42"/>
      <c r="M304" s="42"/>
      <c r="N304" s="42"/>
      <c r="O304" s="42"/>
      <c r="P304" s="42"/>
      <c r="Q304" s="42"/>
    </row>
    <row r="305">
      <c r="A305" s="50"/>
      <c r="B305" s="42"/>
      <c r="C305" s="42"/>
      <c r="D305" s="42"/>
      <c r="E305" s="42"/>
      <c r="F305" s="42"/>
      <c r="G305" s="42"/>
      <c r="H305" s="42"/>
      <c r="I305" s="48"/>
      <c r="J305" s="50"/>
      <c r="K305" s="42"/>
      <c r="L305" s="42"/>
      <c r="M305" s="42"/>
      <c r="N305" s="42"/>
      <c r="O305" s="42"/>
      <c r="P305" s="42"/>
      <c r="Q305" s="42"/>
    </row>
    <row r="306">
      <c r="A306" s="50"/>
      <c r="B306" s="42"/>
      <c r="C306" s="42"/>
      <c r="D306" s="42"/>
      <c r="E306" s="42"/>
      <c r="F306" s="42"/>
      <c r="G306" s="42"/>
      <c r="H306" s="42"/>
      <c r="I306" s="48"/>
      <c r="J306" s="50"/>
      <c r="K306" s="42"/>
      <c r="L306" s="42"/>
      <c r="M306" s="42"/>
      <c r="N306" s="42"/>
      <c r="O306" s="42"/>
      <c r="P306" s="42"/>
      <c r="Q306" s="42"/>
    </row>
    <row r="307">
      <c r="A307" s="50"/>
      <c r="B307" s="42"/>
      <c r="C307" s="42"/>
      <c r="D307" s="42"/>
      <c r="E307" s="42"/>
      <c r="F307" s="42"/>
      <c r="G307" s="42"/>
      <c r="H307" s="42"/>
      <c r="I307" s="48"/>
      <c r="J307" s="50"/>
      <c r="K307" s="42"/>
      <c r="L307" s="42"/>
      <c r="M307" s="42"/>
      <c r="N307" s="42"/>
      <c r="O307" s="42"/>
      <c r="P307" s="42"/>
      <c r="Q307" s="42"/>
    </row>
    <row r="308">
      <c r="A308" s="50"/>
      <c r="B308" s="42"/>
      <c r="C308" s="42"/>
      <c r="D308" s="42"/>
      <c r="E308" s="42"/>
      <c r="F308" s="42"/>
      <c r="G308" s="42"/>
      <c r="H308" s="42"/>
      <c r="I308" s="48"/>
      <c r="J308" s="50"/>
      <c r="K308" s="42"/>
      <c r="L308" s="42"/>
      <c r="M308" s="42"/>
      <c r="N308" s="42"/>
      <c r="O308" s="42"/>
      <c r="P308" s="42"/>
      <c r="Q308" s="42"/>
    </row>
    <row r="309">
      <c r="A309" s="50"/>
      <c r="B309" s="42"/>
      <c r="C309" s="42"/>
      <c r="D309" s="42"/>
      <c r="E309" s="42"/>
      <c r="F309" s="42"/>
      <c r="G309" s="42"/>
      <c r="H309" s="42"/>
      <c r="I309" s="48"/>
      <c r="J309" s="50"/>
      <c r="K309" s="42"/>
      <c r="L309" s="42"/>
      <c r="M309" s="42"/>
      <c r="N309" s="42"/>
      <c r="O309" s="42"/>
      <c r="P309" s="42"/>
      <c r="Q309" s="42"/>
    </row>
    <row r="310">
      <c r="A310" s="50"/>
      <c r="B310" s="42"/>
      <c r="C310" s="42"/>
      <c r="D310" s="42"/>
      <c r="E310" s="42"/>
      <c r="F310" s="42"/>
      <c r="G310" s="42"/>
      <c r="H310" s="42"/>
      <c r="I310" s="48"/>
      <c r="J310" s="50"/>
      <c r="K310" s="42"/>
      <c r="L310" s="42"/>
      <c r="M310" s="42"/>
      <c r="N310" s="42"/>
      <c r="O310" s="42"/>
      <c r="P310" s="42"/>
      <c r="Q310" s="42"/>
    </row>
    <row r="311">
      <c r="A311" s="50"/>
      <c r="B311" s="42"/>
      <c r="C311" s="42"/>
      <c r="D311" s="42"/>
      <c r="E311" s="42"/>
      <c r="F311" s="42"/>
      <c r="G311" s="42"/>
      <c r="H311" s="42"/>
      <c r="I311" s="48"/>
      <c r="J311" s="50"/>
      <c r="K311" s="42"/>
      <c r="L311" s="42"/>
      <c r="M311" s="42"/>
      <c r="N311" s="42"/>
      <c r="O311" s="42"/>
      <c r="P311" s="42"/>
      <c r="Q311" s="42"/>
    </row>
    <row r="312">
      <c r="A312" s="50"/>
      <c r="B312" s="42"/>
      <c r="C312" s="42"/>
      <c r="D312" s="42"/>
      <c r="E312" s="42"/>
      <c r="F312" s="42"/>
      <c r="G312" s="42"/>
      <c r="H312" s="42"/>
      <c r="I312" s="48"/>
      <c r="J312" s="50"/>
      <c r="K312" s="42"/>
      <c r="L312" s="42"/>
      <c r="M312" s="42"/>
      <c r="N312" s="42"/>
      <c r="O312" s="42"/>
      <c r="P312" s="42"/>
      <c r="Q312" s="42"/>
    </row>
    <row r="313">
      <c r="A313" s="50"/>
      <c r="B313" s="42"/>
      <c r="C313" s="42"/>
      <c r="D313" s="42"/>
      <c r="E313" s="42"/>
      <c r="F313" s="42"/>
      <c r="G313" s="42"/>
      <c r="H313" s="42"/>
      <c r="I313" s="48"/>
      <c r="J313" s="50"/>
      <c r="K313" s="42"/>
      <c r="L313" s="42"/>
      <c r="M313" s="42"/>
      <c r="N313" s="42"/>
      <c r="O313" s="42"/>
      <c r="P313" s="42"/>
      <c r="Q313" s="42"/>
    </row>
    <row r="314">
      <c r="A314" s="50"/>
      <c r="B314" s="42"/>
      <c r="C314" s="42"/>
      <c r="D314" s="42"/>
      <c r="E314" s="42"/>
      <c r="F314" s="42"/>
      <c r="G314" s="42"/>
      <c r="H314" s="42"/>
      <c r="I314" s="48"/>
      <c r="J314" s="50"/>
      <c r="K314" s="42"/>
      <c r="L314" s="42"/>
      <c r="M314" s="42"/>
      <c r="N314" s="42"/>
      <c r="O314" s="42"/>
      <c r="P314" s="42"/>
      <c r="Q314" s="42"/>
    </row>
    <row r="315">
      <c r="A315" s="50"/>
      <c r="B315" s="42"/>
      <c r="C315" s="42"/>
      <c r="D315" s="42"/>
      <c r="E315" s="42"/>
      <c r="F315" s="42"/>
      <c r="G315" s="42"/>
      <c r="H315" s="42"/>
      <c r="I315" s="48"/>
      <c r="J315" s="50"/>
      <c r="K315" s="42"/>
      <c r="L315" s="42"/>
      <c r="M315" s="42"/>
      <c r="N315" s="42"/>
      <c r="O315" s="42"/>
      <c r="P315" s="42"/>
      <c r="Q315" s="42"/>
    </row>
    <row r="316">
      <c r="A316" s="50"/>
      <c r="B316" s="42"/>
      <c r="C316" s="42"/>
      <c r="D316" s="42"/>
      <c r="E316" s="42"/>
      <c r="F316" s="42"/>
      <c r="G316" s="42"/>
      <c r="H316" s="42"/>
      <c r="I316" s="48"/>
      <c r="J316" s="50"/>
      <c r="K316" s="42"/>
      <c r="L316" s="42"/>
      <c r="M316" s="42"/>
      <c r="N316" s="42"/>
      <c r="O316" s="42"/>
      <c r="P316" s="42"/>
      <c r="Q316" s="42"/>
    </row>
    <row r="317">
      <c r="A317" s="50"/>
      <c r="B317" s="42"/>
      <c r="C317" s="42"/>
      <c r="D317" s="42"/>
      <c r="E317" s="42"/>
      <c r="F317" s="42"/>
      <c r="G317" s="42"/>
      <c r="H317" s="42"/>
      <c r="I317" s="48"/>
      <c r="J317" s="50"/>
      <c r="K317" s="42"/>
      <c r="L317" s="42"/>
      <c r="M317" s="42"/>
      <c r="N317" s="42"/>
      <c r="O317" s="42"/>
      <c r="P317" s="42"/>
      <c r="Q317" s="42"/>
    </row>
    <row r="318">
      <c r="A318" s="50"/>
      <c r="B318" s="42"/>
      <c r="C318" s="42"/>
      <c r="D318" s="42"/>
      <c r="E318" s="42"/>
      <c r="F318" s="42"/>
      <c r="G318" s="42"/>
      <c r="H318" s="42"/>
      <c r="I318" s="48"/>
      <c r="J318" s="50"/>
      <c r="K318" s="42"/>
      <c r="L318" s="42"/>
      <c r="M318" s="42"/>
      <c r="N318" s="42"/>
      <c r="O318" s="42"/>
      <c r="P318" s="42"/>
      <c r="Q318" s="42"/>
    </row>
    <row r="319">
      <c r="A319" s="50"/>
      <c r="B319" s="42"/>
      <c r="C319" s="42"/>
      <c r="D319" s="42"/>
      <c r="E319" s="42"/>
      <c r="F319" s="42"/>
      <c r="G319" s="42"/>
      <c r="H319" s="42"/>
      <c r="I319" s="48"/>
      <c r="J319" s="50"/>
      <c r="K319" s="42"/>
      <c r="L319" s="42"/>
      <c r="M319" s="42"/>
      <c r="N319" s="42"/>
      <c r="O319" s="42"/>
      <c r="P319" s="42"/>
      <c r="Q319" s="42"/>
    </row>
    <row r="320">
      <c r="A320" s="50"/>
      <c r="B320" s="42"/>
      <c r="C320" s="42"/>
      <c r="D320" s="42"/>
      <c r="E320" s="42"/>
      <c r="F320" s="42"/>
      <c r="G320" s="42"/>
      <c r="H320" s="42"/>
      <c r="I320" s="48"/>
      <c r="J320" s="50"/>
      <c r="K320" s="42"/>
      <c r="L320" s="42"/>
      <c r="M320" s="42"/>
      <c r="N320" s="42"/>
      <c r="O320" s="42"/>
      <c r="P320" s="42"/>
      <c r="Q320" s="42"/>
    </row>
    <row r="321">
      <c r="A321" s="50"/>
      <c r="B321" s="42"/>
      <c r="C321" s="42"/>
      <c r="D321" s="42"/>
      <c r="E321" s="42"/>
      <c r="F321" s="42"/>
      <c r="G321" s="42"/>
      <c r="H321" s="42"/>
      <c r="I321" s="48"/>
      <c r="J321" s="50"/>
      <c r="K321" s="42"/>
      <c r="L321" s="42"/>
      <c r="M321" s="42"/>
      <c r="N321" s="42"/>
      <c r="O321" s="42"/>
      <c r="P321" s="42"/>
      <c r="Q321" s="42"/>
    </row>
    <row r="322">
      <c r="A322" s="50"/>
      <c r="B322" s="42"/>
      <c r="C322" s="42"/>
      <c r="D322" s="42"/>
      <c r="E322" s="42"/>
      <c r="F322" s="42"/>
      <c r="G322" s="42"/>
      <c r="H322" s="42"/>
      <c r="I322" s="48"/>
      <c r="J322" s="50"/>
      <c r="K322" s="42"/>
      <c r="L322" s="42"/>
      <c r="M322" s="42"/>
      <c r="N322" s="42"/>
      <c r="O322" s="42"/>
      <c r="P322" s="42"/>
      <c r="Q322" s="42"/>
    </row>
    <row r="323">
      <c r="A323" s="50"/>
      <c r="B323" s="42"/>
      <c r="C323" s="42"/>
      <c r="D323" s="42"/>
      <c r="E323" s="42"/>
      <c r="F323" s="42"/>
      <c r="G323" s="42"/>
      <c r="H323" s="42"/>
      <c r="I323" s="48"/>
      <c r="J323" s="50"/>
      <c r="K323" s="42"/>
      <c r="L323" s="42"/>
      <c r="M323" s="42"/>
      <c r="N323" s="42"/>
      <c r="O323" s="42"/>
      <c r="P323" s="42"/>
      <c r="Q323" s="42"/>
    </row>
    <row r="324">
      <c r="A324" s="50"/>
      <c r="B324" s="42"/>
      <c r="C324" s="42"/>
      <c r="D324" s="42"/>
      <c r="E324" s="42"/>
      <c r="F324" s="42"/>
      <c r="G324" s="42"/>
      <c r="H324" s="42"/>
      <c r="I324" s="48"/>
      <c r="J324" s="50"/>
      <c r="K324" s="42"/>
      <c r="L324" s="42"/>
      <c r="M324" s="42"/>
      <c r="N324" s="42"/>
      <c r="O324" s="42"/>
      <c r="P324" s="42"/>
      <c r="Q324" s="42"/>
    </row>
    <row r="325">
      <c r="A325" s="50"/>
      <c r="B325" s="42"/>
      <c r="C325" s="42"/>
      <c r="D325" s="42"/>
      <c r="E325" s="42"/>
      <c r="F325" s="42"/>
      <c r="G325" s="42"/>
      <c r="H325" s="42"/>
      <c r="I325" s="48"/>
      <c r="J325" s="50"/>
      <c r="K325" s="42"/>
      <c r="L325" s="42"/>
      <c r="M325" s="42"/>
      <c r="N325" s="42"/>
      <c r="O325" s="42"/>
      <c r="P325" s="42"/>
      <c r="Q325" s="42"/>
    </row>
    <row r="326">
      <c r="A326" s="50"/>
      <c r="B326" s="42"/>
      <c r="C326" s="42"/>
      <c r="D326" s="42"/>
      <c r="E326" s="42"/>
      <c r="F326" s="42"/>
      <c r="G326" s="42"/>
      <c r="H326" s="42"/>
      <c r="I326" s="48"/>
      <c r="J326" s="50"/>
      <c r="K326" s="42"/>
      <c r="L326" s="42"/>
      <c r="M326" s="42"/>
      <c r="N326" s="42"/>
      <c r="O326" s="42"/>
      <c r="P326" s="42"/>
      <c r="Q326" s="42"/>
    </row>
    <row r="327">
      <c r="A327" s="50"/>
      <c r="B327" s="42"/>
      <c r="C327" s="42"/>
      <c r="D327" s="42"/>
      <c r="E327" s="42"/>
      <c r="F327" s="42"/>
      <c r="G327" s="42"/>
      <c r="H327" s="42"/>
      <c r="I327" s="48"/>
      <c r="J327" s="50"/>
      <c r="K327" s="42"/>
      <c r="L327" s="42"/>
      <c r="M327" s="42"/>
      <c r="N327" s="42"/>
      <c r="O327" s="42"/>
      <c r="P327" s="42"/>
      <c r="Q327" s="42"/>
    </row>
    <row r="328">
      <c r="A328" s="50"/>
      <c r="B328" s="42"/>
      <c r="C328" s="42"/>
      <c r="D328" s="42"/>
      <c r="E328" s="42"/>
      <c r="F328" s="42"/>
      <c r="G328" s="42"/>
      <c r="H328" s="42"/>
      <c r="I328" s="48"/>
      <c r="J328" s="50"/>
      <c r="K328" s="42"/>
      <c r="L328" s="42"/>
      <c r="M328" s="42"/>
      <c r="N328" s="42"/>
      <c r="O328" s="42"/>
      <c r="P328" s="42"/>
      <c r="Q328" s="42"/>
    </row>
    <row r="329">
      <c r="A329" s="50"/>
      <c r="B329" s="42"/>
      <c r="C329" s="42"/>
      <c r="D329" s="42"/>
      <c r="E329" s="42"/>
      <c r="F329" s="42"/>
      <c r="G329" s="42"/>
      <c r="H329" s="42"/>
      <c r="I329" s="48"/>
      <c r="J329" s="50"/>
      <c r="K329" s="42"/>
      <c r="L329" s="42"/>
      <c r="M329" s="42"/>
      <c r="N329" s="42"/>
      <c r="O329" s="42"/>
      <c r="P329" s="42"/>
      <c r="Q329" s="42"/>
    </row>
    <row r="330">
      <c r="A330" s="50"/>
      <c r="B330" s="42"/>
      <c r="C330" s="42"/>
      <c r="D330" s="42"/>
      <c r="E330" s="42"/>
      <c r="F330" s="42"/>
      <c r="G330" s="42"/>
      <c r="H330" s="42"/>
      <c r="I330" s="48"/>
      <c r="J330" s="50"/>
      <c r="K330" s="42"/>
      <c r="L330" s="42"/>
      <c r="M330" s="42"/>
      <c r="N330" s="42"/>
      <c r="O330" s="42"/>
      <c r="P330" s="42"/>
      <c r="Q330" s="42"/>
    </row>
    <row r="331">
      <c r="A331" s="50"/>
      <c r="B331" s="42"/>
      <c r="C331" s="42"/>
      <c r="D331" s="42"/>
      <c r="E331" s="42"/>
      <c r="F331" s="42"/>
      <c r="G331" s="42"/>
      <c r="H331" s="42"/>
      <c r="I331" s="48"/>
      <c r="J331" s="50"/>
      <c r="K331" s="42"/>
      <c r="L331" s="42"/>
      <c r="M331" s="42"/>
      <c r="N331" s="42"/>
      <c r="O331" s="42"/>
      <c r="P331" s="42"/>
      <c r="Q331" s="42"/>
    </row>
    <row r="332">
      <c r="A332" s="50"/>
      <c r="B332" s="42"/>
      <c r="C332" s="42"/>
      <c r="D332" s="42"/>
      <c r="E332" s="42"/>
      <c r="F332" s="42"/>
      <c r="G332" s="42"/>
      <c r="H332" s="42"/>
      <c r="I332" s="48"/>
      <c r="J332" s="50"/>
      <c r="K332" s="42"/>
      <c r="L332" s="42"/>
      <c r="M332" s="42"/>
      <c r="N332" s="42"/>
      <c r="O332" s="42"/>
      <c r="P332" s="42"/>
      <c r="Q332" s="42"/>
    </row>
    <row r="333">
      <c r="A333" s="50"/>
      <c r="B333" s="42"/>
      <c r="C333" s="42"/>
      <c r="D333" s="42"/>
      <c r="E333" s="42"/>
      <c r="F333" s="42"/>
      <c r="G333" s="42"/>
      <c r="H333" s="42"/>
      <c r="I333" s="48"/>
      <c r="J333" s="50"/>
      <c r="K333" s="42"/>
      <c r="L333" s="42"/>
      <c r="M333" s="42"/>
      <c r="N333" s="42"/>
      <c r="O333" s="42"/>
      <c r="P333" s="42"/>
      <c r="Q333" s="42"/>
    </row>
    <row r="334">
      <c r="A334" s="50"/>
      <c r="B334" s="42"/>
      <c r="C334" s="42"/>
      <c r="D334" s="42"/>
      <c r="E334" s="42"/>
      <c r="F334" s="42"/>
      <c r="G334" s="42"/>
      <c r="H334" s="42"/>
      <c r="I334" s="48"/>
      <c r="J334" s="50"/>
      <c r="K334" s="42"/>
      <c r="L334" s="42"/>
      <c r="M334" s="42"/>
      <c r="N334" s="42"/>
      <c r="O334" s="42"/>
      <c r="P334" s="42"/>
      <c r="Q334" s="42"/>
    </row>
    <row r="335">
      <c r="A335" s="50"/>
      <c r="B335" s="42"/>
      <c r="C335" s="42"/>
      <c r="D335" s="42"/>
      <c r="E335" s="42"/>
      <c r="F335" s="42"/>
      <c r="G335" s="42"/>
      <c r="H335" s="42"/>
      <c r="I335" s="48"/>
      <c r="J335" s="50"/>
      <c r="K335" s="42"/>
      <c r="L335" s="42"/>
      <c r="M335" s="42"/>
      <c r="N335" s="42"/>
      <c r="O335" s="42"/>
      <c r="P335" s="42"/>
      <c r="Q335" s="42"/>
    </row>
    <row r="336">
      <c r="A336" s="50"/>
      <c r="B336" s="42"/>
      <c r="C336" s="42"/>
      <c r="D336" s="42"/>
      <c r="E336" s="42"/>
      <c r="F336" s="42"/>
      <c r="G336" s="42"/>
      <c r="H336" s="42"/>
      <c r="I336" s="48"/>
      <c r="J336" s="50"/>
      <c r="K336" s="42"/>
      <c r="L336" s="42"/>
      <c r="M336" s="42"/>
      <c r="N336" s="42"/>
      <c r="O336" s="42"/>
      <c r="P336" s="42"/>
      <c r="Q336" s="42"/>
    </row>
    <row r="337">
      <c r="A337" s="50"/>
      <c r="B337" s="42"/>
      <c r="C337" s="42"/>
      <c r="D337" s="42"/>
      <c r="E337" s="42"/>
      <c r="F337" s="42"/>
      <c r="G337" s="42"/>
      <c r="H337" s="42"/>
      <c r="I337" s="48"/>
      <c r="J337" s="50"/>
      <c r="K337" s="42"/>
      <c r="L337" s="42"/>
      <c r="M337" s="42"/>
      <c r="N337" s="42"/>
      <c r="O337" s="42"/>
      <c r="P337" s="42"/>
      <c r="Q337" s="42"/>
    </row>
    <row r="338">
      <c r="A338" s="50"/>
      <c r="B338" s="42"/>
      <c r="C338" s="42"/>
      <c r="D338" s="42"/>
      <c r="E338" s="42"/>
      <c r="F338" s="42"/>
      <c r="G338" s="42"/>
      <c r="H338" s="42"/>
      <c r="I338" s="48"/>
      <c r="J338" s="50"/>
      <c r="K338" s="42"/>
      <c r="L338" s="42"/>
      <c r="M338" s="42"/>
      <c r="N338" s="42"/>
      <c r="O338" s="42"/>
      <c r="P338" s="42"/>
      <c r="Q338" s="42"/>
    </row>
    <row r="339">
      <c r="A339" s="50"/>
      <c r="B339" s="42"/>
      <c r="C339" s="42"/>
      <c r="D339" s="42"/>
      <c r="E339" s="42"/>
      <c r="F339" s="42"/>
      <c r="G339" s="42"/>
      <c r="H339" s="42"/>
      <c r="I339" s="48"/>
      <c r="J339" s="50"/>
      <c r="K339" s="42"/>
      <c r="L339" s="42"/>
      <c r="M339" s="42"/>
      <c r="N339" s="42"/>
      <c r="O339" s="42"/>
      <c r="P339" s="42"/>
      <c r="Q339" s="42"/>
    </row>
    <row r="340">
      <c r="A340" s="50"/>
      <c r="B340" s="42"/>
      <c r="C340" s="42"/>
      <c r="D340" s="42"/>
      <c r="E340" s="42"/>
      <c r="F340" s="42"/>
      <c r="G340" s="42"/>
      <c r="H340" s="42"/>
      <c r="I340" s="48"/>
      <c r="J340" s="50"/>
      <c r="K340" s="42"/>
      <c r="L340" s="42"/>
      <c r="M340" s="42"/>
      <c r="N340" s="42"/>
      <c r="O340" s="42"/>
      <c r="P340" s="42"/>
      <c r="Q340" s="42"/>
    </row>
    <row r="341">
      <c r="A341" s="50"/>
      <c r="B341" s="42"/>
      <c r="C341" s="42"/>
      <c r="D341" s="42"/>
      <c r="E341" s="42"/>
      <c r="F341" s="42"/>
      <c r="G341" s="42"/>
      <c r="H341" s="42"/>
      <c r="I341" s="48"/>
      <c r="J341" s="50"/>
      <c r="K341" s="42"/>
      <c r="L341" s="42"/>
      <c r="M341" s="42"/>
      <c r="N341" s="42"/>
      <c r="O341" s="42"/>
      <c r="P341" s="42"/>
      <c r="Q341" s="42"/>
    </row>
    <row r="342">
      <c r="A342" s="50"/>
      <c r="B342" s="42"/>
      <c r="C342" s="42"/>
      <c r="D342" s="42"/>
      <c r="E342" s="42"/>
      <c r="F342" s="42"/>
      <c r="G342" s="42"/>
      <c r="H342" s="42"/>
      <c r="I342" s="48"/>
      <c r="J342" s="50"/>
      <c r="K342" s="42"/>
      <c r="L342" s="42"/>
      <c r="M342" s="42"/>
      <c r="N342" s="42"/>
      <c r="O342" s="42"/>
      <c r="P342" s="42"/>
      <c r="Q342" s="42"/>
    </row>
    <row r="343">
      <c r="A343" s="50"/>
      <c r="B343" s="42"/>
      <c r="C343" s="42"/>
      <c r="D343" s="42"/>
      <c r="E343" s="42"/>
      <c r="F343" s="42"/>
      <c r="G343" s="42"/>
      <c r="H343" s="42"/>
      <c r="I343" s="48"/>
      <c r="J343" s="50"/>
      <c r="K343" s="42"/>
      <c r="L343" s="42"/>
      <c r="M343" s="42"/>
      <c r="N343" s="42"/>
      <c r="O343" s="42"/>
      <c r="P343" s="42"/>
      <c r="Q343" s="42"/>
    </row>
    <row r="344">
      <c r="A344" s="50"/>
      <c r="B344" s="42"/>
      <c r="C344" s="42"/>
      <c r="D344" s="42"/>
      <c r="E344" s="42"/>
      <c r="F344" s="42"/>
      <c r="G344" s="42"/>
      <c r="H344" s="42"/>
      <c r="I344" s="48"/>
      <c r="J344" s="50"/>
      <c r="K344" s="42"/>
      <c r="L344" s="42"/>
      <c r="M344" s="42"/>
      <c r="N344" s="42"/>
      <c r="O344" s="42"/>
      <c r="P344" s="42"/>
      <c r="Q344" s="42"/>
    </row>
    <row r="345">
      <c r="A345" s="50"/>
      <c r="B345" s="42"/>
      <c r="C345" s="42"/>
      <c r="D345" s="42"/>
      <c r="E345" s="42"/>
      <c r="F345" s="42"/>
      <c r="G345" s="42"/>
      <c r="H345" s="42"/>
      <c r="I345" s="48"/>
      <c r="J345" s="50"/>
      <c r="K345" s="42"/>
      <c r="L345" s="42"/>
      <c r="M345" s="42"/>
      <c r="N345" s="42"/>
      <c r="O345" s="42"/>
      <c r="P345" s="42"/>
      <c r="Q345" s="42"/>
    </row>
    <row r="346">
      <c r="A346" s="50"/>
      <c r="B346" s="42"/>
      <c r="C346" s="42"/>
      <c r="D346" s="42"/>
      <c r="E346" s="42"/>
      <c r="F346" s="42"/>
      <c r="G346" s="42"/>
      <c r="H346" s="42"/>
      <c r="I346" s="48"/>
      <c r="J346" s="50"/>
      <c r="K346" s="42"/>
      <c r="L346" s="42"/>
      <c r="M346" s="42"/>
      <c r="N346" s="42"/>
      <c r="O346" s="42"/>
      <c r="P346" s="42"/>
      <c r="Q346" s="42"/>
    </row>
    <row r="347">
      <c r="A347" s="50"/>
      <c r="B347" s="42"/>
      <c r="C347" s="42"/>
      <c r="D347" s="42"/>
      <c r="E347" s="42"/>
      <c r="F347" s="42"/>
      <c r="G347" s="42"/>
      <c r="H347" s="42"/>
      <c r="I347" s="48"/>
      <c r="J347" s="50"/>
      <c r="K347" s="42"/>
      <c r="L347" s="42"/>
      <c r="M347" s="42"/>
      <c r="N347" s="42"/>
      <c r="O347" s="42"/>
      <c r="P347" s="42"/>
      <c r="Q347" s="42"/>
    </row>
    <row r="348">
      <c r="A348" s="50"/>
      <c r="B348" s="42"/>
      <c r="C348" s="42"/>
      <c r="D348" s="42"/>
      <c r="E348" s="42"/>
      <c r="F348" s="42"/>
      <c r="G348" s="42"/>
      <c r="H348" s="42"/>
      <c r="I348" s="48"/>
      <c r="J348" s="50"/>
      <c r="K348" s="42"/>
      <c r="L348" s="42"/>
      <c r="M348" s="42"/>
      <c r="N348" s="42"/>
      <c r="O348" s="42"/>
      <c r="P348" s="42"/>
      <c r="Q348" s="42"/>
    </row>
    <row r="349">
      <c r="A349" s="50"/>
      <c r="B349" s="42"/>
      <c r="C349" s="42"/>
      <c r="D349" s="42"/>
      <c r="E349" s="42"/>
      <c r="F349" s="42"/>
      <c r="G349" s="42"/>
      <c r="H349" s="42"/>
      <c r="I349" s="48"/>
      <c r="J349" s="50"/>
      <c r="K349" s="42"/>
      <c r="L349" s="42"/>
      <c r="M349" s="42"/>
      <c r="N349" s="42"/>
      <c r="O349" s="42"/>
      <c r="P349" s="42"/>
      <c r="Q349" s="42"/>
    </row>
    <row r="350">
      <c r="A350" s="50"/>
      <c r="B350" s="42"/>
      <c r="C350" s="42"/>
      <c r="D350" s="42"/>
      <c r="E350" s="42"/>
      <c r="F350" s="42"/>
      <c r="G350" s="42"/>
      <c r="H350" s="42"/>
      <c r="I350" s="48"/>
      <c r="J350" s="50"/>
      <c r="K350" s="42"/>
      <c r="L350" s="42"/>
      <c r="M350" s="42"/>
      <c r="N350" s="42"/>
      <c r="O350" s="42"/>
      <c r="P350" s="42"/>
      <c r="Q350" s="42"/>
    </row>
    <row r="351">
      <c r="A351" s="50"/>
      <c r="B351" s="42"/>
      <c r="C351" s="42"/>
      <c r="D351" s="42"/>
      <c r="E351" s="42"/>
      <c r="F351" s="42"/>
      <c r="G351" s="42"/>
      <c r="H351" s="42"/>
      <c r="I351" s="48"/>
      <c r="J351" s="50"/>
      <c r="K351" s="42"/>
      <c r="L351" s="42"/>
      <c r="M351" s="42"/>
      <c r="N351" s="42"/>
      <c r="O351" s="42"/>
      <c r="P351" s="42"/>
      <c r="Q351" s="42"/>
    </row>
    <row r="352">
      <c r="A352" s="50"/>
      <c r="B352" s="42"/>
      <c r="C352" s="42"/>
      <c r="D352" s="42"/>
      <c r="E352" s="42"/>
      <c r="F352" s="42"/>
      <c r="G352" s="42"/>
      <c r="H352" s="42"/>
      <c r="I352" s="48"/>
      <c r="J352" s="50"/>
      <c r="K352" s="42"/>
      <c r="L352" s="42"/>
      <c r="M352" s="42"/>
      <c r="N352" s="42"/>
      <c r="O352" s="42"/>
      <c r="P352" s="42"/>
      <c r="Q352" s="42"/>
    </row>
    <row r="353">
      <c r="A353" s="50"/>
      <c r="B353" s="42"/>
      <c r="C353" s="42"/>
      <c r="D353" s="42"/>
      <c r="E353" s="42"/>
      <c r="F353" s="42"/>
      <c r="G353" s="42"/>
      <c r="H353" s="42"/>
      <c r="I353" s="48"/>
      <c r="J353" s="50"/>
      <c r="K353" s="42"/>
      <c r="L353" s="42"/>
      <c r="M353" s="42"/>
      <c r="N353" s="42"/>
      <c r="O353" s="42"/>
      <c r="P353" s="42"/>
      <c r="Q353" s="42"/>
    </row>
    <row r="354">
      <c r="A354" s="50"/>
      <c r="B354" s="42"/>
      <c r="C354" s="42"/>
      <c r="D354" s="42"/>
      <c r="E354" s="42"/>
      <c r="F354" s="42"/>
      <c r="G354" s="42"/>
      <c r="H354" s="42"/>
      <c r="I354" s="48"/>
      <c r="J354" s="50"/>
      <c r="K354" s="42"/>
      <c r="L354" s="42"/>
      <c r="M354" s="42"/>
      <c r="N354" s="42"/>
      <c r="O354" s="42"/>
      <c r="P354" s="42"/>
      <c r="Q354" s="42"/>
    </row>
    <row r="355">
      <c r="A355" s="50"/>
      <c r="B355" s="42"/>
      <c r="C355" s="42"/>
      <c r="D355" s="42"/>
      <c r="E355" s="42"/>
      <c r="F355" s="42"/>
      <c r="G355" s="42"/>
      <c r="H355" s="42"/>
      <c r="I355" s="48"/>
      <c r="J355" s="50"/>
      <c r="K355" s="42"/>
      <c r="L355" s="42"/>
      <c r="M355" s="42"/>
      <c r="N355" s="42"/>
      <c r="O355" s="42"/>
      <c r="P355" s="42"/>
      <c r="Q355" s="42"/>
    </row>
    <row r="356">
      <c r="A356" s="50"/>
      <c r="B356" s="42"/>
      <c r="C356" s="42"/>
      <c r="D356" s="42"/>
      <c r="E356" s="42"/>
      <c r="F356" s="42"/>
      <c r="G356" s="42"/>
      <c r="H356" s="42"/>
      <c r="I356" s="48"/>
      <c r="J356" s="50"/>
      <c r="K356" s="42"/>
      <c r="L356" s="42"/>
      <c r="M356" s="42"/>
      <c r="N356" s="42"/>
      <c r="O356" s="42"/>
      <c r="P356" s="42"/>
      <c r="Q356" s="42"/>
    </row>
    <row r="357">
      <c r="A357" s="50"/>
      <c r="B357" s="42"/>
      <c r="C357" s="42"/>
      <c r="D357" s="42"/>
      <c r="E357" s="42"/>
      <c r="F357" s="42"/>
      <c r="G357" s="42"/>
      <c r="H357" s="42"/>
      <c r="I357" s="48"/>
      <c r="J357" s="50"/>
      <c r="K357" s="42"/>
      <c r="L357" s="42"/>
      <c r="M357" s="42"/>
      <c r="N357" s="42"/>
      <c r="O357" s="42"/>
      <c r="P357" s="42"/>
      <c r="Q357" s="42"/>
    </row>
    <row r="358">
      <c r="A358" s="50"/>
      <c r="B358" s="42"/>
      <c r="C358" s="42"/>
      <c r="D358" s="42"/>
      <c r="E358" s="42"/>
      <c r="F358" s="42"/>
      <c r="G358" s="42"/>
      <c r="H358" s="42"/>
      <c r="I358" s="48"/>
      <c r="J358" s="50"/>
      <c r="K358" s="42"/>
      <c r="L358" s="42"/>
      <c r="M358" s="42"/>
      <c r="N358" s="42"/>
      <c r="O358" s="42"/>
      <c r="P358" s="42"/>
      <c r="Q358" s="42"/>
    </row>
    <row r="359">
      <c r="A359" s="50"/>
      <c r="B359" s="42"/>
      <c r="C359" s="42"/>
      <c r="D359" s="42"/>
      <c r="E359" s="42"/>
      <c r="F359" s="42"/>
      <c r="G359" s="42"/>
      <c r="H359" s="42"/>
      <c r="I359" s="48"/>
      <c r="J359" s="50"/>
      <c r="K359" s="42"/>
      <c r="L359" s="42"/>
      <c r="M359" s="42"/>
      <c r="N359" s="42"/>
      <c r="O359" s="42"/>
      <c r="P359" s="42"/>
      <c r="Q359" s="42"/>
    </row>
    <row r="360">
      <c r="A360" s="50"/>
      <c r="B360" s="42"/>
      <c r="C360" s="42"/>
      <c r="D360" s="42"/>
      <c r="E360" s="42"/>
      <c r="F360" s="42"/>
      <c r="G360" s="42"/>
      <c r="H360" s="42"/>
      <c r="I360" s="48"/>
      <c r="J360" s="50"/>
      <c r="K360" s="42"/>
      <c r="L360" s="42"/>
      <c r="M360" s="42"/>
      <c r="N360" s="42"/>
      <c r="O360" s="42"/>
      <c r="P360" s="42"/>
      <c r="Q360" s="42"/>
    </row>
    <row r="361">
      <c r="A361" s="50"/>
      <c r="B361" s="42"/>
      <c r="C361" s="42"/>
      <c r="D361" s="42"/>
      <c r="E361" s="42"/>
      <c r="F361" s="42"/>
      <c r="G361" s="42"/>
      <c r="H361" s="42"/>
      <c r="I361" s="48"/>
      <c r="J361" s="50"/>
      <c r="K361" s="42"/>
      <c r="L361" s="42"/>
      <c r="M361" s="42"/>
      <c r="N361" s="42"/>
      <c r="O361" s="42"/>
      <c r="P361" s="42"/>
      <c r="Q361" s="42"/>
    </row>
    <row r="362">
      <c r="A362" s="50"/>
      <c r="B362" s="42"/>
      <c r="C362" s="42"/>
      <c r="D362" s="42"/>
      <c r="E362" s="42"/>
      <c r="F362" s="42"/>
      <c r="G362" s="42"/>
      <c r="H362" s="42"/>
      <c r="I362" s="48"/>
      <c r="J362" s="50"/>
      <c r="K362" s="42"/>
      <c r="L362" s="42"/>
      <c r="M362" s="42"/>
      <c r="N362" s="42"/>
      <c r="O362" s="42"/>
      <c r="P362" s="42"/>
      <c r="Q362" s="42"/>
    </row>
    <row r="363">
      <c r="A363" s="50"/>
      <c r="B363" s="42"/>
      <c r="C363" s="42"/>
      <c r="D363" s="42"/>
      <c r="E363" s="42"/>
      <c r="F363" s="42"/>
      <c r="G363" s="42"/>
      <c r="H363" s="42"/>
      <c r="I363" s="48"/>
      <c r="J363" s="50"/>
      <c r="K363" s="42"/>
      <c r="L363" s="42"/>
      <c r="M363" s="42"/>
      <c r="N363" s="42"/>
      <c r="O363" s="42"/>
      <c r="P363" s="42"/>
      <c r="Q363" s="42"/>
    </row>
    <row r="364">
      <c r="A364" s="50"/>
      <c r="B364" s="42"/>
      <c r="C364" s="42"/>
      <c r="D364" s="42"/>
      <c r="E364" s="42"/>
      <c r="F364" s="42"/>
      <c r="G364" s="42"/>
      <c r="H364" s="42"/>
      <c r="I364" s="48"/>
      <c r="J364" s="50"/>
      <c r="K364" s="42"/>
      <c r="L364" s="42"/>
      <c r="M364" s="42"/>
      <c r="N364" s="42"/>
      <c r="O364" s="42"/>
      <c r="P364" s="42"/>
      <c r="Q364" s="42"/>
    </row>
    <row r="365">
      <c r="A365" s="50"/>
      <c r="B365" s="42"/>
      <c r="C365" s="42"/>
      <c r="D365" s="42"/>
      <c r="E365" s="42"/>
      <c r="F365" s="42"/>
      <c r="G365" s="42"/>
      <c r="H365" s="42"/>
      <c r="I365" s="48"/>
      <c r="J365" s="50"/>
      <c r="K365" s="42"/>
      <c r="L365" s="42"/>
      <c r="M365" s="42"/>
      <c r="N365" s="42"/>
      <c r="O365" s="42"/>
      <c r="P365" s="42"/>
      <c r="Q365" s="42"/>
    </row>
    <row r="366">
      <c r="A366" s="50"/>
      <c r="B366" s="42"/>
      <c r="C366" s="42"/>
      <c r="D366" s="42"/>
      <c r="E366" s="42"/>
      <c r="F366" s="42"/>
      <c r="G366" s="42"/>
      <c r="H366" s="42"/>
      <c r="I366" s="48"/>
      <c r="J366" s="50"/>
      <c r="K366" s="42"/>
      <c r="L366" s="42"/>
      <c r="M366" s="42"/>
      <c r="N366" s="42"/>
      <c r="O366" s="42"/>
      <c r="P366" s="42"/>
      <c r="Q366" s="42"/>
    </row>
    <row r="367">
      <c r="A367" s="50"/>
      <c r="B367" s="42"/>
      <c r="C367" s="42"/>
      <c r="D367" s="42"/>
      <c r="E367" s="42"/>
      <c r="F367" s="42"/>
      <c r="G367" s="42"/>
      <c r="H367" s="42"/>
      <c r="I367" s="48"/>
      <c r="J367" s="50"/>
      <c r="K367" s="42"/>
      <c r="L367" s="42"/>
      <c r="M367" s="42"/>
      <c r="N367" s="42"/>
      <c r="O367" s="42"/>
      <c r="P367" s="42"/>
      <c r="Q367" s="42"/>
    </row>
    <row r="368">
      <c r="A368" s="50"/>
      <c r="B368" s="42"/>
      <c r="C368" s="42"/>
      <c r="D368" s="42"/>
      <c r="E368" s="42"/>
      <c r="F368" s="42"/>
      <c r="G368" s="42"/>
      <c r="H368" s="42"/>
      <c r="I368" s="48"/>
      <c r="J368" s="50"/>
      <c r="K368" s="42"/>
      <c r="L368" s="42"/>
      <c r="M368" s="42"/>
      <c r="N368" s="42"/>
      <c r="O368" s="42"/>
      <c r="P368" s="42"/>
      <c r="Q368" s="42"/>
    </row>
    <row r="369">
      <c r="A369" s="50"/>
      <c r="B369" s="42"/>
      <c r="C369" s="42"/>
      <c r="D369" s="42"/>
      <c r="E369" s="42"/>
      <c r="F369" s="42"/>
      <c r="G369" s="42"/>
      <c r="H369" s="42"/>
      <c r="I369" s="48"/>
      <c r="J369" s="50"/>
      <c r="K369" s="42"/>
      <c r="L369" s="42"/>
      <c r="M369" s="42"/>
      <c r="N369" s="42"/>
      <c r="O369" s="42"/>
      <c r="P369" s="42"/>
      <c r="Q369" s="42"/>
    </row>
    <row r="370">
      <c r="A370" s="50"/>
      <c r="B370" s="42"/>
      <c r="C370" s="42"/>
      <c r="D370" s="42"/>
      <c r="E370" s="42"/>
      <c r="F370" s="42"/>
      <c r="G370" s="42"/>
      <c r="H370" s="42"/>
      <c r="I370" s="48"/>
      <c r="J370" s="50"/>
      <c r="K370" s="42"/>
      <c r="L370" s="42"/>
      <c r="M370" s="42"/>
      <c r="N370" s="42"/>
      <c r="O370" s="42"/>
      <c r="P370" s="42"/>
      <c r="Q370" s="42"/>
    </row>
    <row r="371">
      <c r="A371" s="50"/>
      <c r="B371" s="42"/>
      <c r="C371" s="42"/>
      <c r="D371" s="42"/>
      <c r="E371" s="42"/>
      <c r="F371" s="42"/>
      <c r="G371" s="42"/>
      <c r="H371" s="42"/>
      <c r="I371" s="48"/>
      <c r="J371" s="50"/>
      <c r="K371" s="42"/>
      <c r="L371" s="42"/>
      <c r="M371" s="42"/>
      <c r="N371" s="42"/>
      <c r="O371" s="42"/>
      <c r="P371" s="42"/>
      <c r="Q371" s="42"/>
    </row>
    <row r="372">
      <c r="A372" s="50"/>
      <c r="B372" s="42"/>
      <c r="C372" s="42"/>
      <c r="D372" s="42"/>
      <c r="E372" s="42"/>
      <c r="F372" s="42"/>
      <c r="G372" s="42"/>
      <c r="H372" s="42"/>
      <c r="I372" s="48"/>
      <c r="J372" s="50"/>
      <c r="K372" s="42"/>
      <c r="L372" s="42"/>
      <c r="M372" s="42"/>
      <c r="N372" s="42"/>
      <c r="O372" s="42"/>
      <c r="P372" s="42"/>
      <c r="Q372" s="42"/>
    </row>
    <row r="373">
      <c r="A373" s="50"/>
      <c r="B373" s="42"/>
      <c r="C373" s="42"/>
      <c r="D373" s="42"/>
      <c r="E373" s="42"/>
      <c r="F373" s="42"/>
      <c r="G373" s="42"/>
      <c r="H373" s="42"/>
      <c r="I373" s="48"/>
      <c r="J373" s="50"/>
      <c r="K373" s="42"/>
      <c r="L373" s="42"/>
      <c r="M373" s="42"/>
      <c r="N373" s="42"/>
      <c r="O373" s="42"/>
      <c r="P373" s="42"/>
      <c r="Q373" s="42"/>
    </row>
    <row r="374">
      <c r="A374" s="50"/>
      <c r="B374" s="42"/>
      <c r="C374" s="42"/>
      <c r="D374" s="42"/>
      <c r="E374" s="42"/>
      <c r="F374" s="42"/>
      <c r="G374" s="42"/>
      <c r="H374" s="42"/>
      <c r="I374" s="48"/>
      <c r="J374" s="50"/>
      <c r="K374" s="42"/>
      <c r="L374" s="42"/>
      <c r="M374" s="42"/>
      <c r="N374" s="42"/>
      <c r="O374" s="42"/>
      <c r="P374" s="42"/>
      <c r="Q374" s="42"/>
    </row>
    <row r="375">
      <c r="A375" s="50"/>
      <c r="B375" s="42"/>
      <c r="C375" s="42"/>
      <c r="D375" s="42"/>
      <c r="E375" s="42"/>
      <c r="F375" s="42"/>
      <c r="G375" s="42"/>
      <c r="H375" s="42"/>
      <c r="I375" s="48"/>
      <c r="J375" s="50"/>
      <c r="K375" s="42"/>
      <c r="L375" s="42"/>
      <c r="M375" s="42"/>
      <c r="N375" s="42"/>
      <c r="O375" s="42"/>
      <c r="P375" s="42"/>
      <c r="Q375" s="42"/>
    </row>
    <row r="376">
      <c r="A376" s="50"/>
      <c r="B376" s="42"/>
      <c r="C376" s="42"/>
      <c r="D376" s="42"/>
      <c r="E376" s="42"/>
      <c r="F376" s="42"/>
      <c r="G376" s="42"/>
      <c r="H376" s="42"/>
      <c r="I376" s="48"/>
      <c r="J376" s="50"/>
      <c r="K376" s="42"/>
      <c r="L376" s="42"/>
      <c r="M376" s="42"/>
      <c r="N376" s="42"/>
      <c r="O376" s="42"/>
      <c r="P376" s="42"/>
      <c r="Q376" s="42"/>
    </row>
    <row r="377">
      <c r="A377" s="50"/>
      <c r="B377" s="42"/>
      <c r="C377" s="42"/>
      <c r="D377" s="42"/>
      <c r="E377" s="42"/>
      <c r="F377" s="42"/>
      <c r="G377" s="42"/>
      <c r="H377" s="42"/>
      <c r="I377" s="48"/>
      <c r="J377" s="50"/>
      <c r="K377" s="42"/>
      <c r="L377" s="42"/>
      <c r="M377" s="42"/>
      <c r="N377" s="42"/>
      <c r="O377" s="42"/>
      <c r="P377" s="42"/>
      <c r="Q377" s="42"/>
    </row>
    <row r="378">
      <c r="A378" s="50"/>
      <c r="B378" s="42"/>
      <c r="C378" s="42"/>
      <c r="D378" s="42"/>
      <c r="E378" s="42"/>
      <c r="F378" s="42"/>
      <c r="G378" s="42"/>
      <c r="H378" s="42"/>
      <c r="I378" s="48"/>
      <c r="J378" s="50"/>
      <c r="K378" s="42"/>
      <c r="L378" s="42"/>
      <c r="M378" s="42"/>
      <c r="N378" s="42"/>
      <c r="O378" s="42"/>
      <c r="P378" s="42"/>
      <c r="Q378" s="42"/>
    </row>
    <row r="379">
      <c r="A379" s="50"/>
      <c r="B379" s="42"/>
      <c r="C379" s="42"/>
      <c r="D379" s="42"/>
      <c r="E379" s="42"/>
      <c r="F379" s="42"/>
      <c r="G379" s="42"/>
      <c r="H379" s="42"/>
      <c r="I379" s="48"/>
      <c r="J379" s="50"/>
      <c r="K379" s="42"/>
      <c r="L379" s="42"/>
      <c r="M379" s="42"/>
      <c r="N379" s="42"/>
      <c r="O379" s="42"/>
      <c r="P379" s="42"/>
      <c r="Q379" s="42"/>
    </row>
    <row r="380">
      <c r="A380" s="50"/>
      <c r="B380" s="42"/>
      <c r="C380" s="42"/>
      <c r="D380" s="42"/>
      <c r="E380" s="42"/>
      <c r="F380" s="42"/>
      <c r="G380" s="42"/>
      <c r="H380" s="42"/>
      <c r="I380" s="48"/>
      <c r="J380" s="50"/>
      <c r="K380" s="42"/>
      <c r="L380" s="42"/>
      <c r="M380" s="42"/>
      <c r="N380" s="42"/>
      <c r="O380" s="42"/>
      <c r="P380" s="42"/>
      <c r="Q380" s="42"/>
    </row>
    <row r="381">
      <c r="A381" s="50"/>
      <c r="B381" s="42"/>
      <c r="C381" s="42"/>
      <c r="D381" s="42"/>
      <c r="E381" s="42"/>
      <c r="F381" s="42"/>
      <c r="G381" s="42"/>
      <c r="H381" s="42"/>
      <c r="I381" s="48"/>
      <c r="J381" s="50"/>
      <c r="K381" s="42"/>
      <c r="L381" s="42"/>
      <c r="M381" s="42"/>
      <c r="N381" s="42"/>
      <c r="O381" s="42"/>
      <c r="P381" s="42"/>
      <c r="Q381" s="42"/>
    </row>
    <row r="382">
      <c r="A382" s="50"/>
      <c r="B382" s="42"/>
      <c r="C382" s="42"/>
      <c r="D382" s="42"/>
      <c r="E382" s="42"/>
      <c r="F382" s="42"/>
      <c r="G382" s="42"/>
      <c r="H382" s="42"/>
      <c r="I382" s="48"/>
      <c r="J382" s="50"/>
      <c r="K382" s="42"/>
      <c r="L382" s="42"/>
      <c r="M382" s="42"/>
      <c r="N382" s="42"/>
      <c r="O382" s="42"/>
      <c r="P382" s="42"/>
      <c r="Q382" s="42"/>
    </row>
    <row r="383">
      <c r="A383" s="50"/>
      <c r="B383" s="42"/>
      <c r="C383" s="42"/>
      <c r="D383" s="42"/>
      <c r="E383" s="42"/>
      <c r="F383" s="42"/>
      <c r="G383" s="42"/>
      <c r="H383" s="42"/>
      <c r="I383" s="48"/>
      <c r="J383" s="50"/>
      <c r="K383" s="42"/>
      <c r="L383" s="42"/>
      <c r="M383" s="42"/>
      <c r="N383" s="42"/>
      <c r="O383" s="42"/>
      <c r="P383" s="42"/>
      <c r="Q383" s="42"/>
    </row>
    <row r="384">
      <c r="A384" s="50"/>
      <c r="B384" s="42"/>
      <c r="C384" s="42"/>
      <c r="D384" s="42"/>
      <c r="E384" s="42"/>
      <c r="F384" s="42"/>
      <c r="G384" s="42"/>
      <c r="H384" s="42"/>
      <c r="I384" s="48"/>
      <c r="J384" s="50"/>
      <c r="K384" s="42"/>
      <c r="L384" s="42"/>
      <c r="M384" s="42"/>
      <c r="N384" s="42"/>
      <c r="O384" s="42"/>
      <c r="P384" s="42"/>
      <c r="Q384" s="42"/>
    </row>
    <row r="385">
      <c r="A385" s="50"/>
      <c r="B385" s="42"/>
      <c r="C385" s="42"/>
      <c r="D385" s="42"/>
      <c r="E385" s="42"/>
      <c r="F385" s="42"/>
      <c r="G385" s="42"/>
      <c r="H385" s="42"/>
      <c r="I385" s="48"/>
      <c r="J385" s="50"/>
      <c r="K385" s="42"/>
      <c r="L385" s="42"/>
      <c r="M385" s="42"/>
      <c r="N385" s="42"/>
      <c r="O385" s="42"/>
      <c r="P385" s="42"/>
      <c r="Q385" s="42"/>
    </row>
    <row r="386">
      <c r="A386" s="50"/>
      <c r="B386" s="42"/>
      <c r="C386" s="42"/>
      <c r="D386" s="42"/>
      <c r="E386" s="42"/>
      <c r="F386" s="42"/>
      <c r="G386" s="42"/>
      <c r="H386" s="42"/>
      <c r="I386" s="48"/>
      <c r="J386" s="50"/>
      <c r="K386" s="42"/>
      <c r="L386" s="42"/>
      <c r="M386" s="42"/>
      <c r="N386" s="42"/>
      <c r="O386" s="42"/>
      <c r="P386" s="42"/>
      <c r="Q386" s="42"/>
    </row>
    <row r="387">
      <c r="A387" s="50"/>
      <c r="B387" s="42"/>
      <c r="C387" s="42"/>
      <c r="D387" s="42"/>
      <c r="E387" s="42"/>
      <c r="F387" s="42"/>
      <c r="G387" s="42"/>
      <c r="H387" s="42"/>
      <c r="I387" s="48"/>
      <c r="J387" s="50"/>
      <c r="K387" s="42"/>
      <c r="L387" s="42"/>
      <c r="M387" s="42"/>
      <c r="N387" s="42"/>
      <c r="O387" s="42"/>
      <c r="P387" s="42"/>
      <c r="Q387" s="42"/>
    </row>
    <row r="388">
      <c r="A388" s="50"/>
      <c r="B388" s="42"/>
      <c r="C388" s="42"/>
      <c r="D388" s="42"/>
      <c r="E388" s="42"/>
      <c r="F388" s="42"/>
      <c r="G388" s="42"/>
      <c r="H388" s="42"/>
      <c r="I388" s="48"/>
      <c r="J388" s="50"/>
      <c r="K388" s="42"/>
      <c r="L388" s="42"/>
      <c r="M388" s="42"/>
      <c r="N388" s="42"/>
      <c r="O388" s="42"/>
      <c r="P388" s="42"/>
      <c r="Q388" s="42"/>
    </row>
    <row r="389">
      <c r="A389" s="50"/>
      <c r="B389" s="42"/>
      <c r="C389" s="42"/>
      <c r="D389" s="42"/>
      <c r="E389" s="42"/>
      <c r="F389" s="42"/>
      <c r="G389" s="42"/>
      <c r="H389" s="42"/>
      <c r="I389" s="48"/>
      <c r="J389" s="50"/>
      <c r="K389" s="42"/>
      <c r="L389" s="42"/>
      <c r="M389" s="42"/>
      <c r="N389" s="42"/>
      <c r="O389" s="42"/>
      <c r="P389" s="42"/>
      <c r="Q389" s="42"/>
    </row>
    <row r="390">
      <c r="A390" s="50"/>
      <c r="B390" s="42"/>
      <c r="C390" s="42"/>
      <c r="D390" s="42"/>
      <c r="E390" s="42"/>
      <c r="F390" s="42"/>
      <c r="G390" s="42"/>
      <c r="H390" s="42"/>
      <c r="I390" s="48"/>
      <c r="J390" s="50"/>
      <c r="K390" s="42"/>
      <c r="L390" s="42"/>
      <c r="M390" s="42"/>
      <c r="N390" s="42"/>
      <c r="O390" s="42"/>
      <c r="P390" s="42"/>
      <c r="Q390" s="42"/>
    </row>
    <row r="391">
      <c r="A391" s="50"/>
      <c r="B391" s="42"/>
      <c r="C391" s="42"/>
      <c r="D391" s="42"/>
      <c r="E391" s="42"/>
      <c r="F391" s="42"/>
      <c r="G391" s="42"/>
      <c r="H391" s="42"/>
      <c r="I391" s="48"/>
      <c r="J391" s="50"/>
      <c r="K391" s="42"/>
      <c r="L391" s="42"/>
      <c r="M391" s="42"/>
      <c r="N391" s="42"/>
      <c r="O391" s="42"/>
      <c r="P391" s="42"/>
      <c r="Q391" s="42"/>
    </row>
    <row r="392">
      <c r="A392" s="50"/>
      <c r="B392" s="42"/>
      <c r="C392" s="42"/>
      <c r="D392" s="42"/>
      <c r="E392" s="42"/>
      <c r="F392" s="42"/>
      <c r="G392" s="42"/>
      <c r="H392" s="42"/>
      <c r="I392" s="48"/>
      <c r="J392" s="50"/>
      <c r="K392" s="42"/>
      <c r="L392" s="42"/>
      <c r="M392" s="42"/>
      <c r="N392" s="42"/>
      <c r="O392" s="42"/>
      <c r="P392" s="42"/>
      <c r="Q392" s="42"/>
    </row>
    <row r="393">
      <c r="A393" s="50"/>
      <c r="B393" s="42"/>
      <c r="C393" s="42"/>
      <c r="D393" s="42"/>
      <c r="E393" s="42"/>
      <c r="F393" s="42"/>
      <c r="G393" s="42"/>
      <c r="H393" s="42"/>
      <c r="I393" s="48"/>
      <c r="J393" s="50"/>
      <c r="K393" s="42"/>
      <c r="L393" s="42"/>
      <c r="M393" s="42"/>
      <c r="N393" s="42"/>
      <c r="O393" s="42"/>
      <c r="P393" s="42"/>
      <c r="Q393" s="42"/>
    </row>
    <row r="394">
      <c r="A394" s="50"/>
      <c r="B394" s="42"/>
      <c r="C394" s="42"/>
      <c r="D394" s="42"/>
      <c r="E394" s="42"/>
      <c r="F394" s="42"/>
      <c r="G394" s="42"/>
      <c r="H394" s="42"/>
      <c r="I394" s="48"/>
      <c r="J394" s="50"/>
      <c r="K394" s="42"/>
      <c r="L394" s="42"/>
      <c r="M394" s="42"/>
      <c r="N394" s="42"/>
      <c r="O394" s="42"/>
      <c r="P394" s="42"/>
      <c r="Q394" s="42"/>
    </row>
    <row r="395">
      <c r="A395" s="50"/>
      <c r="B395" s="42"/>
      <c r="C395" s="42"/>
      <c r="D395" s="42"/>
      <c r="E395" s="42"/>
      <c r="F395" s="42"/>
      <c r="G395" s="42"/>
      <c r="H395" s="42"/>
      <c r="I395" s="48"/>
      <c r="J395" s="50"/>
      <c r="K395" s="42"/>
      <c r="L395" s="42"/>
      <c r="M395" s="42"/>
      <c r="N395" s="42"/>
      <c r="O395" s="42"/>
      <c r="P395" s="42"/>
      <c r="Q395" s="42"/>
    </row>
    <row r="396">
      <c r="A396" s="50"/>
      <c r="B396" s="42"/>
      <c r="C396" s="42"/>
      <c r="D396" s="42"/>
      <c r="E396" s="42"/>
      <c r="F396" s="42"/>
      <c r="G396" s="42"/>
      <c r="H396" s="42"/>
      <c r="I396" s="48"/>
      <c r="J396" s="50"/>
      <c r="K396" s="42"/>
      <c r="L396" s="42"/>
      <c r="M396" s="42"/>
      <c r="N396" s="42"/>
      <c r="O396" s="42"/>
      <c r="P396" s="42"/>
      <c r="Q396" s="42"/>
    </row>
    <row r="397">
      <c r="A397" s="50"/>
      <c r="B397" s="42"/>
      <c r="C397" s="42"/>
      <c r="D397" s="42"/>
      <c r="E397" s="42"/>
      <c r="F397" s="42"/>
      <c r="G397" s="42"/>
      <c r="H397" s="42"/>
      <c r="I397" s="48"/>
      <c r="J397" s="50"/>
      <c r="K397" s="42"/>
      <c r="L397" s="42"/>
      <c r="M397" s="42"/>
      <c r="N397" s="42"/>
      <c r="O397" s="42"/>
      <c r="P397" s="42"/>
      <c r="Q397" s="42"/>
    </row>
    <row r="398">
      <c r="A398" s="50"/>
      <c r="B398" s="42"/>
      <c r="C398" s="42"/>
      <c r="D398" s="42"/>
      <c r="E398" s="42"/>
      <c r="F398" s="42"/>
      <c r="G398" s="42"/>
      <c r="H398" s="42"/>
      <c r="I398" s="48"/>
      <c r="J398" s="50"/>
      <c r="K398" s="42"/>
      <c r="L398" s="42"/>
      <c r="M398" s="42"/>
      <c r="N398" s="42"/>
      <c r="O398" s="42"/>
      <c r="P398" s="42"/>
      <c r="Q398" s="42"/>
    </row>
    <row r="399">
      <c r="A399" s="50"/>
      <c r="B399" s="42"/>
      <c r="C399" s="42"/>
      <c r="D399" s="42"/>
      <c r="E399" s="42"/>
      <c r="F399" s="42"/>
      <c r="G399" s="42"/>
      <c r="H399" s="42"/>
      <c r="I399" s="48"/>
      <c r="J399" s="50"/>
      <c r="K399" s="42"/>
      <c r="L399" s="42"/>
      <c r="M399" s="42"/>
      <c r="N399" s="42"/>
      <c r="O399" s="42"/>
      <c r="P399" s="42"/>
      <c r="Q399" s="42"/>
    </row>
    <row r="400">
      <c r="A400" s="50"/>
      <c r="B400" s="42"/>
      <c r="C400" s="42"/>
      <c r="D400" s="42"/>
      <c r="E400" s="42"/>
      <c r="F400" s="42"/>
      <c r="G400" s="42"/>
      <c r="H400" s="42"/>
      <c r="I400" s="48"/>
      <c r="J400" s="50"/>
      <c r="K400" s="42"/>
      <c r="L400" s="42"/>
      <c r="M400" s="42"/>
      <c r="N400" s="42"/>
      <c r="O400" s="42"/>
      <c r="P400" s="42"/>
      <c r="Q400" s="42"/>
    </row>
    <row r="401">
      <c r="A401" s="50"/>
      <c r="B401" s="42"/>
      <c r="C401" s="42"/>
      <c r="D401" s="42"/>
      <c r="E401" s="42"/>
      <c r="F401" s="42"/>
      <c r="G401" s="42"/>
      <c r="H401" s="42"/>
      <c r="I401" s="48"/>
      <c r="J401" s="50"/>
      <c r="K401" s="42"/>
      <c r="L401" s="42"/>
      <c r="M401" s="42"/>
      <c r="N401" s="42"/>
      <c r="O401" s="42"/>
      <c r="P401" s="42"/>
      <c r="Q401" s="42"/>
    </row>
    <row r="402">
      <c r="A402" s="50"/>
      <c r="B402" s="42"/>
      <c r="C402" s="42"/>
      <c r="D402" s="42"/>
      <c r="E402" s="42"/>
      <c r="F402" s="42"/>
      <c r="G402" s="42"/>
      <c r="H402" s="42"/>
      <c r="I402" s="48"/>
      <c r="J402" s="50"/>
      <c r="K402" s="42"/>
      <c r="L402" s="42"/>
      <c r="M402" s="42"/>
      <c r="N402" s="42"/>
      <c r="O402" s="42"/>
      <c r="P402" s="42"/>
      <c r="Q402" s="42"/>
    </row>
    <row r="403">
      <c r="A403" s="50"/>
      <c r="B403" s="42"/>
      <c r="C403" s="42"/>
      <c r="D403" s="42"/>
      <c r="E403" s="42"/>
      <c r="F403" s="42"/>
      <c r="G403" s="42"/>
      <c r="H403" s="42"/>
      <c r="I403" s="48"/>
      <c r="J403" s="50"/>
      <c r="K403" s="42"/>
      <c r="L403" s="42"/>
      <c r="M403" s="42"/>
      <c r="N403" s="42"/>
      <c r="O403" s="42"/>
      <c r="P403" s="42"/>
      <c r="Q403" s="42"/>
    </row>
    <row r="404">
      <c r="A404" s="50"/>
      <c r="B404" s="42"/>
      <c r="C404" s="42"/>
      <c r="D404" s="42"/>
      <c r="E404" s="42"/>
      <c r="F404" s="42"/>
      <c r="G404" s="42"/>
      <c r="H404" s="42"/>
      <c r="I404" s="48"/>
      <c r="J404" s="50"/>
      <c r="K404" s="42"/>
      <c r="L404" s="42"/>
      <c r="M404" s="42"/>
      <c r="N404" s="42"/>
      <c r="O404" s="42"/>
      <c r="P404" s="42"/>
      <c r="Q404" s="42"/>
    </row>
    <row r="405">
      <c r="A405" s="50"/>
      <c r="B405" s="42"/>
      <c r="C405" s="42"/>
      <c r="D405" s="42"/>
      <c r="E405" s="42"/>
      <c r="F405" s="42"/>
      <c r="G405" s="42"/>
      <c r="H405" s="42"/>
      <c r="I405" s="48"/>
      <c r="J405" s="50"/>
      <c r="K405" s="42"/>
      <c r="L405" s="42"/>
      <c r="M405" s="42"/>
      <c r="N405" s="42"/>
      <c r="O405" s="42"/>
      <c r="P405" s="42"/>
      <c r="Q405" s="42"/>
    </row>
    <row r="406">
      <c r="A406" s="50"/>
      <c r="B406" s="42"/>
      <c r="C406" s="42"/>
      <c r="D406" s="42"/>
      <c r="E406" s="42"/>
      <c r="F406" s="42"/>
      <c r="G406" s="42"/>
      <c r="H406" s="42"/>
      <c r="I406" s="48"/>
      <c r="J406" s="50"/>
      <c r="K406" s="42"/>
      <c r="L406" s="42"/>
      <c r="M406" s="42"/>
      <c r="N406" s="42"/>
      <c r="O406" s="42"/>
      <c r="P406" s="42"/>
      <c r="Q406" s="42"/>
    </row>
    <row r="407">
      <c r="A407" s="50"/>
      <c r="B407" s="42"/>
      <c r="C407" s="42"/>
      <c r="D407" s="42"/>
      <c r="E407" s="42"/>
      <c r="F407" s="42"/>
      <c r="G407" s="42"/>
      <c r="H407" s="42"/>
      <c r="I407" s="48"/>
      <c r="J407" s="50"/>
      <c r="K407" s="42"/>
      <c r="L407" s="42"/>
      <c r="M407" s="42"/>
      <c r="N407" s="42"/>
      <c r="O407" s="42"/>
      <c r="P407" s="42"/>
      <c r="Q407" s="42"/>
    </row>
    <row r="408">
      <c r="A408" s="50"/>
      <c r="B408" s="42"/>
      <c r="C408" s="42"/>
      <c r="D408" s="42"/>
      <c r="E408" s="42"/>
      <c r="F408" s="42"/>
      <c r="G408" s="42"/>
      <c r="H408" s="42"/>
      <c r="I408" s="48"/>
      <c r="J408" s="50"/>
      <c r="K408" s="42"/>
      <c r="L408" s="42"/>
      <c r="M408" s="42"/>
      <c r="N408" s="42"/>
      <c r="O408" s="42"/>
      <c r="P408" s="42"/>
      <c r="Q408" s="42"/>
    </row>
    <row r="409">
      <c r="A409" s="50"/>
      <c r="B409" s="42"/>
      <c r="C409" s="42"/>
      <c r="D409" s="42"/>
      <c r="E409" s="42"/>
      <c r="F409" s="42"/>
      <c r="G409" s="42"/>
      <c r="H409" s="42"/>
      <c r="I409" s="48"/>
      <c r="J409" s="50"/>
      <c r="K409" s="42"/>
      <c r="L409" s="42"/>
      <c r="M409" s="42"/>
      <c r="N409" s="42"/>
      <c r="O409" s="42"/>
      <c r="P409" s="42"/>
      <c r="Q409" s="42"/>
    </row>
    <row r="410">
      <c r="A410" s="50"/>
      <c r="B410" s="42"/>
      <c r="C410" s="42"/>
      <c r="D410" s="42"/>
      <c r="E410" s="42"/>
      <c r="F410" s="42"/>
      <c r="G410" s="42"/>
      <c r="H410" s="42"/>
      <c r="I410" s="48"/>
      <c r="J410" s="50"/>
      <c r="K410" s="42"/>
      <c r="L410" s="42"/>
      <c r="M410" s="42"/>
      <c r="N410" s="42"/>
      <c r="O410" s="42"/>
      <c r="P410" s="42"/>
      <c r="Q410" s="42"/>
    </row>
    <row r="411">
      <c r="A411" s="50"/>
      <c r="B411" s="42"/>
      <c r="C411" s="42"/>
      <c r="D411" s="42"/>
      <c r="E411" s="42"/>
      <c r="F411" s="42"/>
      <c r="G411" s="42"/>
      <c r="H411" s="42"/>
      <c r="I411" s="48"/>
      <c r="J411" s="50"/>
      <c r="K411" s="42"/>
      <c r="L411" s="42"/>
      <c r="M411" s="42"/>
      <c r="N411" s="42"/>
      <c r="O411" s="42"/>
      <c r="P411" s="42"/>
      <c r="Q411" s="42"/>
    </row>
    <row r="412">
      <c r="A412" s="50"/>
      <c r="B412" s="42"/>
      <c r="C412" s="42"/>
      <c r="D412" s="42"/>
      <c r="E412" s="42"/>
      <c r="F412" s="42"/>
      <c r="G412" s="42"/>
      <c r="H412" s="42"/>
      <c r="I412" s="48"/>
      <c r="J412" s="50"/>
      <c r="K412" s="42"/>
      <c r="L412" s="42"/>
      <c r="M412" s="42"/>
      <c r="N412" s="42"/>
      <c r="O412" s="42"/>
      <c r="P412" s="42"/>
      <c r="Q412" s="42"/>
    </row>
    <row r="413">
      <c r="A413" s="50"/>
      <c r="B413" s="42"/>
      <c r="C413" s="42"/>
      <c r="D413" s="42"/>
      <c r="E413" s="42"/>
      <c r="F413" s="42"/>
      <c r="G413" s="42"/>
      <c r="H413" s="42"/>
      <c r="I413" s="48"/>
      <c r="J413" s="50"/>
      <c r="K413" s="42"/>
      <c r="L413" s="42"/>
      <c r="M413" s="42"/>
      <c r="N413" s="42"/>
      <c r="O413" s="42"/>
      <c r="P413" s="42"/>
      <c r="Q413" s="42"/>
    </row>
    <row r="414">
      <c r="A414" s="50"/>
      <c r="B414" s="42"/>
      <c r="C414" s="42"/>
      <c r="D414" s="42"/>
      <c r="E414" s="42"/>
      <c r="F414" s="42"/>
      <c r="G414" s="42"/>
      <c r="H414" s="42"/>
      <c r="I414" s="48"/>
      <c r="J414" s="50"/>
      <c r="K414" s="42"/>
      <c r="L414" s="42"/>
      <c r="M414" s="42"/>
      <c r="N414" s="42"/>
      <c r="O414" s="42"/>
      <c r="P414" s="42"/>
      <c r="Q414" s="42"/>
    </row>
    <row r="415">
      <c r="A415" s="50"/>
      <c r="B415" s="42"/>
      <c r="C415" s="42"/>
      <c r="D415" s="42"/>
      <c r="E415" s="42"/>
      <c r="F415" s="42"/>
      <c r="G415" s="42"/>
      <c r="H415" s="42"/>
      <c r="I415" s="48"/>
      <c r="J415" s="50"/>
      <c r="K415" s="42"/>
      <c r="L415" s="42"/>
      <c r="M415" s="42"/>
      <c r="N415" s="42"/>
      <c r="O415" s="42"/>
      <c r="P415" s="42"/>
      <c r="Q415" s="42"/>
    </row>
    <row r="416">
      <c r="A416" s="50"/>
      <c r="B416" s="42"/>
      <c r="C416" s="42"/>
      <c r="D416" s="42"/>
      <c r="E416" s="42"/>
      <c r="F416" s="42"/>
      <c r="G416" s="42"/>
      <c r="H416" s="42"/>
      <c r="I416" s="48"/>
      <c r="J416" s="50"/>
      <c r="K416" s="42"/>
      <c r="L416" s="42"/>
      <c r="M416" s="42"/>
      <c r="N416" s="42"/>
      <c r="O416" s="42"/>
      <c r="P416" s="42"/>
      <c r="Q416" s="42"/>
    </row>
    <row r="417">
      <c r="A417" s="50"/>
      <c r="B417" s="42"/>
      <c r="C417" s="42"/>
      <c r="D417" s="42"/>
      <c r="E417" s="42"/>
      <c r="F417" s="42"/>
      <c r="G417" s="42"/>
      <c r="H417" s="42"/>
      <c r="I417" s="48"/>
      <c r="J417" s="50"/>
      <c r="K417" s="42"/>
      <c r="L417" s="42"/>
      <c r="M417" s="42"/>
      <c r="N417" s="42"/>
      <c r="O417" s="42"/>
      <c r="P417" s="42"/>
      <c r="Q417" s="42"/>
    </row>
    <row r="418">
      <c r="A418" s="50"/>
      <c r="B418" s="42"/>
      <c r="C418" s="42"/>
      <c r="D418" s="42"/>
      <c r="E418" s="42"/>
      <c r="F418" s="42"/>
      <c r="G418" s="42"/>
      <c r="H418" s="42"/>
      <c r="I418" s="48"/>
      <c r="J418" s="50"/>
      <c r="K418" s="42"/>
      <c r="L418" s="42"/>
      <c r="M418" s="42"/>
      <c r="N418" s="42"/>
      <c r="O418" s="42"/>
      <c r="P418" s="42"/>
      <c r="Q418" s="42"/>
    </row>
    <row r="419">
      <c r="A419" s="50"/>
      <c r="B419" s="42"/>
      <c r="C419" s="42"/>
      <c r="D419" s="42"/>
      <c r="E419" s="42"/>
      <c r="F419" s="42"/>
      <c r="G419" s="42"/>
      <c r="H419" s="42"/>
      <c r="I419" s="48"/>
      <c r="J419" s="50"/>
      <c r="K419" s="42"/>
      <c r="L419" s="42"/>
      <c r="M419" s="42"/>
      <c r="N419" s="42"/>
      <c r="O419" s="42"/>
      <c r="P419" s="42"/>
      <c r="Q419" s="42"/>
    </row>
    <row r="420">
      <c r="A420" s="50"/>
      <c r="B420" s="42"/>
      <c r="C420" s="42"/>
      <c r="D420" s="42"/>
      <c r="E420" s="42"/>
      <c r="F420" s="42"/>
      <c r="G420" s="42"/>
      <c r="H420" s="42"/>
      <c r="I420" s="48"/>
      <c r="J420" s="50"/>
      <c r="K420" s="42"/>
      <c r="L420" s="42"/>
      <c r="M420" s="42"/>
      <c r="N420" s="42"/>
      <c r="O420" s="42"/>
      <c r="P420" s="42"/>
      <c r="Q420" s="42"/>
    </row>
    <row r="421">
      <c r="A421" s="50"/>
      <c r="B421" s="42"/>
      <c r="C421" s="42"/>
      <c r="D421" s="42"/>
      <c r="E421" s="42"/>
      <c r="F421" s="42"/>
      <c r="G421" s="42"/>
      <c r="H421" s="42"/>
      <c r="I421" s="48"/>
      <c r="J421" s="50"/>
      <c r="K421" s="42"/>
      <c r="L421" s="42"/>
      <c r="M421" s="42"/>
      <c r="N421" s="42"/>
      <c r="O421" s="42"/>
      <c r="P421" s="42"/>
      <c r="Q421" s="42"/>
    </row>
    <row r="422">
      <c r="A422" s="50"/>
      <c r="B422" s="42"/>
      <c r="C422" s="42"/>
      <c r="D422" s="42"/>
      <c r="E422" s="42"/>
      <c r="F422" s="42"/>
      <c r="G422" s="42"/>
      <c r="H422" s="42"/>
      <c r="I422" s="48"/>
      <c r="J422" s="50"/>
      <c r="K422" s="42"/>
      <c r="L422" s="42"/>
      <c r="M422" s="42"/>
      <c r="N422" s="42"/>
      <c r="O422" s="42"/>
      <c r="P422" s="42"/>
      <c r="Q422" s="42"/>
    </row>
    <row r="423">
      <c r="A423" s="50"/>
      <c r="B423" s="42"/>
      <c r="C423" s="42"/>
      <c r="D423" s="42"/>
      <c r="E423" s="42"/>
      <c r="F423" s="42"/>
      <c r="G423" s="42"/>
      <c r="H423" s="42"/>
      <c r="I423" s="48"/>
      <c r="J423" s="50"/>
      <c r="K423" s="42"/>
      <c r="L423" s="42"/>
      <c r="M423" s="42"/>
      <c r="N423" s="42"/>
      <c r="O423" s="42"/>
      <c r="P423" s="42"/>
      <c r="Q423" s="42"/>
    </row>
    <row r="424">
      <c r="A424" s="50"/>
      <c r="B424" s="42"/>
      <c r="C424" s="42"/>
      <c r="D424" s="42"/>
      <c r="E424" s="42"/>
      <c r="F424" s="42"/>
      <c r="G424" s="42"/>
      <c r="H424" s="42"/>
      <c r="I424" s="48"/>
      <c r="J424" s="50"/>
      <c r="K424" s="42"/>
      <c r="L424" s="42"/>
      <c r="M424" s="42"/>
      <c r="N424" s="42"/>
      <c r="O424" s="42"/>
      <c r="P424" s="42"/>
      <c r="Q424" s="42"/>
    </row>
    <row r="425">
      <c r="A425" s="50"/>
      <c r="B425" s="42"/>
      <c r="C425" s="42"/>
      <c r="D425" s="42"/>
      <c r="E425" s="42"/>
      <c r="F425" s="42"/>
      <c r="G425" s="42"/>
      <c r="H425" s="42"/>
      <c r="I425" s="48"/>
      <c r="J425" s="50"/>
      <c r="K425" s="42"/>
      <c r="L425" s="42"/>
      <c r="M425" s="42"/>
      <c r="N425" s="42"/>
      <c r="O425" s="42"/>
      <c r="P425" s="42"/>
      <c r="Q425" s="42"/>
    </row>
    <row r="426">
      <c r="A426" s="50"/>
      <c r="B426" s="42"/>
      <c r="C426" s="42"/>
      <c r="D426" s="42"/>
      <c r="E426" s="42"/>
      <c r="F426" s="42"/>
      <c r="G426" s="42"/>
      <c r="H426" s="42"/>
      <c r="I426" s="48"/>
      <c r="J426" s="50"/>
      <c r="K426" s="42"/>
      <c r="L426" s="42"/>
      <c r="M426" s="42"/>
      <c r="N426" s="42"/>
      <c r="O426" s="42"/>
      <c r="P426" s="42"/>
      <c r="Q426" s="42"/>
    </row>
    <row r="427">
      <c r="A427" s="50"/>
      <c r="B427" s="42"/>
      <c r="C427" s="42"/>
      <c r="D427" s="42"/>
      <c r="E427" s="42"/>
      <c r="F427" s="42"/>
      <c r="G427" s="42"/>
      <c r="H427" s="42"/>
      <c r="I427" s="48"/>
      <c r="J427" s="50"/>
      <c r="K427" s="42"/>
      <c r="L427" s="42"/>
      <c r="M427" s="42"/>
      <c r="N427" s="42"/>
      <c r="O427" s="42"/>
      <c r="P427" s="42"/>
      <c r="Q427" s="42"/>
    </row>
    <row r="428">
      <c r="A428" s="50"/>
      <c r="B428" s="42"/>
      <c r="C428" s="42"/>
      <c r="D428" s="42"/>
      <c r="E428" s="42"/>
      <c r="F428" s="42"/>
      <c r="G428" s="42"/>
      <c r="H428" s="42"/>
      <c r="I428" s="48"/>
      <c r="J428" s="50"/>
      <c r="K428" s="42"/>
      <c r="L428" s="42"/>
      <c r="M428" s="42"/>
      <c r="N428" s="42"/>
      <c r="O428" s="42"/>
      <c r="P428" s="42"/>
      <c r="Q428" s="42"/>
    </row>
    <row r="429">
      <c r="A429" s="50"/>
      <c r="B429" s="42"/>
      <c r="C429" s="42"/>
      <c r="D429" s="42"/>
      <c r="E429" s="42"/>
      <c r="F429" s="42"/>
      <c r="G429" s="42"/>
      <c r="H429" s="42"/>
      <c r="I429" s="48"/>
      <c r="J429" s="50"/>
      <c r="K429" s="42"/>
      <c r="L429" s="42"/>
      <c r="M429" s="42"/>
      <c r="N429" s="42"/>
      <c r="O429" s="42"/>
      <c r="P429" s="42"/>
      <c r="Q429" s="42"/>
    </row>
    <row r="430">
      <c r="A430" s="50"/>
      <c r="B430" s="42"/>
      <c r="C430" s="42"/>
      <c r="D430" s="42"/>
      <c r="E430" s="42"/>
      <c r="F430" s="42"/>
      <c r="G430" s="42"/>
      <c r="H430" s="42"/>
      <c r="I430" s="48"/>
      <c r="J430" s="50"/>
      <c r="K430" s="42"/>
      <c r="L430" s="42"/>
      <c r="M430" s="42"/>
      <c r="N430" s="42"/>
      <c r="O430" s="42"/>
      <c r="P430" s="42"/>
      <c r="Q430" s="42"/>
    </row>
    <row r="431">
      <c r="A431" s="50"/>
      <c r="B431" s="42"/>
      <c r="C431" s="42"/>
      <c r="D431" s="42"/>
      <c r="E431" s="42"/>
      <c r="F431" s="42"/>
      <c r="G431" s="42"/>
      <c r="H431" s="42"/>
      <c r="I431" s="48"/>
      <c r="J431" s="50"/>
      <c r="K431" s="42"/>
      <c r="L431" s="42"/>
      <c r="M431" s="42"/>
      <c r="N431" s="42"/>
      <c r="O431" s="42"/>
      <c r="P431" s="42"/>
      <c r="Q431" s="42"/>
    </row>
    <row r="432">
      <c r="A432" s="50"/>
      <c r="B432" s="42"/>
      <c r="C432" s="42"/>
      <c r="D432" s="42"/>
      <c r="E432" s="42"/>
      <c r="F432" s="42"/>
      <c r="G432" s="42"/>
      <c r="H432" s="42"/>
      <c r="I432" s="48"/>
      <c r="J432" s="50"/>
      <c r="K432" s="42"/>
      <c r="L432" s="42"/>
      <c r="M432" s="42"/>
      <c r="N432" s="42"/>
      <c r="O432" s="42"/>
      <c r="P432" s="42"/>
      <c r="Q432" s="42"/>
    </row>
    <row r="433">
      <c r="A433" s="50"/>
      <c r="B433" s="42"/>
      <c r="C433" s="42"/>
      <c r="D433" s="42"/>
      <c r="E433" s="42"/>
      <c r="F433" s="42"/>
      <c r="G433" s="42"/>
      <c r="H433" s="42"/>
      <c r="I433" s="48"/>
      <c r="J433" s="50"/>
      <c r="K433" s="42"/>
      <c r="L433" s="42"/>
      <c r="M433" s="42"/>
      <c r="N433" s="42"/>
      <c r="O433" s="42"/>
      <c r="P433" s="42"/>
      <c r="Q433" s="42"/>
    </row>
    <row r="434">
      <c r="A434" s="50"/>
      <c r="B434" s="42"/>
      <c r="C434" s="42"/>
      <c r="D434" s="42"/>
      <c r="E434" s="42"/>
      <c r="F434" s="42"/>
      <c r="G434" s="42"/>
      <c r="H434" s="42"/>
      <c r="I434" s="48"/>
      <c r="J434" s="50"/>
      <c r="K434" s="42"/>
      <c r="L434" s="42"/>
      <c r="M434" s="42"/>
      <c r="N434" s="42"/>
      <c r="O434" s="42"/>
      <c r="P434" s="42"/>
      <c r="Q434" s="42"/>
    </row>
    <row r="435">
      <c r="A435" s="50"/>
      <c r="B435" s="42"/>
      <c r="C435" s="42"/>
      <c r="D435" s="42"/>
      <c r="E435" s="42"/>
      <c r="F435" s="42"/>
      <c r="G435" s="42"/>
      <c r="H435" s="42"/>
      <c r="I435" s="48"/>
      <c r="J435" s="50"/>
      <c r="K435" s="42"/>
      <c r="L435" s="42"/>
      <c r="M435" s="42"/>
      <c r="N435" s="42"/>
      <c r="O435" s="42"/>
      <c r="P435" s="42"/>
      <c r="Q435" s="42"/>
    </row>
    <row r="436">
      <c r="A436" s="50"/>
      <c r="B436" s="42"/>
      <c r="C436" s="42"/>
      <c r="D436" s="42"/>
      <c r="E436" s="42"/>
      <c r="F436" s="42"/>
      <c r="G436" s="42"/>
      <c r="H436" s="42"/>
      <c r="I436" s="48"/>
      <c r="J436" s="50"/>
      <c r="K436" s="42"/>
      <c r="L436" s="42"/>
      <c r="M436" s="42"/>
      <c r="N436" s="42"/>
      <c r="O436" s="42"/>
      <c r="P436" s="42"/>
      <c r="Q436" s="42"/>
    </row>
    <row r="437">
      <c r="A437" s="50"/>
      <c r="B437" s="42"/>
      <c r="C437" s="42"/>
      <c r="D437" s="42"/>
      <c r="E437" s="42"/>
      <c r="F437" s="42"/>
      <c r="G437" s="42"/>
      <c r="H437" s="42"/>
      <c r="I437" s="48"/>
      <c r="J437" s="50"/>
      <c r="K437" s="42"/>
      <c r="L437" s="42"/>
      <c r="M437" s="42"/>
      <c r="N437" s="42"/>
      <c r="O437" s="42"/>
      <c r="P437" s="42"/>
      <c r="Q437" s="42"/>
    </row>
    <row r="438">
      <c r="A438" s="50"/>
      <c r="B438" s="42"/>
      <c r="C438" s="42"/>
      <c r="D438" s="42"/>
      <c r="E438" s="42"/>
      <c r="F438" s="42"/>
      <c r="G438" s="42"/>
      <c r="H438" s="42"/>
      <c r="I438" s="48"/>
      <c r="J438" s="50"/>
      <c r="K438" s="42"/>
      <c r="L438" s="42"/>
      <c r="M438" s="42"/>
      <c r="N438" s="42"/>
      <c r="O438" s="42"/>
      <c r="P438" s="42"/>
      <c r="Q438" s="42"/>
    </row>
    <row r="439">
      <c r="A439" s="50"/>
      <c r="B439" s="42"/>
      <c r="C439" s="42"/>
      <c r="D439" s="42"/>
      <c r="E439" s="42"/>
      <c r="F439" s="42"/>
      <c r="G439" s="42"/>
      <c r="H439" s="42"/>
      <c r="I439" s="48"/>
      <c r="J439" s="50"/>
      <c r="K439" s="42"/>
      <c r="L439" s="42"/>
      <c r="M439" s="42"/>
      <c r="N439" s="42"/>
      <c r="O439" s="42"/>
      <c r="P439" s="42"/>
      <c r="Q439" s="42"/>
    </row>
    <row r="440">
      <c r="A440" s="50"/>
      <c r="B440" s="42"/>
      <c r="C440" s="42"/>
      <c r="D440" s="42"/>
      <c r="E440" s="42"/>
      <c r="F440" s="42"/>
      <c r="G440" s="42"/>
      <c r="H440" s="42"/>
      <c r="I440" s="48"/>
      <c r="J440" s="50"/>
      <c r="K440" s="42"/>
      <c r="L440" s="42"/>
      <c r="M440" s="42"/>
      <c r="N440" s="42"/>
      <c r="O440" s="42"/>
      <c r="P440" s="42"/>
      <c r="Q440" s="42"/>
    </row>
    <row r="441">
      <c r="A441" s="50"/>
      <c r="B441" s="42"/>
      <c r="C441" s="42"/>
      <c r="D441" s="42"/>
      <c r="E441" s="42"/>
      <c r="F441" s="42"/>
      <c r="G441" s="42"/>
      <c r="H441" s="42"/>
      <c r="I441" s="48"/>
      <c r="J441" s="50"/>
      <c r="K441" s="42"/>
      <c r="L441" s="42"/>
      <c r="M441" s="42"/>
      <c r="N441" s="42"/>
      <c r="O441" s="42"/>
      <c r="P441" s="42"/>
      <c r="Q441" s="42"/>
    </row>
    <row r="442">
      <c r="A442" s="50"/>
      <c r="B442" s="42"/>
      <c r="C442" s="42"/>
      <c r="D442" s="42"/>
      <c r="E442" s="42"/>
      <c r="F442" s="42"/>
      <c r="G442" s="42"/>
      <c r="H442" s="42"/>
      <c r="I442" s="48"/>
      <c r="J442" s="50"/>
      <c r="K442" s="42"/>
      <c r="L442" s="42"/>
      <c r="M442" s="42"/>
      <c r="N442" s="42"/>
      <c r="O442" s="42"/>
      <c r="P442" s="42"/>
      <c r="Q442" s="42"/>
    </row>
    <row r="443">
      <c r="A443" s="50"/>
      <c r="B443" s="42"/>
      <c r="C443" s="42"/>
      <c r="D443" s="42"/>
      <c r="E443" s="42"/>
      <c r="F443" s="42"/>
      <c r="G443" s="42"/>
      <c r="H443" s="42"/>
      <c r="I443" s="48"/>
      <c r="J443" s="50"/>
      <c r="K443" s="42"/>
      <c r="L443" s="42"/>
      <c r="M443" s="42"/>
      <c r="N443" s="42"/>
      <c r="O443" s="42"/>
      <c r="P443" s="42"/>
      <c r="Q443" s="42"/>
    </row>
    <row r="444">
      <c r="A444" s="50"/>
      <c r="B444" s="42"/>
      <c r="C444" s="42"/>
      <c r="D444" s="42"/>
      <c r="E444" s="42"/>
      <c r="F444" s="42"/>
      <c r="G444" s="42"/>
      <c r="H444" s="42"/>
      <c r="I444" s="48"/>
      <c r="J444" s="50"/>
      <c r="K444" s="42"/>
      <c r="L444" s="42"/>
      <c r="M444" s="42"/>
      <c r="N444" s="42"/>
      <c r="O444" s="42"/>
      <c r="P444" s="42"/>
      <c r="Q444" s="42"/>
    </row>
    <row r="445">
      <c r="A445" s="50"/>
      <c r="B445" s="42"/>
      <c r="C445" s="42"/>
      <c r="D445" s="42"/>
      <c r="E445" s="42"/>
      <c r="F445" s="42"/>
      <c r="G445" s="42"/>
      <c r="H445" s="42"/>
      <c r="I445" s="48"/>
      <c r="J445" s="50"/>
      <c r="K445" s="42"/>
      <c r="L445" s="42"/>
      <c r="M445" s="42"/>
      <c r="N445" s="42"/>
      <c r="O445" s="42"/>
      <c r="P445" s="42"/>
      <c r="Q445" s="42"/>
    </row>
    <row r="446">
      <c r="A446" s="50"/>
      <c r="B446" s="42"/>
      <c r="C446" s="42"/>
      <c r="D446" s="42"/>
      <c r="E446" s="42"/>
      <c r="F446" s="42"/>
      <c r="G446" s="42"/>
      <c r="H446" s="42"/>
      <c r="I446" s="48"/>
      <c r="J446" s="50"/>
      <c r="K446" s="42"/>
      <c r="L446" s="42"/>
      <c r="M446" s="42"/>
      <c r="N446" s="42"/>
      <c r="O446" s="42"/>
      <c r="P446" s="42"/>
      <c r="Q446" s="42"/>
    </row>
    <row r="447">
      <c r="A447" s="50"/>
      <c r="B447" s="42"/>
      <c r="C447" s="42"/>
      <c r="D447" s="42"/>
      <c r="E447" s="42"/>
      <c r="F447" s="42"/>
      <c r="G447" s="42"/>
      <c r="H447" s="42"/>
      <c r="I447" s="48"/>
      <c r="J447" s="50"/>
      <c r="K447" s="42"/>
      <c r="L447" s="42"/>
      <c r="M447" s="42"/>
      <c r="N447" s="42"/>
      <c r="O447" s="42"/>
      <c r="P447" s="42"/>
      <c r="Q447" s="42"/>
    </row>
    <row r="448">
      <c r="A448" s="50"/>
      <c r="B448" s="42"/>
      <c r="C448" s="42"/>
      <c r="D448" s="42"/>
      <c r="E448" s="42"/>
      <c r="F448" s="42"/>
      <c r="G448" s="42"/>
      <c r="H448" s="42"/>
      <c r="I448" s="48"/>
      <c r="J448" s="50"/>
      <c r="K448" s="42"/>
      <c r="L448" s="42"/>
      <c r="M448" s="42"/>
      <c r="N448" s="42"/>
      <c r="O448" s="42"/>
      <c r="P448" s="42"/>
      <c r="Q448" s="42"/>
    </row>
    <row r="449">
      <c r="A449" s="50"/>
      <c r="B449" s="42"/>
      <c r="C449" s="42"/>
      <c r="D449" s="42"/>
      <c r="E449" s="42"/>
      <c r="F449" s="42"/>
      <c r="G449" s="42"/>
      <c r="H449" s="42"/>
      <c r="I449" s="48"/>
      <c r="J449" s="50"/>
      <c r="K449" s="42"/>
      <c r="L449" s="42"/>
      <c r="M449" s="42"/>
      <c r="N449" s="42"/>
      <c r="O449" s="42"/>
      <c r="P449" s="42"/>
      <c r="Q449" s="42"/>
    </row>
    <row r="450">
      <c r="A450" s="50"/>
      <c r="B450" s="42"/>
      <c r="C450" s="42"/>
      <c r="D450" s="42"/>
      <c r="E450" s="42"/>
      <c r="F450" s="42"/>
      <c r="G450" s="42"/>
      <c r="H450" s="42"/>
      <c r="I450" s="48"/>
      <c r="J450" s="50"/>
      <c r="K450" s="42"/>
      <c r="L450" s="42"/>
      <c r="M450" s="42"/>
      <c r="N450" s="42"/>
      <c r="O450" s="42"/>
      <c r="P450" s="42"/>
      <c r="Q450" s="42"/>
    </row>
    <row r="451">
      <c r="A451" s="50"/>
      <c r="B451" s="42"/>
      <c r="C451" s="42"/>
      <c r="D451" s="42"/>
      <c r="E451" s="42"/>
      <c r="F451" s="42"/>
      <c r="G451" s="42"/>
      <c r="H451" s="42"/>
      <c r="I451" s="48"/>
      <c r="J451" s="50"/>
      <c r="K451" s="42"/>
      <c r="L451" s="42"/>
      <c r="M451" s="42"/>
      <c r="N451" s="42"/>
      <c r="O451" s="42"/>
      <c r="P451" s="42"/>
      <c r="Q451" s="42"/>
    </row>
    <row r="452">
      <c r="A452" s="50"/>
      <c r="B452" s="42"/>
      <c r="C452" s="42"/>
      <c r="D452" s="42"/>
      <c r="E452" s="42"/>
      <c r="F452" s="42"/>
      <c r="G452" s="42"/>
      <c r="H452" s="42"/>
      <c r="I452" s="48"/>
      <c r="J452" s="50"/>
      <c r="K452" s="42"/>
      <c r="L452" s="42"/>
      <c r="M452" s="42"/>
      <c r="N452" s="42"/>
      <c r="O452" s="42"/>
      <c r="P452" s="42"/>
      <c r="Q452" s="42"/>
    </row>
    <row r="453">
      <c r="A453" s="50"/>
      <c r="B453" s="42"/>
      <c r="C453" s="42"/>
      <c r="D453" s="42"/>
      <c r="E453" s="42"/>
      <c r="F453" s="42"/>
      <c r="G453" s="42"/>
      <c r="H453" s="42"/>
      <c r="I453" s="48"/>
      <c r="J453" s="50"/>
      <c r="K453" s="42"/>
      <c r="L453" s="42"/>
      <c r="M453" s="42"/>
      <c r="N453" s="42"/>
      <c r="O453" s="42"/>
      <c r="P453" s="42"/>
      <c r="Q453" s="42"/>
    </row>
    <row r="454">
      <c r="A454" s="50"/>
      <c r="B454" s="42"/>
      <c r="C454" s="42"/>
      <c r="D454" s="42"/>
      <c r="E454" s="42"/>
      <c r="F454" s="42"/>
      <c r="G454" s="42"/>
      <c r="H454" s="42"/>
      <c r="I454" s="48"/>
      <c r="J454" s="50"/>
      <c r="K454" s="42"/>
      <c r="L454" s="42"/>
      <c r="M454" s="42"/>
      <c r="N454" s="42"/>
      <c r="O454" s="42"/>
      <c r="P454" s="42"/>
      <c r="Q454" s="42"/>
    </row>
    <row r="455">
      <c r="A455" s="50"/>
      <c r="B455" s="42"/>
      <c r="C455" s="42"/>
      <c r="D455" s="42"/>
      <c r="E455" s="42"/>
      <c r="F455" s="42"/>
      <c r="G455" s="42"/>
      <c r="H455" s="42"/>
      <c r="I455" s="48"/>
      <c r="J455" s="50"/>
      <c r="K455" s="42"/>
      <c r="L455" s="42"/>
      <c r="M455" s="42"/>
      <c r="N455" s="42"/>
      <c r="O455" s="42"/>
      <c r="P455" s="42"/>
      <c r="Q455" s="42"/>
    </row>
    <row r="456">
      <c r="A456" s="50"/>
      <c r="B456" s="42"/>
      <c r="C456" s="42"/>
      <c r="D456" s="42"/>
      <c r="E456" s="42"/>
      <c r="F456" s="42"/>
      <c r="G456" s="42"/>
      <c r="H456" s="42"/>
      <c r="I456" s="48"/>
      <c r="J456" s="50"/>
      <c r="K456" s="42"/>
      <c r="L456" s="42"/>
      <c r="M456" s="42"/>
      <c r="N456" s="42"/>
      <c r="O456" s="42"/>
      <c r="P456" s="42"/>
      <c r="Q456" s="42"/>
    </row>
    <row r="457">
      <c r="A457" s="50"/>
      <c r="B457" s="42"/>
      <c r="C457" s="42"/>
      <c r="D457" s="42"/>
      <c r="E457" s="42"/>
      <c r="F457" s="42"/>
      <c r="G457" s="42"/>
      <c r="H457" s="42"/>
      <c r="I457" s="48"/>
      <c r="J457" s="50"/>
      <c r="K457" s="42"/>
      <c r="L457" s="42"/>
      <c r="M457" s="42"/>
      <c r="N457" s="42"/>
      <c r="O457" s="42"/>
      <c r="P457" s="42"/>
      <c r="Q457" s="42"/>
    </row>
    <row r="458">
      <c r="A458" s="50"/>
      <c r="B458" s="42"/>
      <c r="C458" s="42"/>
      <c r="D458" s="42"/>
      <c r="E458" s="42"/>
      <c r="F458" s="42"/>
      <c r="G458" s="42"/>
      <c r="H458" s="42"/>
      <c r="I458" s="48"/>
      <c r="J458" s="50"/>
      <c r="K458" s="42"/>
      <c r="L458" s="42"/>
      <c r="M458" s="42"/>
      <c r="N458" s="42"/>
      <c r="O458" s="42"/>
      <c r="P458" s="42"/>
      <c r="Q458" s="42"/>
    </row>
    <row r="459">
      <c r="A459" s="50"/>
      <c r="B459" s="42"/>
      <c r="C459" s="42"/>
      <c r="D459" s="42"/>
      <c r="E459" s="42"/>
      <c r="F459" s="42"/>
      <c r="G459" s="42"/>
      <c r="H459" s="42"/>
      <c r="I459" s="48"/>
      <c r="J459" s="50"/>
      <c r="K459" s="42"/>
      <c r="L459" s="42"/>
      <c r="M459" s="42"/>
      <c r="N459" s="42"/>
      <c r="O459" s="42"/>
      <c r="P459" s="42"/>
      <c r="Q459" s="42"/>
    </row>
    <row r="460">
      <c r="A460" s="50"/>
      <c r="B460" s="42"/>
      <c r="C460" s="42"/>
      <c r="D460" s="42"/>
      <c r="E460" s="42"/>
      <c r="F460" s="42"/>
      <c r="G460" s="42"/>
      <c r="H460" s="42"/>
      <c r="I460" s="48"/>
      <c r="J460" s="50"/>
      <c r="K460" s="42"/>
      <c r="L460" s="42"/>
      <c r="M460" s="42"/>
      <c r="N460" s="42"/>
      <c r="O460" s="42"/>
      <c r="P460" s="42"/>
      <c r="Q460" s="42"/>
    </row>
    <row r="461">
      <c r="A461" s="50"/>
      <c r="B461" s="42"/>
      <c r="C461" s="42"/>
      <c r="D461" s="42"/>
      <c r="E461" s="42"/>
      <c r="F461" s="42"/>
      <c r="G461" s="42"/>
      <c r="H461" s="42"/>
      <c r="I461" s="48"/>
      <c r="J461" s="50"/>
      <c r="K461" s="42"/>
      <c r="L461" s="42"/>
      <c r="M461" s="42"/>
      <c r="N461" s="42"/>
      <c r="O461" s="42"/>
      <c r="P461" s="42"/>
      <c r="Q461" s="42"/>
    </row>
    <row r="462">
      <c r="A462" s="50"/>
      <c r="B462" s="42"/>
      <c r="C462" s="42"/>
      <c r="D462" s="42"/>
      <c r="E462" s="42"/>
      <c r="F462" s="42"/>
      <c r="G462" s="42"/>
      <c r="H462" s="42"/>
      <c r="I462" s="48"/>
      <c r="J462" s="50"/>
      <c r="K462" s="42"/>
      <c r="L462" s="42"/>
      <c r="M462" s="42"/>
      <c r="N462" s="42"/>
      <c r="O462" s="42"/>
      <c r="P462" s="42"/>
      <c r="Q462" s="42"/>
    </row>
    <row r="463">
      <c r="A463" s="50"/>
      <c r="B463" s="42"/>
      <c r="C463" s="42"/>
      <c r="D463" s="42"/>
      <c r="E463" s="42"/>
      <c r="F463" s="42"/>
      <c r="G463" s="42"/>
      <c r="H463" s="42"/>
      <c r="I463" s="48"/>
      <c r="J463" s="50"/>
      <c r="K463" s="42"/>
      <c r="L463" s="42"/>
      <c r="M463" s="42"/>
      <c r="N463" s="42"/>
      <c r="O463" s="42"/>
      <c r="P463" s="42"/>
      <c r="Q463" s="42"/>
    </row>
    <row r="464">
      <c r="A464" s="50"/>
      <c r="B464" s="42"/>
      <c r="C464" s="42"/>
      <c r="D464" s="42"/>
      <c r="E464" s="42"/>
      <c r="F464" s="42"/>
      <c r="G464" s="42"/>
      <c r="H464" s="42"/>
      <c r="I464" s="48"/>
      <c r="J464" s="50"/>
      <c r="K464" s="42"/>
      <c r="L464" s="42"/>
      <c r="M464" s="42"/>
      <c r="N464" s="42"/>
      <c r="O464" s="42"/>
      <c r="P464" s="42"/>
      <c r="Q464" s="42"/>
    </row>
    <row r="465">
      <c r="A465" s="50"/>
      <c r="B465" s="42"/>
      <c r="C465" s="42"/>
      <c r="D465" s="42"/>
      <c r="E465" s="42"/>
      <c r="F465" s="42"/>
      <c r="G465" s="42"/>
      <c r="H465" s="42"/>
      <c r="I465" s="48"/>
      <c r="J465" s="50"/>
      <c r="K465" s="42"/>
      <c r="L465" s="42"/>
      <c r="M465" s="42"/>
      <c r="N465" s="42"/>
      <c r="O465" s="42"/>
      <c r="P465" s="42"/>
      <c r="Q465" s="42"/>
    </row>
    <row r="466">
      <c r="A466" s="50"/>
      <c r="B466" s="42"/>
      <c r="C466" s="42"/>
      <c r="D466" s="42"/>
      <c r="E466" s="42"/>
      <c r="F466" s="42"/>
      <c r="G466" s="42"/>
      <c r="H466" s="42"/>
      <c r="I466" s="48"/>
      <c r="J466" s="50"/>
      <c r="K466" s="42"/>
      <c r="L466" s="42"/>
      <c r="M466" s="42"/>
      <c r="N466" s="42"/>
      <c r="O466" s="42"/>
      <c r="P466" s="42"/>
      <c r="Q466" s="42"/>
    </row>
    <row r="467">
      <c r="A467" s="50"/>
      <c r="B467" s="42"/>
      <c r="C467" s="42"/>
      <c r="D467" s="42"/>
      <c r="E467" s="42"/>
      <c r="F467" s="42"/>
      <c r="G467" s="42"/>
      <c r="H467" s="42"/>
      <c r="I467" s="48"/>
      <c r="J467" s="50"/>
      <c r="K467" s="42"/>
      <c r="L467" s="42"/>
      <c r="M467" s="42"/>
      <c r="N467" s="42"/>
      <c r="O467" s="42"/>
      <c r="P467" s="42"/>
      <c r="Q467" s="42"/>
    </row>
    <row r="468">
      <c r="A468" s="50"/>
      <c r="B468" s="42"/>
      <c r="C468" s="42"/>
      <c r="D468" s="42"/>
      <c r="E468" s="42"/>
      <c r="F468" s="42"/>
      <c r="G468" s="42"/>
      <c r="H468" s="42"/>
      <c r="I468" s="48"/>
      <c r="J468" s="50"/>
      <c r="K468" s="42"/>
      <c r="L468" s="42"/>
      <c r="M468" s="42"/>
      <c r="N468" s="42"/>
      <c r="O468" s="42"/>
      <c r="P468" s="42"/>
      <c r="Q468" s="42"/>
    </row>
    <row r="469">
      <c r="A469" s="50"/>
      <c r="B469" s="42"/>
      <c r="C469" s="42"/>
      <c r="D469" s="42"/>
      <c r="E469" s="42"/>
      <c r="F469" s="42"/>
      <c r="G469" s="42"/>
      <c r="H469" s="42"/>
      <c r="I469" s="48"/>
      <c r="J469" s="50"/>
      <c r="K469" s="42"/>
      <c r="L469" s="42"/>
      <c r="M469" s="42"/>
      <c r="N469" s="42"/>
      <c r="O469" s="42"/>
      <c r="P469" s="42"/>
      <c r="Q469" s="42"/>
    </row>
    <row r="470">
      <c r="A470" s="50"/>
      <c r="B470" s="42"/>
      <c r="C470" s="42"/>
      <c r="D470" s="42"/>
      <c r="E470" s="42"/>
      <c r="F470" s="42"/>
      <c r="G470" s="42"/>
      <c r="H470" s="42"/>
      <c r="I470" s="48"/>
      <c r="J470" s="50"/>
      <c r="K470" s="42"/>
      <c r="L470" s="42"/>
      <c r="M470" s="42"/>
      <c r="N470" s="42"/>
      <c r="O470" s="42"/>
      <c r="P470" s="42"/>
      <c r="Q470" s="42"/>
    </row>
    <row r="471">
      <c r="A471" s="50"/>
      <c r="B471" s="42"/>
      <c r="C471" s="42"/>
      <c r="D471" s="42"/>
      <c r="E471" s="42"/>
      <c r="F471" s="42"/>
      <c r="G471" s="42"/>
      <c r="H471" s="42"/>
      <c r="I471" s="48"/>
      <c r="J471" s="50"/>
      <c r="K471" s="42"/>
      <c r="L471" s="42"/>
      <c r="M471" s="42"/>
      <c r="N471" s="42"/>
      <c r="O471" s="42"/>
      <c r="P471" s="42"/>
      <c r="Q471" s="42"/>
    </row>
    <row r="472">
      <c r="A472" s="50"/>
      <c r="B472" s="42"/>
      <c r="C472" s="42"/>
      <c r="D472" s="42"/>
      <c r="E472" s="42"/>
      <c r="F472" s="42"/>
      <c r="G472" s="42"/>
      <c r="H472" s="42"/>
      <c r="I472" s="48"/>
      <c r="J472" s="50"/>
      <c r="K472" s="42"/>
      <c r="L472" s="42"/>
      <c r="M472" s="42"/>
      <c r="N472" s="42"/>
      <c r="O472" s="42"/>
      <c r="P472" s="42"/>
      <c r="Q472" s="42"/>
    </row>
    <row r="473">
      <c r="A473" s="50"/>
      <c r="B473" s="42"/>
      <c r="C473" s="42"/>
      <c r="D473" s="42"/>
      <c r="E473" s="42"/>
      <c r="F473" s="42"/>
      <c r="G473" s="42"/>
      <c r="H473" s="42"/>
      <c r="I473" s="48"/>
      <c r="J473" s="50"/>
      <c r="K473" s="42"/>
      <c r="L473" s="42"/>
      <c r="M473" s="42"/>
      <c r="N473" s="42"/>
      <c r="O473" s="42"/>
      <c r="P473" s="42"/>
      <c r="Q473" s="42"/>
    </row>
    <row r="474">
      <c r="A474" s="50"/>
      <c r="B474" s="42"/>
      <c r="C474" s="42"/>
      <c r="D474" s="42"/>
      <c r="E474" s="42"/>
      <c r="F474" s="42"/>
      <c r="G474" s="42"/>
      <c r="H474" s="42"/>
      <c r="I474" s="48"/>
      <c r="J474" s="50"/>
      <c r="K474" s="42"/>
      <c r="L474" s="42"/>
      <c r="M474" s="42"/>
      <c r="N474" s="42"/>
      <c r="O474" s="42"/>
      <c r="P474" s="42"/>
      <c r="Q474" s="42"/>
    </row>
    <row r="475">
      <c r="A475" s="50"/>
      <c r="B475" s="42"/>
      <c r="C475" s="42"/>
      <c r="D475" s="42"/>
      <c r="E475" s="42"/>
      <c r="F475" s="42"/>
      <c r="G475" s="42"/>
      <c r="H475" s="42"/>
      <c r="I475" s="48"/>
      <c r="J475" s="50"/>
      <c r="K475" s="42"/>
      <c r="L475" s="42"/>
      <c r="M475" s="42"/>
      <c r="N475" s="42"/>
      <c r="O475" s="42"/>
      <c r="P475" s="42"/>
      <c r="Q475" s="42"/>
    </row>
    <row r="476">
      <c r="A476" s="50"/>
      <c r="B476" s="42"/>
      <c r="C476" s="42"/>
      <c r="D476" s="42"/>
      <c r="E476" s="42"/>
      <c r="F476" s="42"/>
      <c r="G476" s="42"/>
      <c r="H476" s="42"/>
      <c r="I476" s="48"/>
      <c r="J476" s="50"/>
      <c r="K476" s="42"/>
      <c r="L476" s="42"/>
      <c r="M476" s="42"/>
      <c r="N476" s="42"/>
      <c r="O476" s="42"/>
      <c r="P476" s="42"/>
      <c r="Q476" s="42"/>
    </row>
    <row r="477">
      <c r="A477" s="50"/>
      <c r="B477" s="42"/>
      <c r="C477" s="42"/>
      <c r="D477" s="42"/>
      <c r="E477" s="42"/>
      <c r="F477" s="42"/>
      <c r="G477" s="42"/>
      <c r="H477" s="42"/>
      <c r="I477" s="48"/>
      <c r="J477" s="50"/>
      <c r="K477" s="42"/>
      <c r="L477" s="42"/>
      <c r="M477" s="42"/>
      <c r="N477" s="42"/>
      <c r="O477" s="42"/>
      <c r="P477" s="42"/>
      <c r="Q477" s="42"/>
    </row>
    <row r="478">
      <c r="A478" s="50"/>
      <c r="B478" s="42"/>
      <c r="C478" s="42"/>
      <c r="D478" s="42"/>
      <c r="E478" s="42"/>
      <c r="F478" s="42"/>
      <c r="G478" s="42"/>
      <c r="H478" s="42"/>
      <c r="I478" s="48"/>
      <c r="J478" s="50"/>
      <c r="K478" s="42"/>
      <c r="L478" s="42"/>
      <c r="M478" s="42"/>
      <c r="N478" s="42"/>
      <c r="O478" s="42"/>
      <c r="P478" s="42"/>
      <c r="Q478" s="42"/>
    </row>
    <row r="479">
      <c r="A479" s="50"/>
      <c r="B479" s="42"/>
      <c r="C479" s="42"/>
      <c r="D479" s="42"/>
      <c r="E479" s="42"/>
      <c r="F479" s="42"/>
      <c r="G479" s="42"/>
      <c r="H479" s="42"/>
      <c r="I479" s="48"/>
      <c r="J479" s="50"/>
      <c r="K479" s="42"/>
      <c r="L479" s="42"/>
      <c r="M479" s="42"/>
      <c r="N479" s="42"/>
      <c r="O479" s="42"/>
      <c r="P479" s="42"/>
      <c r="Q479" s="42"/>
    </row>
    <row r="480">
      <c r="A480" s="50"/>
      <c r="B480" s="42"/>
      <c r="C480" s="42"/>
      <c r="D480" s="42"/>
      <c r="E480" s="42"/>
      <c r="F480" s="42"/>
      <c r="G480" s="42"/>
      <c r="H480" s="42"/>
      <c r="I480" s="48"/>
      <c r="J480" s="50"/>
      <c r="K480" s="42"/>
      <c r="L480" s="42"/>
      <c r="M480" s="42"/>
      <c r="N480" s="42"/>
      <c r="O480" s="42"/>
      <c r="P480" s="42"/>
      <c r="Q480" s="42"/>
    </row>
    <row r="481">
      <c r="A481" s="50"/>
      <c r="B481" s="42"/>
      <c r="C481" s="42"/>
      <c r="D481" s="42"/>
      <c r="E481" s="42"/>
      <c r="F481" s="42"/>
      <c r="G481" s="42"/>
      <c r="H481" s="42"/>
      <c r="I481" s="48"/>
      <c r="J481" s="50"/>
      <c r="K481" s="42"/>
      <c r="L481" s="42"/>
      <c r="M481" s="42"/>
      <c r="N481" s="42"/>
      <c r="O481" s="42"/>
      <c r="P481" s="42"/>
      <c r="Q481" s="42"/>
    </row>
    <row r="482">
      <c r="A482" s="50"/>
      <c r="B482" s="42"/>
      <c r="C482" s="42"/>
      <c r="D482" s="42"/>
      <c r="E482" s="42"/>
      <c r="F482" s="42"/>
      <c r="G482" s="42"/>
      <c r="H482" s="42"/>
      <c r="I482" s="48"/>
      <c r="J482" s="50"/>
      <c r="K482" s="42"/>
      <c r="L482" s="42"/>
      <c r="M482" s="42"/>
      <c r="N482" s="42"/>
      <c r="O482" s="42"/>
      <c r="P482" s="42"/>
      <c r="Q482" s="42"/>
    </row>
    <row r="483">
      <c r="A483" s="50"/>
      <c r="B483" s="42"/>
      <c r="C483" s="42"/>
      <c r="D483" s="42"/>
      <c r="E483" s="42"/>
      <c r="F483" s="42"/>
      <c r="G483" s="42"/>
      <c r="H483" s="42"/>
      <c r="I483" s="48"/>
      <c r="J483" s="50"/>
      <c r="K483" s="42"/>
      <c r="L483" s="42"/>
      <c r="M483" s="42"/>
      <c r="N483" s="42"/>
      <c r="O483" s="42"/>
      <c r="P483" s="42"/>
      <c r="Q483" s="42"/>
    </row>
    <row r="484">
      <c r="A484" s="50"/>
      <c r="B484" s="42"/>
      <c r="C484" s="42"/>
      <c r="D484" s="42"/>
      <c r="E484" s="42"/>
      <c r="F484" s="42"/>
      <c r="G484" s="42"/>
      <c r="H484" s="42"/>
      <c r="I484" s="48"/>
      <c r="J484" s="50"/>
      <c r="K484" s="42"/>
      <c r="L484" s="42"/>
      <c r="M484" s="42"/>
      <c r="N484" s="42"/>
      <c r="O484" s="42"/>
      <c r="P484" s="42"/>
      <c r="Q484" s="42"/>
    </row>
    <row r="485">
      <c r="A485" s="50"/>
      <c r="B485" s="42"/>
      <c r="C485" s="42"/>
      <c r="D485" s="42"/>
      <c r="E485" s="42"/>
      <c r="F485" s="42"/>
      <c r="G485" s="42"/>
      <c r="H485" s="42"/>
      <c r="I485" s="48"/>
      <c r="J485" s="50"/>
      <c r="K485" s="42"/>
      <c r="L485" s="42"/>
      <c r="M485" s="42"/>
      <c r="N485" s="42"/>
      <c r="O485" s="42"/>
      <c r="P485" s="42"/>
      <c r="Q485" s="42"/>
    </row>
    <row r="486">
      <c r="A486" s="50"/>
      <c r="B486" s="42"/>
      <c r="C486" s="42"/>
      <c r="D486" s="42"/>
      <c r="E486" s="42"/>
      <c r="F486" s="42"/>
      <c r="G486" s="42"/>
      <c r="H486" s="42"/>
      <c r="I486" s="48"/>
      <c r="J486" s="50"/>
      <c r="K486" s="42"/>
      <c r="L486" s="42"/>
      <c r="M486" s="42"/>
      <c r="N486" s="42"/>
      <c r="O486" s="42"/>
      <c r="P486" s="42"/>
      <c r="Q486" s="42"/>
    </row>
    <row r="487">
      <c r="A487" s="50"/>
      <c r="B487" s="42"/>
      <c r="C487" s="42"/>
      <c r="D487" s="42"/>
      <c r="E487" s="42"/>
      <c r="F487" s="42"/>
      <c r="G487" s="42"/>
      <c r="H487" s="42"/>
      <c r="I487" s="48"/>
      <c r="J487" s="50"/>
      <c r="K487" s="42"/>
      <c r="L487" s="42"/>
      <c r="M487" s="42"/>
      <c r="N487" s="42"/>
      <c r="O487" s="42"/>
      <c r="P487" s="42"/>
      <c r="Q487" s="42"/>
    </row>
    <row r="488">
      <c r="A488" s="50"/>
      <c r="B488" s="42"/>
      <c r="C488" s="42"/>
      <c r="D488" s="42"/>
      <c r="E488" s="42"/>
      <c r="F488" s="42"/>
      <c r="G488" s="42"/>
      <c r="H488" s="42"/>
      <c r="I488" s="48"/>
      <c r="J488" s="50"/>
      <c r="K488" s="42"/>
      <c r="L488" s="42"/>
      <c r="M488" s="42"/>
      <c r="N488" s="42"/>
      <c r="O488" s="42"/>
      <c r="P488" s="42"/>
      <c r="Q488" s="42"/>
    </row>
    <row r="489">
      <c r="A489" s="50"/>
      <c r="B489" s="42"/>
      <c r="C489" s="42"/>
      <c r="D489" s="42"/>
      <c r="E489" s="42"/>
      <c r="F489" s="42"/>
      <c r="G489" s="42"/>
      <c r="H489" s="42"/>
      <c r="I489" s="48"/>
      <c r="J489" s="50"/>
      <c r="K489" s="42"/>
      <c r="L489" s="42"/>
      <c r="M489" s="42"/>
      <c r="N489" s="42"/>
      <c r="O489" s="42"/>
      <c r="P489" s="42"/>
      <c r="Q489" s="42"/>
    </row>
    <row r="490">
      <c r="A490" s="50"/>
      <c r="B490" s="42"/>
      <c r="C490" s="42"/>
      <c r="D490" s="42"/>
      <c r="E490" s="42"/>
      <c r="F490" s="42"/>
      <c r="G490" s="42"/>
      <c r="H490" s="42"/>
      <c r="I490" s="48"/>
      <c r="J490" s="50"/>
      <c r="K490" s="42"/>
      <c r="L490" s="42"/>
      <c r="M490" s="42"/>
      <c r="N490" s="42"/>
      <c r="O490" s="42"/>
      <c r="P490" s="42"/>
      <c r="Q490" s="42"/>
    </row>
    <row r="491">
      <c r="A491" s="50"/>
      <c r="B491" s="42"/>
      <c r="C491" s="42"/>
      <c r="D491" s="42"/>
      <c r="E491" s="42"/>
      <c r="F491" s="42"/>
      <c r="G491" s="42"/>
      <c r="H491" s="42"/>
      <c r="I491" s="48"/>
      <c r="J491" s="50"/>
      <c r="K491" s="42"/>
      <c r="L491" s="42"/>
      <c r="M491" s="42"/>
      <c r="N491" s="42"/>
      <c r="O491" s="42"/>
      <c r="P491" s="42"/>
      <c r="Q491" s="42"/>
    </row>
    <row r="492">
      <c r="A492" s="50"/>
      <c r="B492" s="42"/>
      <c r="C492" s="42"/>
      <c r="D492" s="42"/>
      <c r="E492" s="42"/>
      <c r="F492" s="42"/>
      <c r="G492" s="42"/>
      <c r="H492" s="42"/>
      <c r="I492" s="48"/>
      <c r="J492" s="50"/>
      <c r="K492" s="42"/>
      <c r="L492" s="42"/>
      <c r="M492" s="42"/>
      <c r="N492" s="42"/>
      <c r="O492" s="42"/>
      <c r="P492" s="42"/>
      <c r="Q492" s="42"/>
    </row>
    <row r="493">
      <c r="A493" s="50"/>
      <c r="B493" s="42"/>
      <c r="C493" s="42"/>
      <c r="D493" s="42"/>
      <c r="E493" s="42"/>
      <c r="F493" s="42"/>
      <c r="G493" s="42"/>
      <c r="H493" s="42"/>
      <c r="I493" s="48"/>
      <c r="J493" s="50"/>
      <c r="K493" s="42"/>
      <c r="L493" s="42"/>
      <c r="M493" s="42"/>
      <c r="N493" s="42"/>
      <c r="O493" s="42"/>
      <c r="P493" s="42"/>
      <c r="Q493" s="42"/>
    </row>
    <row r="494">
      <c r="A494" s="50"/>
      <c r="B494" s="42"/>
      <c r="C494" s="42"/>
      <c r="D494" s="42"/>
      <c r="E494" s="42"/>
      <c r="F494" s="42"/>
      <c r="G494" s="42"/>
      <c r="H494" s="42"/>
      <c r="I494" s="48"/>
      <c r="J494" s="50"/>
      <c r="K494" s="42"/>
      <c r="L494" s="42"/>
      <c r="M494" s="42"/>
      <c r="N494" s="42"/>
      <c r="O494" s="42"/>
      <c r="P494" s="42"/>
      <c r="Q494" s="42"/>
    </row>
    <row r="495">
      <c r="A495" s="50"/>
      <c r="B495" s="42"/>
      <c r="C495" s="42"/>
      <c r="D495" s="42"/>
      <c r="E495" s="42"/>
      <c r="F495" s="42"/>
      <c r="G495" s="42"/>
      <c r="H495" s="42"/>
      <c r="I495" s="48"/>
      <c r="J495" s="50"/>
      <c r="K495" s="42"/>
      <c r="L495" s="42"/>
      <c r="M495" s="42"/>
      <c r="N495" s="42"/>
      <c r="O495" s="42"/>
      <c r="P495" s="42"/>
      <c r="Q495" s="42"/>
    </row>
    <row r="496">
      <c r="A496" s="50"/>
      <c r="B496" s="42"/>
      <c r="C496" s="42"/>
      <c r="D496" s="42"/>
      <c r="E496" s="42"/>
      <c r="F496" s="42"/>
      <c r="G496" s="42"/>
      <c r="H496" s="42"/>
      <c r="I496" s="48"/>
      <c r="J496" s="50"/>
      <c r="K496" s="42"/>
      <c r="L496" s="42"/>
      <c r="M496" s="42"/>
      <c r="N496" s="42"/>
      <c r="O496" s="42"/>
      <c r="P496" s="42"/>
      <c r="Q496" s="42"/>
    </row>
    <row r="497">
      <c r="A497" s="50"/>
      <c r="B497" s="42"/>
      <c r="C497" s="42"/>
      <c r="D497" s="42"/>
      <c r="E497" s="42"/>
      <c r="F497" s="42"/>
      <c r="G497" s="42"/>
      <c r="H497" s="42"/>
      <c r="I497" s="48"/>
      <c r="J497" s="50"/>
      <c r="K497" s="42"/>
      <c r="L497" s="42"/>
      <c r="M497" s="42"/>
      <c r="N497" s="42"/>
      <c r="O497" s="42"/>
      <c r="P497" s="42"/>
      <c r="Q497" s="42"/>
    </row>
    <row r="498">
      <c r="A498" s="50"/>
      <c r="B498" s="42"/>
      <c r="C498" s="42"/>
      <c r="D498" s="42"/>
      <c r="E498" s="42"/>
      <c r="F498" s="42"/>
      <c r="G498" s="42"/>
      <c r="H498" s="42"/>
      <c r="I498" s="48"/>
      <c r="J498" s="50"/>
      <c r="K498" s="42"/>
      <c r="L498" s="42"/>
      <c r="M498" s="42"/>
      <c r="N498" s="42"/>
      <c r="O498" s="42"/>
      <c r="P498" s="42"/>
      <c r="Q498" s="42"/>
    </row>
    <row r="499">
      <c r="A499" s="50"/>
      <c r="B499" s="42"/>
      <c r="C499" s="42"/>
      <c r="D499" s="42"/>
      <c r="E499" s="42"/>
      <c r="F499" s="42"/>
      <c r="G499" s="42"/>
      <c r="H499" s="42"/>
      <c r="I499" s="48"/>
      <c r="J499" s="50"/>
      <c r="K499" s="42"/>
      <c r="L499" s="42"/>
      <c r="M499" s="42"/>
      <c r="N499" s="42"/>
      <c r="O499" s="42"/>
      <c r="P499" s="42"/>
      <c r="Q499" s="42"/>
    </row>
    <row r="500">
      <c r="A500" s="50"/>
      <c r="B500" s="42"/>
      <c r="C500" s="42"/>
      <c r="D500" s="42"/>
      <c r="E500" s="42"/>
      <c r="F500" s="42"/>
      <c r="G500" s="42"/>
      <c r="H500" s="42"/>
      <c r="I500" s="48"/>
      <c r="J500" s="50"/>
      <c r="K500" s="42"/>
      <c r="L500" s="42"/>
      <c r="M500" s="42"/>
      <c r="N500" s="42"/>
      <c r="O500" s="42"/>
      <c r="P500" s="42"/>
      <c r="Q500" s="42"/>
    </row>
    <row r="501">
      <c r="A501" s="50"/>
      <c r="B501" s="42"/>
      <c r="C501" s="42"/>
      <c r="D501" s="42"/>
      <c r="E501" s="42"/>
      <c r="F501" s="42"/>
      <c r="G501" s="42"/>
      <c r="H501" s="42"/>
      <c r="I501" s="48"/>
      <c r="J501" s="50"/>
      <c r="K501" s="42"/>
      <c r="L501" s="42"/>
      <c r="M501" s="42"/>
      <c r="N501" s="42"/>
      <c r="O501" s="42"/>
      <c r="P501" s="42"/>
      <c r="Q501" s="42"/>
    </row>
    <row r="502">
      <c r="A502" s="50"/>
      <c r="B502" s="42"/>
      <c r="C502" s="42"/>
      <c r="D502" s="42"/>
      <c r="E502" s="42"/>
      <c r="F502" s="42"/>
      <c r="G502" s="42"/>
      <c r="H502" s="42"/>
      <c r="I502" s="48"/>
      <c r="J502" s="50"/>
      <c r="K502" s="42"/>
      <c r="L502" s="42"/>
      <c r="M502" s="42"/>
      <c r="N502" s="42"/>
      <c r="O502" s="42"/>
      <c r="P502" s="42"/>
      <c r="Q502" s="42"/>
    </row>
    <row r="503">
      <c r="A503" s="50"/>
      <c r="B503" s="42"/>
      <c r="C503" s="42"/>
      <c r="D503" s="42"/>
      <c r="E503" s="42"/>
      <c r="F503" s="42"/>
      <c r="G503" s="42"/>
      <c r="H503" s="42"/>
      <c r="I503" s="48"/>
      <c r="J503" s="50"/>
      <c r="K503" s="42"/>
      <c r="L503" s="42"/>
      <c r="M503" s="42"/>
      <c r="N503" s="42"/>
      <c r="O503" s="42"/>
      <c r="P503" s="42"/>
      <c r="Q503" s="42"/>
    </row>
    <row r="504">
      <c r="A504" s="50"/>
      <c r="B504" s="42"/>
      <c r="C504" s="42"/>
      <c r="D504" s="42"/>
      <c r="E504" s="42"/>
      <c r="F504" s="42"/>
      <c r="G504" s="42"/>
      <c r="H504" s="42"/>
      <c r="I504" s="48"/>
      <c r="J504" s="50"/>
      <c r="K504" s="42"/>
      <c r="L504" s="42"/>
      <c r="M504" s="42"/>
      <c r="N504" s="42"/>
      <c r="O504" s="42"/>
      <c r="P504" s="42"/>
      <c r="Q504" s="42"/>
    </row>
    <row r="505">
      <c r="A505" s="50"/>
      <c r="B505" s="42"/>
      <c r="C505" s="42"/>
      <c r="D505" s="42"/>
      <c r="E505" s="42"/>
      <c r="F505" s="42"/>
      <c r="G505" s="42"/>
      <c r="H505" s="42"/>
      <c r="I505" s="48"/>
      <c r="J505" s="50"/>
      <c r="K505" s="42"/>
      <c r="L505" s="42"/>
      <c r="M505" s="42"/>
      <c r="N505" s="42"/>
      <c r="O505" s="42"/>
      <c r="P505" s="42"/>
      <c r="Q505" s="42"/>
    </row>
    <row r="506">
      <c r="A506" s="50"/>
      <c r="B506" s="42"/>
      <c r="C506" s="42"/>
      <c r="D506" s="42"/>
      <c r="E506" s="42"/>
      <c r="F506" s="42"/>
      <c r="G506" s="42"/>
      <c r="H506" s="42"/>
      <c r="I506" s="48"/>
      <c r="J506" s="50"/>
      <c r="K506" s="42"/>
      <c r="L506" s="42"/>
      <c r="M506" s="42"/>
      <c r="N506" s="42"/>
      <c r="O506" s="42"/>
      <c r="P506" s="42"/>
      <c r="Q506" s="42"/>
    </row>
    <row r="507">
      <c r="A507" s="50"/>
      <c r="B507" s="42"/>
      <c r="C507" s="42"/>
      <c r="D507" s="42"/>
      <c r="E507" s="42"/>
      <c r="F507" s="42"/>
      <c r="G507" s="42"/>
      <c r="H507" s="42"/>
      <c r="I507" s="48"/>
      <c r="J507" s="50"/>
      <c r="K507" s="42"/>
      <c r="L507" s="42"/>
      <c r="M507" s="42"/>
      <c r="N507" s="42"/>
      <c r="O507" s="42"/>
      <c r="P507" s="42"/>
      <c r="Q507" s="42"/>
    </row>
    <row r="508">
      <c r="A508" s="50"/>
      <c r="B508" s="42"/>
      <c r="C508" s="42"/>
      <c r="D508" s="42"/>
      <c r="E508" s="42"/>
      <c r="F508" s="42"/>
      <c r="G508" s="42"/>
      <c r="H508" s="42"/>
      <c r="I508" s="48"/>
      <c r="J508" s="50"/>
      <c r="K508" s="42"/>
      <c r="L508" s="42"/>
      <c r="M508" s="42"/>
      <c r="N508" s="42"/>
      <c r="O508" s="42"/>
      <c r="P508" s="42"/>
      <c r="Q508" s="42"/>
    </row>
    <row r="509">
      <c r="A509" s="50"/>
      <c r="B509" s="42"/>
      <c r="C509" s="42"/>
      <c r="D509" s="42"/>
      <c r="E509" s="42"/>
      <c r="F509" s="42"/>
      <c r="G509" s="42"/>
      <c r="H509" s="42"/>
      <c r="I509" s="48"/>
      <c r="J509" s="50"/>
      <c r="K509" s="42"/>
      <c r="L509" s="42"/>
      <c r="M509" s="42"/>
      <c r="N509" s="42"/>
      <c r="O509" s="42"/>
      <c r="P509" s="42"/>
      <c r="Q509" s="42"/>
    </row>
    <row r="510">
      <c r="A510" s="50"/>
      <c r="B510" s="42"/>
      <c r="C510" s="42"/>
      <c r="D510" s="42"/>
      <c r="E510" s="42"/>
      <c r="F510" s="42"/>
      <c r="G510" s="42"/>
      <c r="H510" s="42"/>
      <c r="I510" s="48"/>
      <c r="J510" s="50"/>
      <c r="K510" s="42"/>
      <c r="L510" s="42"/>
      <c r="M510" s="42"/>
      <c r="N510" s="42"/>
      <c r="O510" s="42"/>
      <c r="P510" s="42"/>
      <c r="Q510" s="42"/>
    </row>
    <row r="511">
      <c r="A511" s="50"/>
      <c r="B511" s="42"/>
      <c r="C511" s="42"/>
      <c r="D511" s="42"/>
      <c r="E511" s="42"/>
      <c r="F511" s="42"/>
      <c r="G511" s="42"/>
      <c r="H511" s="42"/>
      <c r="I511" s="48"/>
      <c r="J511" s="50"/>
      <c r="K511" s="42"/>
      <c r="L511" s="42"/>
      <c r="M511" s="42"/>
      <c r="N511" s="42"/>
      <c r="O511" s="42"/>
      <c r="P511" s="42"/>
      <c r="Q511" s="42"/>
    </row>
    <row r="512">
      <c r="A512" s="50"/>
      <c r="B512" s="42"/>
      <c r="C512" s="42"/>
      <c r="D512" s="42"/>
      <c r="E512" s="42"/>
      <c r="F512" s="42"/>
      <c r="G512" s="42"/>
      <c r="H512" s="42"/>
      <c r="I512" s="48"/>
      <c r="J512" s="50"/>
      <c r="K512" s="42"/>
      <c r="L512" s="42"/>
      <c r="M512" s="42"/>
      <c r="N512" s="42"/>
      <c r="O512" s="42"/>
      <c r="P512" s="42"/>
      <c r="Q512" s="42"/>
    </row>
    <row r="513">
      <c r="A513" s="50"/>
      <c r="B513" s="42"/>
      <c r="C513" s="42"/>
      <c r="D513" s="42"/>
      <c r="E513" s="42"/>
      <c r="F513" s="42"/>
      <c r="G513" s="42"/>
      <c r="H513" s="42"/>
      <c r="I513" s="48"/>
      <c r="J513" s="50"/>
      <c r="K513" s="42"/>
      <c r="L513" s="42"/>
      <c r="M513" s="42"/>
      <c r="N513" s="42"/>
      <c r="O513" s="42"/>
      <c r="P513" s="42"/>
      <c r="Q513" s="42"/>
    </row>
    <row r="514">
      <c r="A514" s="50"/>
      <c r="B514" s="42"/>
      <c r="C514" s="42"/>
      <c r="D514" s="42"/>
      <c r="E514" s="42"/>
      <c r="F514" s="42"/>
      <c r="G514" s="42"/>
      <c r="H514" s="42"/>
      <c r="I514" s="48"/>
      <c r="J514" s="50"/>
      <c r="K514" s="42"/>
      <c r="L514" s="42"/>
      <c r="M514" s="42"/>
      <c r="N514" s="42"/>
      <c r="O514" s="42"/>
      <c r="P514" s="42"/>
      <c r="Q514" s="42"/>
    </row>
    <row r="515">
      <c r="A515" s="50"/>
      <c r="B515" s="42"/>
      <c r="C515" s="42"/>
      <c r="D515" s="42"/>
      <c r="E515" s="42"/>
      <c r="F515" s="42"/>
      <c r="G515" s="42"/>
      <c r="H515" s="42"/>
      <c r="I515" s="48"/>
      <c r="J515" s="50"/>
      <c r="K515" s="42"/>
      <c r="L515" s="42"/>
      <c r="M515" s="42"/>
      <c r="N515" s="42"/>
      <c r="O515" s="42"/>
      <c r="P515" s="42"/>
      <c r="Q515" s="42"/>
    </row>
    <row r="516">
      <c r="A516" s="50"/>
      <c r="B516" s="42"/>
      <c r="C516" s="42"/>
      <c r="D516" s="42"/>
      <c r="E516" s="42"/>
      <c r="F516" s="42"/>
      <c r="G516" s="42"/>
      <c r="H516" s="42"/>
      <c r="I516" s="48"/>
      <c r="J516" s="50"/>
      <c r="K516" s="42"/>
      <c r="L516" s="42"/>
      <c r="M516" s="42"/>
      <c r="N516" s="42"/>
      <c r="O516" s="42"/>
      <c r="P516" s="42"/>
      <c r="Q516" s="42"/>
    </row>
    <row r="517">
      <c r="A517" s="50"/>
      <c r="B517" s="42"/>
      <c r="C517" s="42"/>
      <c r="D517" s="42"/>
      <c r="E517" s="42"/>
      <c r="F517" s="42"/>
      <c r="G517" s="42"/>
      <c r="H517" s="42"/>
      <c r="I517" s="48"/>
      <c r="J517" s="50"/>
      <c r="K517" s="42"/>
      <c r="L517" s="42"/>
      <c r="M517" s="42"/>
      <c r="N517" s="42"/>
      <c r="O517" s="42"/>
      <c r="P517" s="42"/>
      <c r="Q517" s="42"/>
    </row>
    <row r="518">
      <c r="A518" s="50"/>
      <c r="B518" s="42"/>
      <c r="C518" s="42"/>
      <c r="D518" s="42"/>
      <c r="E518" s="42"/>
      <c r="F518" s="42"/>
      <c r="G518" s="42"/>
      <c r="H518" s="42"/>
      <c r="I518" s="48"/>
      <c r="J518" s="50"/>
      <c r="K518" s="42"/>
      <c r="L518" s="42"/>
      <c r="M518" s="42"/>
      <c r="N518" s="42"/>
      <c r="O518" s="42"/>
      <c r="P518" s="42"/>
      <c r="Q518" s="42"/>
    </row>
    <row r="519">
      <c r="A519" s="50"/>
      <c r="B519" s="42"/>
      <c r="C519" s="42"/>
      <c r="D519" s="42"/>
      <c r="E519" s="42"/>
      <c r="F519" s="42"/>
      <c r="G519" s="42"/>
      <c r="H519" s="42"/>
      <c r="I519" s="48"/>
      <c r="J519" s="50"/>
      <c r="K519" s="42"/>
      <c r="L519" s="42"/>
      <c r="M519" s="42"/>
      <c r="N519" s="42"/>
      <c r="O519" s="42"/>
      <c r="P519" s="42"/>
      <c r="Q519" s="42"/>
    </row>
    <row r="520">
      <c r="A520" s="50"/>
      <c r="B520" s="42"/>
      <c r="C520" s="42"/>
      <c r="D520" s="42"/>
      <c r="E520" s="42"/>
      <c r="F520" s="42"/>
      <c r="G520" s="42"/>
      <c r="H520" s="42"/>
      <c r="I520" s="48"/>
      <c r="J520" s="50"/>
      <c r="K520" s="42"/>
      <c r="L520" s="42"/>
      <c r="M520" s="42"/>
      <c r="N520" s="42"/>
      <c r="O520" s="42"/>
      <c r="P520" s="42"/>
      <c r="Q520" s="42"/>
    </row>
    <row r="521">
      <c r="A521" s="50"/>
      <c r="B521" s="42"/>
      <c r="C521" s="42"/>
      <c r="D521" s="42"/>
      <c r="E521" s="42"/>
      <c r="F521" s="42"/>
      <c r="G521" s="42"/>
      <c r="H521" s="42"/>
      <c r="I521" s="48"/>
      <c r="J521" s="50"/>
      <c r="K521" s="42"/>
      <c r="L521" s="42"/>
      <c r="M521" s="42"/>
      <c r="N521" s="42"/>
      <c r="O521" s="42"/>
      <c r="P521" s="42"/>
      <c r="Q521" s="42"/>
    </row>
    <row r="522">
      <c r="A522" s="50"/>
      <c r="B522" s="42"/>
      <c r="C522" s="42"/>
      <c r="D522" s="42"/>
      <c r="E522" s="42"/>
      <c r="F522" s="42"/>
      <c r="G522" s="42"/>
      <c r="H522" s="42"/>
      <c r="I522" s="48"/>
      <c r="J522" s="50"/>
      <c r="K522" s="42"/>
      <c r="L522" s="42"/>
      <c r="M522" s="42"/>
      <c r="N522" s="42"/>
      <c r="O522" s="42"/>
      <c r="P522" s="42"/>
      <c r="Q522" s="42"/>
    </row>
    <row r="523">
      <c r="A523" s="50"/>
      <c r="B523" s="42"/>
      <c r="C523" s="42"/>
      <c r="D523" s="42"/>
      <c r="E523" s="42"/>
      <c r="F523" s="42"/>
      <c r="G523" s="42"/>
      <c r="H523" s="42"/>
      <c r="I523" s="48"/>
      <c r="J523" s="50"/>
      <c r="K523" s="42"/>
      <c r="L523" s="42"/>
      <c r="M523" s="42"/>
      <c r="N523" s="42"/>
      <c r="O523" s="42"/>
      <c r="P523" s="42"/>
      <c r="Q523" s="42"/>
    </row>
    <row r="524">
      <c r="A524" s="50"/>
      <c r="B524" s="42"/>
      <c r="C524" s="42"/>
      <c r="D524" s="42"/>
      <c r="E524" s="42"/>
      <c r="F524" s="42"/>
      <c r="G524" s="42"/>
      <c r="H524" s="42"/>
      <c r="I524" s="48"/>
      <c r="J524" s="50"/>
      <c r="K524" s="42"/>
      <c r="L524" s="42"/>
      <c r="M524" s="42"/>
      <c r="N524" s="42"/>
      <c r="O524" s="42"/>
      <c r="P524" s="42"/>
      <c r="Q524" s="42"/>
    </row>
    <row r="525">
      <c r="A525" s="50"/>
      <c r="B525" s="42"/>
      <c r="C525" s="42"/>
      <c r="D525" s="42"/>
      <c r="E525" s="42"/>
      <c r="F525" s="42"/>
      <c r="G525" s="42"/>
      <c r="H525" s="42"/>
      <c r="I525" s="48"/>
      <c r="J525" s="50"/>
      <c r="K525" s="42"/>
      <c r="L525" s="42"/>
      <c r="M525" s="42"/>
      <c r="N525" s="42"/>
      <c r="O525" s="42"/>
      <c r="P525" s="42"/>
      <c r="Q525" s="42"/>
    </row>
    <row r="526">
      <c r="A526" s="50"/>
      <c r="B526" s="42"/>
      <c r="C526" s="42"/>
      <c r="D526" s="42"/>
      <c r="E526" s="42"/>
      <c r="F526" s="42"/>
      <c r="G526" s="42"/>
      <c r="H526" s="42"/>
      <c r="I526" s="48"/>
      <c r="J526" s="50"/>
      <c r="K526" s="42"/>
      <c r="L526" s="42"/>
      <c r="M526" s="42"/>
      <c r="N526" s="42"/>
      <c r="O526" s="42"/>
      <c r="P526" s="42"/>
      <c r="Q526" s="42"/>
    </row>
    <row r="527">
      <c r="A527" s="50"/>
      <c r="B527" s="42"/>
      <c r="C527" s="42"/>
      <c r="D527" s="42"/>
      <c r="E527" s="42"/>
      <c r="F527" s="42"/>
      <c r="G527" s="42"/>
      <c r="H527" s="42"/>
      <c r="I527" s="48"/>
      <c r="J527" s="50"/>
      <c r="K527" s="42"/>
      <c r="L527" s="42"/>
      <c r="M527" s="42"/>
      <c r="N527" s="42"/>
      <c r="O527" s="42"/>
      <c r="P527" s="42"/>
      <c r="Q527" s="42"/>
    </row>
    <row r="528">
      <c r="A528" s="50"/>
      <c r="B528" s="42"/>
      <c r="C528" s="42"/>
      <c r="D528" s="42"/>
      <c r="E528" s="42"/>
      <c r="F528" s="42"/>
      <c r="G528" s="42"/>
      <c r="H528" s="42"/>
      <c r="I528" s="48"/>
      <c r="J528" s="50"/>
      <c r="K528" s="42"/>
      <c r="L528" s="42"/>
      <c r="M528" s="42"/>
      <c r="N528" s="42"/>
      <c r="O528" s="42"/>
      <c r="P528" s="42"/>
      <c r="Q528" s="42"/>
    </row>
    <row r="529">
      <c r="A529" s="50"/>
      <c r="B529" s="42"/>
      <c r="C529" s="42"/>
      <c r="D529" s="42"/>
      <c r="E529" s="42"/>
      <c r="F529" s="42"/>
      <c r="G529" s="42"/>
      <c r="H529" s="42"/>
      <c r="I529" s="48"/>
      <c r="J529" s="50"/>
      <c r="K529" s="42"/>
      <c r="L529" s="42"/>
      <c r="M529" s="42"/>
      <c r="N529" s="42"/>
      <c r="O529" s="42"/>
      <c r="P529" s="42"/>
      <c r="Q529" s="42"/>
    </row>
    <row r="530">
      <c r="A530" s="50"/>
      <c r="B530" s="42"/>
      <c r="C530" s="42"/>
      <c r="D530" s="42"/>
      <c r="E530" s="42"/>
      <c r="F530" s="42"/>
      <c r="G530" s="42"/>
      <c r="H530" s="42"/>
      <c r="I530" s="48"/>
      <c r="J530" s="50"/>
      <c r="K530" s="42"/>
      <c r="L530" s="42"/>
      <c r="M530" s="42"/>
      <c r="N530" s="42"/>
      <c r="O530" s="42"/>
      <c r="P530" s="42"/>
      <c r="Q530" s="42"/>
    </row>
    <row r="531">
      <c r="A531" s="50"/>
      <c r="B531" s="42"/>
      <c r="C531" s="42"/>
      <c r="D531" s="42"/>
      <c r="E531" s="42"/>
      <c r="F531" s="42"/>
      <c r="G531" s="42"/>
      <c r="H531" s="42"/>
      <c r="I531" s="48"/>
      <c r="J531" s="50"/>
      <c r="K531" s="42"/>
      <c r="L531" s="42"/>
      <c r="M531" s="42"/>
      <c r="N531" s="42"/>
      <c r="O531" s="42"/>
      <c r="P531" s="42"/>
      <c r="Q531" s="42"/>
    </row>
    <row r="532">
      <c r="A532" s="50"/>
      <c r="B532" s="42"/>
      <c r="C532" s="42"/>
      <c r="D532" s="42"/>
      <c r="E532" s="42"/>
      <c r="F532" s="42"/>
      <c r="G532" s="42"/>
      <c r="H532" s="42"/>
      <c r="I532" s="48"/>
      <c r="J532" s="50"/>
      <c r="K532" s="42"/>
      <c r="L532" s="42"/>
      <c r="M532" s="42"/>
      <c r="N532" s="42"/>
      <c r="O532" s="42"/>
      <c r="P532" s="42"/>
      <c r="Q532" s="42"/>
    </row>
    <row r="533">
      <c r="A533" s="50"/>
      <c r="B533" s="42"/>
      <c r="C533" s="42"/>
      <c r="D533" s="42"/>
      <c r="E533" s="42"/>
      <c r="F533" s="42"/>
      <c r="G533" s="42"/>
      <c r="H533" s="42"/>
      <c r="I533" s="48"/>
      <c r="J533" s="50"/>
      <c r="K533" s="42"/>
      <c r="L533" s="42"/>
      <c r="M533" s="42"/>
      <c r="N533" s="42"/>
      <c r="O533" s="42"/>
      <c r="P533" s="42"/>
      <c r="Q533" s="42"/>
    </row>
    <row r="534">
      <c r="A534" s="50"/>
      <c r="B534" s="42"/>
      <c r="C534" s="42"/>
      <c r="D534" s="42"/>
      <c r="E534" s="42"/>
      <c r="F534" s="42"/>
      <c r="G534" s="42"/>
      <c r="H534" s="42"/>
      <c r="I534" s="48"/>
      <c r="J534" s="50"/>
      <c r="K534" s="42"/>
      <c r="L534" s="42"/>
      <c r="M534" s="42"/>
      <c r="N534" s="42"/>
      <c r="O534" s="42"/>
      <c r="P534" s="42"/>
      <c r="Q534" s="42"/>
    </row>
    <row r="535">
      <c r="A535" s="50"/>
      <c r="B535" s="42"/>
      <c r="C535" s="42"/>
      <c r="D535" s="42"/>
      <c r="E535" s="42"/>
      <c r="F535" s="42"/>
      <c r="G535" s="42"/>
      <c r="H535" s="42"/>
      <c r="I535" s="48"/>
      <c r="J535" s="50"/>
      <c r="K535" s="42"/>
      <c r="L535" s="42"/>
      <c r="M535" s="42"/>
      <c r="N535" s="42"/>
      <c r="O535" s="42"/>
      <c r="P535" s="42"/>
      <c r="Q535" s="42"/>
    </row>
    <row r="536">
      <c r="A536" s="50"/>
      <c r="B536" s="42"/>
      <c r="C536" s="42"/>
      <c r="D536" s="42"/>
      <c r="E536" s="42"/>
      <c r="F536" s="42"/>
      <c r="G536" s="42"/>
      <c r="H536" s="42"/>
      <c r="I536" s="48"/>
      <c r="J536" s="50"/>
      <c r="K536" s="42"/>
      <c r="L536" s="42"/>
      <c r="M536" s="42"/>
      <c r="N536" s="42"/>
      <c r="O536" s="42"/>
      <c r="P536" s="42"/>
      <c r="Q536" s="42"/>
    </row>
    <row r="537">
      <c r="A537" s="50"/>
      <c r="B537" s="42"/>
      <c r="C537" s="42"/>
      <c r="D537" s="42"/>
      <c r="E537" s="42"/>
      <c r="F537" s="42"/>
      <c r="G537" s="42"/>
      <c r="H537" s="42"/>
      <c r="I537" s="48"/>
      <c r="J537" s="50"/>
      <c r="K537" s="42"/>
      <c r="L537" s="42"/>
      <c r="M537" s="42"/>
      <c r="N537" s="42"/>
      <c r="O537" s="42"/>
      <c r="P537" s="42"/>
      <c r="Q537" s="42"/>
    </row>
    <row r="538">
      <c r="A538" s="50"/>
      <c r="B538" s="42"/>
      <c r="C538" s="42"/>
      <c r="D538" s="42"/>
      <c r="E538" s="42"/>
      <c r="F538" s="42"/>
      <c r="G538" s="42"/>
      <c r="H538" s="42"/>
      <c r="I538" s="48"/>
      <c r="J538" s="50"/>
      <c r="K538" s="42"/>
      <c r="L538" s="42"/>
      <c r="M538" s="42"/>
      <c r="N538" s="42"/>
      <c r="O538" s="42"/>
      <c r="P538" s="42"/>
      <c r="Q538" s="42"/>
    </row>
    <row r="539">
      <c r="A539" s="50"/>
      <c r="B539" s="42"/>
      <c r="C539" s="42"/>
      <c r="D539" s="42"/>
      <c r="E539" s="42"/>
      <c r="F539" s="42"/>
      <c r="G539" s="42"/>
      <c r="H539" s="42"/>
      <c r="I539" s="48"/>
      <c r="J539" s="50"/>
      <c r="K539" s="42"/>
      <c r="L539" s="42"/>
      <c r="M539" s="42"/>
      <c r="N539" s="42"/>
      <c r="O539" s="42"/>
      <c r="P539" s="42"/>
      <c r="Q539" s="42"/>
    </row>
    <row r="540">
      <c r="A540" s="50"/>
      <c r="B540" s="42"/>
      <c r="C540" s="42"/>
      <c r="D540" s="42"/>
      <c r="E540" s="42"/>
      <c r="F540" s="42"/>
      <c r="G540" s="42"/>
      <c r="H540" s="42"/>
      <c r="I540" s="48"/>
      <c r="J540" s="50"/>
      <c r="K540" s="42"/>
      <c r="L540" s="42"/>
      <c r="M540" s="42"/>
      <c r="N540" s="42"/>
      <c r="O540" s="42"/>
      <c r="P540" s="42"/>
      <c r="Q540" s="42"/>
    </row>
    <row r="541">
      <c r="A541" s="50"/>
      <c r="B541" s="42"/>
      <c r="C541" s="42"/>
      <c r="D541" s="42"/>
      <c r="E541" s="42"/>
      <c r="F541" s="42"/>
      <c r="G541" s="42"/>
      <c r="H541" s="42"/>
      <c r="I541" s="48"/>
      <c r="J541" s="50"/>
      <c r="K541" s="42"/>
      <c r="L541" s="42"/>
      <c r="M541" s="42"/>
      <c r="N541" s="42"/>
      <c r="O541" s="42"/>
      <c r="P541" s="42"/>
      <c r="Q541" s="42"/>
    </row>
    <row r="542">
      <c r="A542" s="50"/>
      <c r="B542" s="42"/>
      <c r="C542" s="42"/>
      <c r="D542" s="42"/>
      <c r="E542" s="42"/>
      <c r="F542" s="42"/>
      <c r="G542" s="42"/>
      <c r="H542" s="42"/>
      <c r="I542" s="48"/>
      <c r="J542" s="50"/>
      <c r="K542" s="42"/>
      <c r="L542" s="42"/>
      <c r="M542" s="42"/>
      <c r="N542" s="42"/>
      <c r="O542" s="42"/>
      <c r="P542" s="42"/>
      <c r="Q542" s="42"/>
    </row>
    <row r="543">
      <c r="A543" s="50"/>
      <c r="B543" s="42"/>
      <c r="C543" s="42"/>
      <c r="D543" s="42"/>
      <c r="E543" s="42"/>
      <c r="F543" s="42"/>
      <c r="G543" s="42"/>
      <c r="H543" s="42"/>
      <c r="I543" s="48"/>
      <c r="J543" s="50"/>
      <c r="K543" s="42"/>
      <c r="L543" s="42"/>
      <c r="M543" s="42"/>
      <c r="N543" s="42"/>
      <c r="O543" s="42"/>
      <c r="P543" s="42"/>
      <c r="Q543" s="42"/>
    </row>
    <row r="544">
      <c r="A544" s="50"/>
      <c r="B544" s="42"/>
      <c r="C544" s="42"/>
      <c r="D544" s="42"/>
      <c r="E544" s="42"/>
      <c r="F544" s="42"/>
      <c r="G544" s="42"/>
      <c r="H544" s="42"/>
      <c r="I544" s="48"/>
      <c r="J544" s="50"/>
      <c r="K544" s="42"/>
      <c r="L544" s="42"/>
      <c r="M544" s="42"/>
      <c r="N544" s="42"/>
      <c r="O544" s="42"/>
      <c r="P544" s="42"/>
      <c r="Q544" s="42"/>
    </row>
    <row r="545">
      <c r="A545" s="50"/>
      <c r="B545" s="42"/>
      <c r="C545" s="42"/>
      <c r="D545" s="42"/>
      <c r="E545" s="42"/>
      <c r="F545" s="42"/>
      <c r="G545" s="42"/>
      <c r="H545" s="42"/>
      <c r="I545" s="48"/>
      <c r="J545" s="50"/>
      <c r="K545" s="42"/>
      <c r="L545" s="42"/>
      <c r="M545" s="42"/>
      <c r="N545" s="42"/>
      <c r="O545" s="42"/>
      <c r="P545" s="42"/>
      <c r="Q545" s="42"/>
    </row>
    <row r="546">
      <c r="A546" s="50"/>
      <c r="B546" s="42"/>
      <c r="C546" s="42"/>
      <c r="D546" s="42"/>
      <c r="E546" s="42"/>
      <c r="F546" s="42"/>
      <c r="G546" s="42"/>
      <c r="H546" s="42"/>
      <c r="I546" s="48"/>
      <c r="J546" s="50"/>
      <c r="K546" s="42"/>
      <c r="L546" s="42"/>
      <c r="M546" s="42"/>
      <c r="N546" s="42"/>
      <c r="O546" s="42"/>
      <c r="P546" s="42"/>
      <c r="Q546" s="42"/>
    </row>
    <row r="547">
      <c r="A547" s="50"/>
      <c r="B547" s="42"/>
      <c r="C547" s="42"/>
      <c r="D547" s="42"/>
      <c r="E547" s="42"/>
      <c r="F547" s="42"/>
      <c r="G547" s="42"/>
      <c r="H547" s="42"/>
      <c r="I547" s="48"/>
      <c r="J547" s="50"/>
      <c r="K547" s="42"/>
      <c r="L547" s="42"/>
      <c r="M547" s="42"/>
      <c r="N547" s="42"/>
      <c r="O547" s="42"/>
      <c r="P547" s="42"/>
      <c r="Q547" s="42"/>
    </row>
    <row r="548">
      <c r="A548" s="50"/>
      <c r="B548" s="42"/>
      <c r="C548" s="42"/>
      <c r="D548" s="42"/>
      <c r="E548" s="42"/>
      <c r="F548" s="42"/>
      <c r="G548" s="42"/>
      <c r="H548" s="42"/>
      <c r="I548" s="48"/>
      <c r="J548" s="50"/>
      <c r="K548" s="42"/>
      <c r="L548" s="42"/>
      <c r="M548" s="42"/>
      <c r="N548" s="42"/>
      <c r="O548" s="42"/>
      <c r="P548" s="42"/>
      <c r="Q548" s="42"/>
    </row>
    <row r="549">
      <c r="A549" s="50"/>
      <c r="B549" s="42"/>
      <c r="C549" s="42"/>
      <c r="D549" s="42"/>
      <c r="E549" s="42"/>
      <c r="F549" s="42"/>
      <c r="G549" s="42"/>
      <c r="H549" s="42"/>
      <c r="I549" s="48"/>
      <c r="J549" s="50"/>
      <c r="K549" s="42"/>
      <c r="L549" s="42"/>
      <c r="M549" s="42"/>
      <c r="N549" s="42"/>
      <c r="O549" s="42"/>
      <c r="P549" s="42"/>
      <c r="Q549" s="42"/>
    </row>
    <row r="550">
      <c r="A550" s="50"/>
      <c r="B550" s="42"/>
      <c r="C550" s="42"/>
      <c r="D550" s="42"/>
      <c r="E550" s="42"/>
      <c r="F550" s="42"/>
      <c r="G550" s="42"/>
      <c r="H550" s="42"/>
      <c r="I550" s="48"/>
      <c r="J550" s="50"/>
      <c r="K550" s="42"/>
      <c r="L550" s="42"/>
      <c r="M550" s="42"/>
      <c r="N550" s="42"/>
      <c r="O550" s="42"/>
      <c r="P550" s="42"/>
      <c r="Q550" s="42"/>
    </row>
    <row r="551">
      <c r="A551" s="50"/>
      <c r="B551" s="42"/>
      <c r="C551" s="42"/>
      <c r="D551" s="42"/>
      <c r="E551" s="42"/>
      <c r="F551" s="42"/>
      <c r="G551" s="42"/>
      <c r="H551" s="42"/>
      <c r="I551" s="48"/>
      <c r="J551" s="50"/>
      <c r="K551" s="42"/>
      <c r="L551" s="42"/>
      <c r="M551" s="42"/>
      <c r="N551" s="42"/>
      <c r="O551" s="42"/>
      <c r="P551" s="42"/>
      <c r="Q551" s="42"/>
    </row>
    <row r="552">
      <c r="A552" s="50"/>
      <c r="B552" s="42"/>
      <c r="C552" s="42"/>
      <c r="D552" s="42"/>
      <c r="E552" s="42"/>
      <c r="F552" s="42"/>
      <c r="G552" s="42"/>
      <c r="H552" s="42"/>
      <c r="I552" s="48"/>
      <c r="J552" s="50"/>
      <c r="K552" s="42"/>
      <c r="L552" s="42"/>
      <c r="M552" s="42"/>
      <c r="N552" s="42"/>
      <c r="O552" s="42"/>
      <c r="P552" s="42"/>
      <c r="Q552" s="42"/>
    </row>
    <row r="553">
      <c r="A553" s="50"/>
      <c r="B553" s="42"/>
      <c r="C553" s="42"/>
      <c r="D553" s="42"/>
      <c r="E553" s="42"/>
      <c r="F553" s="42"/>
      <c r="G553" s="42"/>
      <c r="H553" s="42"/>
      <c r="I553" s="48"/>
      <c r="J553" s="50"/>
      <c r="K553" s="42"/>
      <c r="L553" s="42"/>
      <c r="M553" s="42"/>
      <c r="N553" s="42"/>
      <c r="O553" s="42"/>
      <c r="P553" s="42"/>
      <c r="Q553" s="42"/>
    </row>
    <row r="554">
      <c r="A554" s="50"/>
      <c r="B554" s="42"/>
      <c r="C554" s="42"/>
      <c r="D554" s="42"/>
      <c r="E554" s="42"/>
      <c r="F554" s="42"/>
      <c r="G554" s="42"/>
      <c r="H554" s="42"/>
      <c r="I554" s="48"/>
      <c r="J554" s="50"/>
      <c r="K554" s="42"/>
      <c r="L554" s="42"/>
      <c r="M554" s="42"/>
      <c r="N554" s="42"/>
      <c r="O554" s="42"/>
      <c r="P554" s="42"/>
      <c r="Q554" s="42"/>
    </row>
    <row r="555">
      <c r="A555" s="50"/>
      <c r="B555" s="42"/>
      <c r="C555" s="42"/>
      <c r="D555" s="42"/>
      <c r="E555" s="42"/>
      <c r="F555" s="42"/>
      <c r="G555" s="42"/>
      <c r="H555" s="42"/>
      <c r="I555" s="48"/>
      <c r="J555" s="50"/>
      <c r="K555" s="42"/>
      <c r="L555" s="42"/>
      <c r="M555" s="42"/>
      <c r="N555" s="42"/>
      <c r="O555" s="42"/>
      <c r="P555" s="42"/>
      <c r="Q555" s="42"/>
    </row>
    <row r="556">
      <c r="A556" s="50"/>
      <c r="B556" s="42"/>
      <c r="C556" s="42"/>
      <c r="D556" s="42"/>
      <c r="E556" s="42"/>
      <c r="F556" s="42"/>
      <c r="G556" s="42"/>
      <c r="H556" s="42"/>
      <c r="I556" s="48"/>
      <c r="J556" s="50"/>
      <c r="K556" s="42"/>
      <c r="L556" s="42"/>
      <c r="M556" s="42"/>
      <c r="N556" s="42"/>
      <c r="O556" s="42"/>
      <c r="P556" s="42"/>
      <c r="Q556" s="42"/>
    </row>
    <row r="557">
      <c r="A557" s="50"/>
      <c r="B557" s="42"/>
      <c r="C557" s="42"/>
      <c r="D557" s="42"/>
      <c r="E557" s="42"/>
      <c r="F557" s="42"/>
      <c r="G557" s="42"/>
      <c r="H557" s="42"/>
      <c r="I557" s="48"/>
      <c r="J557" s="50"/>
      <c r="K557" s="42"/>
      <c r="L557" s="42"/>
      <c r="M557" s="42"/>
      <c r="N557" s="42"/>
      <c r="O557" s="42"/>
      <c r="P557" s="42"/>
      <c r="Q557" s="42"/>
    </row>
    <row r="558">
      <c r="A558" s="50"/>
      <c r="B558" s="42"/>
      <c r="C558" s="42"/>
      <c r="D558" s="42"/>
      <c r="E558" s="42"/>
      <c r="F558" s="42"/>
      <c r="G558" s="42"/>
      <c r="H558" s="42"/>
      <c r="I558" s="48"/>
      <c r="J558" s="50"/>
      <c r="K558" s="42"/>
      <c r="L558" s="42"/>
      <c r="M558" s="42"/>
      <c r="N558" s="42"/>
      <c r="O558" s="42"/>
      <c r="P558" s="42"/>
      <c r="Q558" s="42"/>
    </row>
    <row r="559">
      <c r="A559" s="50"/>
      <c r="B559" s="42"/>
      <c r="C559" s="42"/>
      <c r="D559" s="42"/>
      <c r="E559" s="42"/>
      <c r="F559" s="42"/>
      <c r="G559" s="42"/>
      <c r="H559" s="42"/>
      <c r="I559" s="48"/>
      <c r="J559" s="50"/>
      <c r="K559" s="42"/>
      <c r="L559" s="42"/>
      <c r="M559" s="42"/>
      <c r="N559" s="42"/>
      <c r="O559" s="42"/>
      <c r="P559" s="42"/>
      <c r="Q559" s="42"/>
    </row>
    <row r="560">
      <c r="A560" s="50"/>
      <c r="B560" s="42"/>
      <c r="C560" s="42"/>
      <c r="D560" s="42"/>
      <c r="E560" s="42"/>
      <c r="F560" s="42"/>
      <c r="G560" s="42"/>
      <c r="H560" s="42"/>
      <c r="I560" s="48"/>
      <c r="J560" s="50"/>
      <c r="K560" s="42"/>
      <c r="L560" s="42"/>
      <c r="M560" s="42"/>
      <c r="N560" s="42"/>
      <c r="O560" s="42"/>
      <c r="P560" s="42"/>
      <c r="Q560" s="42"/>
    </row>
    <row r="561">
      <c r="A561" s="50"/>
      <c r="B561" s="42"/>
      <c r="C561" s="42"/>
      <c r="D561" s="42"/>
      <c r="E561" s="42"/>
      <c r="F561" s="42"/>
      <c r="G561" s="42"/>
      <c r="H561" s="42"/>
      <c r="I561" s="48"/>
      <c r="J561" s="50"/>
      <c r="K561" s="42"/>
      <c r="L561" s="42"/>
      <c r="M561" s="42"/>
      <c r="N561" s="42"/>
      <c r="O561" s="42"/>
      <c r="P561" s="42"/>
      <c r="Q561" s="42"/>
    </row>
    <row r="562">
      <c r="A562" s="50"/>
      <c r="B562" s="42"/>
      <c r="C562" s="42"/>
      <c r="D562" s="42"/>
      <c r="E562" s="42"/>
      <c r="F562" s="42"/>
      <c r="G562" s="42"/>
      <c r="H562" s="42"/>
      <c r="I562" s="48"/>
      <c r="J562" s="50"/>
      <c r="K562" s="42"/>
      <c r="L562" s="42"/>
      <c r="M562" s="42"/>
      <c r="N562" s="42"/>
      <c r="O562" s="42"/>
      <c r="P562" s="42"/>
      <c r="Q562" s="42"/>
    </row>
    <row r="563">
      <c r="A563" s="50"/>
      <c r="B563" s="42"/>
      <c r="C563" s="42"/>
      <c r="D563" s="42"/>
      <c r="E563" s="42"/>
      <c r="F563" s="42"/>
      <c r="G563" s="42"/>
      <c r="H563" s="42"/>
      <c r="I563" s="48"/>
      <c r="J563" s="50"/>
      <c r="K563" s="42"/>
      <c r="L563" s="42"/>
      <c r="M563" s="42"/>
      <c r="N563" s="42"/>
      <c r="O563" s="42"/>
      <c r="P563" s="42"/>
      <c r="Q563" s="42"/>
    </row>
    <row r="564">
      <c r="A564" s="50"/>
      <c r="B564" s="42"/>
      <c r="C564" s="42"/>
      <c r="D564" s="42"/>
      <c r="E564" s="42"/>
      <c r="F564" s="42"/>
      <c r="G564" s="42"/>
      <c r="H564" s="42"/>
      <c r="I564" s="48"/>
      <c r="J564" s="50"/>
      <c r="K564" s="42"/>
      <c r="L564" s="42"/>
      <c r="M564" s="42"/>
      <c r="N564" s="42"/>
      <c r="O564" s="42"/>
      <c r="P564" s="42"/>
      <c r="Q564" s="42"/>
    </row>
    <row r="565">
      <c r="A565" s="50"/>
      <c r="B565" s="42"/>
      <c r="C565" s="42"/>
      <c r="D565" s="42"/>
      <c r="E565" s="42"/>
      <c r="F565" s="42"/>
      <c r="G565" s="42"/>
      <c r="H565" s="42"/>
      <c r="I565" s="48"/>
      <c r="J565" s="50"/>
      <c r="K565" s="42"/>
      <c r="L565" s="42"/>
      <c r="M565" s="42"/>
      <c r="N565" s="42"/>
      <c r="O565" s="42"/>
      <c r="P565" s="42"/>
      <c r="Q565" s="42"/>
    </row>
    <row r="566">
      <c r="A566" s="50"/>
      <c r="B566" s="42"/>
      <c r="C566" s="42"/>
      <c r="D566" s="42"/>
      <c r="E566" s="42"/>
      <c r="F566" s="42"/>
      <c r="G566" s="42"/>
      <c r="H566" s="42"/>
      <c r="I566" s="48"/>
      <c r="J566" s="50"/>
      <c r="K566" s="42"/>
      <c r="L566" s="42"/>
      <c r="M566" s="42"/>
      <c r="N566" s="42"/>
      <c r="O566" s="42"/>
      <c r="P566" s="42"/>
      <c r="Q566" s="42"/>
    </row>
    <row r="567">
      <c r="A567" s="50"/>
      <c r="B567" s="42"/>
      <c r="C567" s="42"/>
      <c r="D567" s="42"/>
      <c r="E567" s="42"/>
      <c r="F567" s="42"/>
      <c r="G567" s="42"/>
      <c r="H567" s="42"/>
      <c r="I567" s="48"/>
      <c r="J567" s="50"/>
      <c r="K567" s="42"/>
      <c r="L567" s="42"/>
      <c r="M567" s="42"/>
      <c r="N567" s="42"/>
      <c r="O567" s="42"/>
      <c r="P567" s="42"/>
      <c r="Q567" s="42"/>
    </row>
    <row r="568">
      <c r="A568" s="50"/>
      <c r="B568" s="42"/>
      <c r="C568" s="42"/>
      <c r="D568" s="42"/>
      <c r="E568" s="42"/>
      <c r="F568" s="42"/>
      <c r="G568" s="42"/>
      <c r="H568" s="42"/>
      <c r="I568" s="48"/>
      <c r="J568" s="50"/>
      <c r="K568" s="42"/>
      <c r="L568" s="42"/>
      <c r="M568" s="42"/>
      <c r="N568" s="42"/>
      <c r="O568" s="42"/>
      <c r="P568" s="42"/>
      <c r="Q568" s="42"/>
    </row>
    <row r="569">
      <c r="A569" s="50"/>
      <c r="B569" s="42"/>
      <c r="C569" s="42"/>
      <c r="D569" s="42"/>
      <c r="E569" s="42"/>
      <c r="F569" s="42"/>
      <c r="G569" s="42"/>
      <c r="H569" s="42"/>
      <c r="I569" s="48"/>
      <c r="J569" s="50"/>
      <c r="K569" s="42"/>
      <c r="L569" s="42"/>
      <c r="M569" s="42"/>
      <c r="N569" s="42"/>
      <c r="O569" s="42"/>
      <c r="P569" s="42"/>
      <c r="Q569" s="42"/>
    </row>
    <row r="570">
      <c r="A570" s="50"/>
      <c r="B570" s="42"/>
      <c r="C570" s="42"/>
      <c r="D570" s="42"/>
      <c r="E570" s="42"/>
      <c r="F570" s="42"/>
      <c r="G570" s="42"/>
      <c r="H570" s="42"/>
      <c r="I570" s="48"/>
      <c r="J570" s="50"/>
      <c r="K570" s="42"/>
      <c r="L570" s="42"/>
      <c r="M570" s="42"/>
      <c r="N570" s="42"/>
      <c r="O570" s="42"/>
      <c r="P570" s="42"/>
      <c r="Q570" s="42"/>
    </row>
    <row r="571">
      <c r="A571" s="50"/>
      <c r="B571" s="42"/>
      <c r="C571" s="42"/>
      <c r="D571" s="42"/>
      <c r="E571" s="42"/>
      <c r="F571" s="42"/>
      <c r="G571" s="42"/>
      <c r="H571" s="42"/>
      <c r="I571" s="48"/>
      <c r="J571" s="50"/>
      <c r="K571" s="42"/>
      <c r="L571" s="42"/>
      <c r="M571" s="42"/>
      <c r="N571" s="42"/>
      <c r="O571" s="42"/>
      <c r="P571" s="42"/>
      <c r="Q571" s="42"/>
    </row>
    <row r="572">
      <c r="A572" s="50"/>
      <c r="B572" s="42"/>
      <c r="C572" s="42"/>
      <c r="D572" s="42"/>
      <c r="E572" s="42"/>
      <c r="F572" s="42"/>
      <c r="G572" s="42"/>
      <c r="H572" s="42"/>
      <c r="I572" s="48"/>
      <c r="J572" s="50"/>
      <c r="K572" s="42"/>
      <c r="L572" s="42"/>
      <c r="M572" s="42"/>
      <c r="N572" s="42"/>
      <c r="O572" s="42"/>
      <c r="P572" s="42"/>
      <c r="Q572" s="42"/>
    </row>
    <row r="573">
      <c r="A573" s="50"/>
      <c r="B573" s="42"/>
      <c r="C573" s="42"/>
      <c r="D573" s="42"/>
      <c r="E573" s="42"/>
      <c r="F573" s="42"/>
      <c r="G573" s="42"/>
      <c r="H573" s="42"/>
      <c r="I573" s="48"/>
      <c r="J573" s="50"/>
      <c r="K573" s="42"/>
      <c r="L573" s="42"/>
      <c r="M573" s="42"/>
      <c r="N573" s="42"/>
      <c r="O573" s="42"/>
      <c r="P573" s="42"/>
      <c r="Q573" s="42"/>
    </row>
    <row r="574">
      <c r="A574" s="50"/>
      <c r="B574" s="42"/>
      <c r="C574" s="42"/>
      <c r="D574" s="42"/>
      <c r="E574" s="42"/>
      <c r="F574" s="42"/>
      <c r="G574" s="42"/>
      <c r="H574" s="42"/>
      <c r="I574" s="48"/>
      <c r="J574" s="50"/>
      <c r="K574" s="42"/>
      <c r="L574" s="42"/>
      <c r="M574" s="42"/>
      <c r="N574" s="42"/>
      <c r="O574" s="42"/>
      <c r="P574" s="42"/>
      <c r="Q574" s="42"/>
    </row>
    <row r="575">
      <c r="A575" s="50"/>
      <c r="B575" s="42"/>
      <c r="C575" s="42"/>
      <c r="D575" s="42"/>
      <c r="E575" s="42"/>
      <c r="F575" s="42"/>
      <c r="G575" s="42"/>
      <c r="H575" s="42"/>
      <c r="I575" s="48"/>
      <c r="J575" s="50"/>
      <c r="K575" s="42"/>
      <c r="L575" s="42"/>
      <c r="M575" s="42"/>
      <c r="N575" s="42"/>
      <c r="O575" s="42"/>
      <c r="P575" s="42"/>
      <c r="Q575" s="42"/>
    </row>
    <row r="576">
      <c r="A576" s="50"/>
      <c r="B576" s="42"/>
      <c r="C576" s="42"/>
      <c r="D576" s="42"/>
      <c r="E576" s="42"/>
      <c r="F576" s="42"/>
      <c r="G576" s="42"/>
      <c r="H576" s="42"/>
      <c r="I576" s="48"/>
      <c r="J576" s="50"/>
      <c r="K576" s="42"/>
      <c r="L576" s="42"/>
      <c r="M576" s="42"/>
      <c r="N576" s="42"/>
      <c r="O576" s="42"/>
      <c r="P576" s="42"/>
      <c r="Q576" s="42"/>
    </row>
    <row r="577">
      <c r="A577" s="50"/>
      <c r="B577" s="42"/>
      <c r="C577" s="42"/>
      <c r="D577" s="42"/>
      <c r="E577" s="42"/>
      <c r="F577" s="42"/>
      <c r="G577" s="42"/>
      <c r="H577" s="42"/>
      <c r="I577" s="48"/>
      <c r="J577" s="50"/>
      <c r="K577" s="42"/>
      <c r="L577" s="42"/>
      <c r="M577" s="42"/>
      <c r="N577" s="42"/>
      <c r="O577" s="42"/>
      <c r="P577" s="42"/>
      <c r="Q577" s="42"/>
    </row>
    <row r="578">
      <c r="A578" s="50"/>
      <c r="B578" s="42"/>
      <c r="C578" s="42"/>
      <c r="D578" s="42"/>
      <c r="E578" s="42"/>
      <c r="F578" s="42"/>
      <c r="G578" s="42"/>
      <c r="H578" s="42"/>
      <c r="I578" s="48"/>
      <c r="J578" s="50"/>
      <c r="K578" s="42"/>
      <c r="L578" s="42"/>
      <c r="M578" s="42"/>
      <c r="N578" s="42"/>
      <c r="O578" s="42"/>
      <c r="P578" s="42"/>
      <c r="Q578" s="42"/>
    </row>
    <row r="579">
      <c r="A579" s="50"/>
      <c r="B579" s="42"/>
      <c r="C579" s="42"/>
      <c r="D579" s="42"/>
      <c r="E579" s="42"/>
      <c r="F579" s="42"/>
      <c r="G579" s="42"/>
      <c r="H579" s="42"/>
      <c r="I579" s="48"/>
      <c r="J579" s="50"/>
      <c r="K579" s="42"/>
      <c r="L579" s="42"/>
      <c r="M579" s="42"/>
      <c r="N579" s="42"/>
      <c r="O579" s="42"/>
      <c r="P579" s="42"/>
      <c r="Q579" s="42"/>
    </row>
    <row r="580">
      <c r="A580" s="50"/>
      <c r="B580" s="42"/>
      <c r="C580" s="42"/>
      <c r="D580" s="42"/>
      <c r="E580" s="42"/>
      <c r="F580" s="42"/>
      <c r="G580" s="42"/>
      <c r="H580" s="42"/>
      <c r="I580" s="48"/>
      <c r="J580" s="50"/>
      <c r="K580" s="42"/>
      <c r="L580" s="42"/>
      <c r="M580" s="42"/>
      <c r="N580" s="42"/>
      <c r="O580" s="42"/>
      <c r="P580" s="42"/>
      <c r="Q580" s="42"/>
    </row>
    <row r="581">
      <c r="A581" s="50"/>
      <c r="B581" s="42"/>
      <c r="C581" s="42"/>
      <c r="D581" s="42"/>
      <c r="E581" s="42"/>
      <c r="F581" s="42"/>
      <c r="G581" s="42"/>
      <c r="H581" s="42"/>
      <c r="I581" s="48"/>
      <c r="J581" s="50"/>
      <c r="K581" s="42"/>
      <c r="L581" s="42"/>
      <c r="M581" s="42"/>
      <c r="N581" s="42"/>
      <c r="O581" s="42"/>
      <c r="P581" s="42"/>
      <c r="Q581" s="42"/>
    </row>
    <row r="582">
      <c r="A582" s="50"/>
      <c r="B582" s="42"/>
      <c r="C582" s="42"/>
      <c r="D582" s="42"/>
      <c r="E582" s="42"/>
      <c r="F582" s="42"/>
      <c r="G582" s="42"/>
      <c r="H582" s="42"/>
      <c r="I582" s="48"/>
      <c r="J582" s="50"/>
      <c r="K582" s="42"/>
      <c r="L582" s="42"/>
      <c r="M582" s="42"/>
      <c r="N582" s="42"/>
      <c r="O582" s="42"/>
      <c r="P582" s="42"/>
      <c r="Q582" s="42"/>
    </row>
    <row r="583">
      <c r="A583" s="50"/>
      <c r="B583" s="42"/>
      <c r="C583" s="42"/>
      <c r="D583" s="42"/>
      <c r="E583" s="42"/>
      <c r="F583" s="42"/>
      <c r="G583" s="42"/>
      <c r="H583" s="42"/>
      <c r="I583" s="48"/>
      <c r="J583" s="50"/>
      <c r="K583" s="42"/>
      <c r="L583" s="42"/>
      <c r="M583" s="42"/>
      <c r="N583" s="42"/>
      <c r="O583" s="42"/>
      <c r="P583" s="42"/>
      <c r="Q583" s="42"/>
    </row>
    <row r="584">
      <c r="A584" s="50"/>
      <c r="B584" s="42"/>
      <c r="C584" s="42"/>
      <c r="D584" s="42"/>
      <c r="E584" s="42"/>
      <c r="F584" s="42"/>
      <c r="G584" s="42"/>
      <c r="H584" s="42"/>
      <c r="I584" s="48"/>
      <c r="J584" s="50"/>
      <c r="K584" s="42"/>
      <c r="L584" s="42"/>
      <c r="M584" s="42"/>
      <c r="N584" s="42"/>
      <c r="O584" s="42"/>
      <c r="P584" s="42"/>
      <c r="Q584" s="42"/>
    </row>
    <row r="585">
      <c r="A585" s="50"/>
      <c r="B585" s="42"/>
      <c r="C585" s="42"/>
      <c r="D585" s="42"/>
      <c r="E585" s="42"/>
      <c r="F585" s="42"/>
      <c r="G585" s="42"/>
      <c r="H585" s="42"/>
      <c r="I585" s="48"/>
      <c r="J585" s="50"/>
      <c r="K585" s="42"/>
      <c r="L585" s="42"/>
      <c r="M585" s="42"/>
      <c r="N585" s="42"/>
      <c r="O585" s="42"/>
      <c r="P585" s="42"/>
      <c r="Q585" s="42"/>
    </row>
    <row r="586">
      <c r="A586" s="50"/>
      <c r="B586" s="42"/>
      <c r="C586" s="42"/>
      <c r="D586" s="42"/>
      <c r="E586" s="42"/>
      <c r="F586" s="42"/>
      <c r="G586" s="42"/>
      <c r="H586" s="42"/>
      <c r="I586" s="48"/>
      <c r="J586" s="50"/>
      <c r="K586" s="42"/>
      <c r="L586" s="42"/>
      <c r="M586" s="42"/>
      <c r="N586" s="42"/>
      <c r="O586" s="42"/>
      <c r="P586" s="42"/>
      <c r="Q586" s="42"/>
    </row>
    <row r="587">
      <c r="A587" s="50"/>
      <c r="B587" s="42"/>
      <c r="C587" s="42"/>
      <c r="D587" s="42"/>
      <c r="E587" s="42"/>
      <c r="F587" s="42"/>
      <c r="G587" s="42"/>
      <c r="H587" s="42"/>
      <c r="I587" s="48"/>
      <c r="J587" s="50"/>
      <c r="K587" s="42"/>
      <c r="L587" s="42"/>
      <c r="M587" s="42"/>
      <c r="N587" s="42"/>
      <c r="O587" s="42"/>
      <c r="P587" s="42"/>
      <c r="Q587" s="42"/>
    </row>
    <row r="588">
      <c r="A588" s="50"/>
      <c r="B588" s="42"/>
      <c r="C588" s="42"/>
      <c r="D588" s="42"/>
      <c r="E588" s="42"/>
      <c r="F588" s="42"/>
      <c r="G588" s="42"/>
      <c r="H588" s="42"/>
      <c r="I588" s="48"/>
      <c r="J588" s="50"/>
      <c r="K588" s="42"/>
      <c r="L588" s="42"/>
      <c r="M588" s="42"/>
      <c r="N588" s="42"/>
      <c r="O588" s="42"/>
      <c r="P588" s="42"/>
      <c r="Q588" s="42"/>
    </row>
    <row r="589">
      <c r="A589" s="50"/>
      <c r="B589" s="42"/>
      <c r="C589" s="42"/>
      <c r="D589" s="42"/>
      <c r="E589" s="42"/>
      <c r="F589" s="42"/>
      <c r="G589" s="42"/>
      <c r="H589" s="42"/>
      <c r="I589" s="48"/>
      <c r="J589" s="50"/>
      <c r="K589" s="42"/>
      <c r="L589" s="42"/>
      <c r="M589" s="42"/>
      <c r="N589" s="42"/>
      <c r="O589" s="42"/>
      <c r="P589" s="42"/>
      <c r="Q589" s="42"/>
    </row>
    <row r="590">
      <c r="A590" s="50"/>
      <c r="B590" s="42"/>
      <c r="C590" s="42"/>
      <c r="D590" s="42"/>
      <c r="E590" s="42"/>
      <c r="F590" s="42"/>
      <c r="G590" s="42"/>
      <c r="H590" s="42"/>
      <c r="I590" s="48"/>
      <c r="J590" s="50"/>
      <c r="K590" s="42"/>
      <c r="L590" s="42"/>
      <c r="M590" s="42"/>
      <c r="N590" s="42"/>
      <c r="O590" s="42"/>
      <c r="P590" s="42"/>
      <c r="Q590" s="42"/>
    </row>
    <row r="591">
      <c r="A591" s="50"/>
      <c r="B591" s="42"/>
      <c r="C591" s="42"/>
      <c r="D591" s="42"/>
      <c r="E591" s="42"/>
      <c r="F591" s="42"/>
      <c r="G591" s="42"/>
      <c r="H591" s="42"/>
      <c r="I591" s="48"/>
      <c r="J591" s="50"/>
      <c r="K591" s="42"/>
      <c r="L591" s="42"/>
      <c r="M591" s="42"/>
      <c r="N591" s="42"/>
      <c r="O591" s="42"/>
      <c r="P591" s="42"/>
      <c r="Q591" s="42"/>
    </row>
    <row r="592">
      <c r="A592" s="50"/>
      <c r="B592" s="42"/>
      <c r="C592" s="42"/>
      <c r="D592" s="42"/>
      <c r="E592" s="42"/>
      <c r="F592" s="42"/>
      <c r="G592" s="42"/>
      <c r="H592" s="42"/>
      <c r="I592" s="48"/>
      <c r="J592" s="50"/>
      <c r="K592" s="42"/>
      <c r="L592" s="42"/>
      <c r="M592" s="42"/>
      <c r="N592" s="42"/>
      <c r="O592" s="42"/>
      <c r="P592" s="42"/>
      <c r="Q592" s="42"/>
    </row>
    <row r="593">
      <c r="A593" s="50"/>
      <c r="B593" s="42"/>
      <c r="C593" s="42"/>
      <c r="D593" s="42"/>
      <c r="E593" s="42"/>
      <c r="F593" s="42"/>
      <c r="G593" s="42"/>
      <c r="H593" s="42"/>
      <c r="I593" s="48"/>
      <c r="J593" s="50"/>
      <c r="K593" s="42"/>
      <c r="L593" s="42"/>
      <c r="M593" s="42"/>
      <c r="N593" s="42"/>
      <c r="O593" s="42"/>
      <c r="P593" s="42"/>
      <c r="Q593" s="42"/>
    </row>
    <row r="594">
      <c r="A594" s="50"/>
      <c r="B594" s="42"/>
      <c r="C594" s="42"/>
      <c r="D594" s="42"/>
      <c r="E594" s="42"/>
      <c r="F594" s="42"/>
      <c r="G594" s="42"/>
      <c r="H594" s="42"/>
      <c r="I594" s="48"/>
      <c r="J594" s="50"/>
      <c r="K594" s="42"/>
      <c r="L594" s="42"/>
      <c r="M594" s="42"/>
      <c r="N594" s="42"/>
      <c r="O594" s="42"/>
      <c r="P594" s="42"/>
      <c r="Q594" s="42"/>
    </row>
    <row r="595">
      <c r="A595" s="50"/>
      <c r="B595" s="42"/>
      <c r="C595" s="42"/>
      <c r="D595" s="42"/>
      <c r="E595" s="42"/>
      <c r="F595" s="42"/>
      <c r="G595" s="42"/>
      <c r="H595" s="42"/>
      <c r="I595" s="48"/>
      <c r="J595" s="50"/>
      <c r="K595" s="42"/>
      <c r="L595" s="42"/>
      <c r="M595" s="42"/>
      <c r="N595" s="42"/>
      <c r="O595" s="42"/>
      <c r="P595" s="42"/>
      <c r="Q595" s="42"/>
    </row>
    <row r="596">
      <c r="A596" s="50"/>
      <c r="B596" s="42"/>
      <c r="C596" s="42"/>
      <c r="D596" s="42"/>
      <c r="E596" s="42"/>
      <c r="F596" s="42"/>
      <c r="G596" s="42"/>
      <c r="H596" s="42"/>
      <c r="I596" s="48"/>
      <c r="J596" s="50"/>
      <c r="K596" s="42"/>
      <c r="L596" s="42"/>
      <c r="M596" s="42"/>
      <c r="N596" s="42"/>
      <c r="O596" s="42"/>
      <c r="P596" s="42"/>
      <c r="Q596" s="42"/>
    </row>
    <row r="597">
      <c r="A597" s="50"/>
      <c r="B597" s="42"/>
      <c r="C597" s="42"/>
      <c r="D597" s="42"/>
      <c r="E597" s="42"/>
      <c r="F597" s="42"/>
      <c r="G597" s="42"/>
      <c r="H597" s="42"/>
      <c r="I597" s="48"/>
      <c r="J597" s="50"/>
      <c r="K597" s="42"/>
      <c r="L597" s="42"/>
      <c r="M597" s="42"/>
      <c r="N597" s="42"/>
      <c r="O597" s="42"/>
      <c r="P597" s="42"/>
      <c r="Q597" s="42"/>
    </row>
    <row r="598">
      <c r="A598" s="50"/>
      <c r="B598" s="42"/>
      <c r="C598" s="42"/>
      <c r="D598" s="42"/>
      <c r="E598" s="42"/>
      <c r="F598" s="42"/>
      <c r="G598" s="42"/>
      <c r="H598" s="42"/>
      <c r="I598" s="48"/>
      <c r="J598" s="50"/>
      <c r="K598" s="42"/>
      <c r="L598" s="42"/>
      <c r="M598" s="42"/>
      <c r="N598" s="42"/>
      <c r="O598" s="42"/>
      <c r="P598" s="42"/>
      <c r="Q598" s="42"/>
    </row>
    <row r="599">
      <c r="A599" s="50"/>
      <c r="B599" s="42"/>
      <c r="C599" s="42"/>
      <c r="D599" s="42"/>
      <c r="E599" s="42"/>
      <c r="F599" s="42"/>
      <c r="G599" s="42"/>
      <c r="H599" s="42"/>
      <c r="I599" s="48"/>
      <c r="J599" s="50"/>
      <c r="K599" s="42"/>
      <c r="L599" s="42"/>
      <c r="M599" s="42"/>
      <c r="N599" s="42"/>
      <c r="O599" s="42"/>
      <c r="P599" s="42"/>
      <c r="Q599" s="42"/>
    </row>
    <row r="600">
      <c r="A600" s="50"/>
      <c r="B600" s="42"/>
      <c r="C600" s="42"/>
      <c r="D600" s="42"/>
      <c r="E600" s="42"/>
      <c r="F600" s="42"/>
      <c r="G600" s="42"/>
      <c r="H600" s="42"/>
      <c r="I600" s="48"/>
      <c r="J600" s="50"/>
      <c r="K600" s="42"/>
      <c r="L600" s="42"/>
      <c r="M600" s="42"/>
      <c r="N600" s="42"/>
      <c r="O600" s="42"/>
      <c r="P600" s="42"/>
      <c r="Q600" s="42"/>
    </row>
    <row r="601">
      <c r="A601" s="50"/>
      <c r="B601" s="42"/>
      <c r="C601" s="42"/>
      <c r="D601" s="42"/>
      <c r="E601" s="42"/>
      <c r="F601" s="42"/>
      <c r="G601" s="42"/>
      <c r="H601" s="42"/>
      <c r="I601" s="48"/>
      <c r="J601" s="50"/>
      <c r="K601" s="42"/>
      <c r="L601" s="42"/>
      <c r="M601" s="42"/>
      <c r="N601" s="42"/>
      <c r="O601" s="42"/>
      <c r="P601" s="42"/>
      <c r="Q601" s="42"/>
    </row>
    <row r="602">
      <c r="A602" s="50"/>
      <c r="B602" s="42"/>
      <c r="C602" s="42"/>
      <c r="D602" s="42"/>
      <c r="E602" s="42"/>
      <c r="F602" s="42"/>
      <c r="G602" s="42"/>
      <c r="H602" s="42"/>
      <c r="I602" s="48"/>
      <c r="J602" s="50"/>
      <c r="K602" s="42"/>
      <c r="L602" s="42"/>
      <c r="M602" s="42"/>
      <c r="N602" s="42"/>
      <c r="O602" s="42"/>
      <c r="P602" s="42"/>
      <c r="Q602" s="42"/>
    </row>
    <row r="603">
      <c r="A603" s="50"/>
      <c r="B603" s="42"/>
      <c r="C603" s="42"/>
      <c r="D603" s="42"/>
      <c r="E603" s="42"/>
      <c r="F603" s="42"/>
      <c r="G603" s="42"/>
      <c r="H603" s="42"/>
      <c r="I603" s="48"/>
      <c r="J603" s="50"/>
      <c r="K603" s="42"/>
      <c r="L603" s="42"/>
      <c r="M603" s="42"/>
      <c r="N603" s="42"/>
      <c r="O603" s="42"/>
      <c r="P603" s="42"/>
      <c r="Q603" s="42"/>
    </row>
    <row r="604">
      <c r="A604" s="50"/>
      <c r="B604" s="42"/>
      <c r="C604" s="42"/>
      <c r="D604" s="42"/>
      <c r="E604" s="42"/>
      <c r="F604" s="42"/>
      <c r="G604" s="42"/>
      <c r="H604" s="42"/>
      <c r="I604" s="48"/>
      <c r="J604" s="50"/>
      <c r="K604" s="42"/>
      <c r="L604" s="42"/>
      <c r="M604" s="42"/>
      <c r="N604" s="42"/>
      <c r="O604" s="42"/>
      <c r="P604" s="42"/>
      <c r="Q604" s="42"/>
    </row>
    <row r="605">
      <c r="A605" s="50"/>
      <c r="B605" s="42"/>
      <c r="C605" s="42"/>
      <c r="D605" s="42"/>
      <c r="E605" s="42"/>
      <c r="F605" s="42"/>
      <c r="G605" s="42"/>
      <c r="H605" s="42"/>
      <c r="I605" s="48"/>
      <c r="J605" s="50"/>
      <c r="K605" s="42"/>
      <c r="L605" s="42"/>
      <c r="M605" s="42"/>
      <c r="N605" s="42"/>
      <c r="O605" s="42"/>
      <c r="P605" s="42"/>
      <c r="Q605" s="42"/>
    </row>
    <row r="606">
      <c r="A606" s="50"/>
      <c r="B606" s="42"/>
      <c r="C606" s="42"/>
      <c r="D606" s="42"/>
      <c r="E606" s="42"/>
      <c r="F606" s="42"/>
      <c r="G606" s="42"/>
      <c r="H606" s="42"/>
      <c r="I606" s="48"/>
      <c r="J606" s="50"/>
      <c r="K606" s="42"/>
      <c r="L606" s="42"/>
      <c r="M606" s="42"/>
      <c r="N606" s="42"/>
      <c r="O606" s="42"/>
      <c r="P606" s="42"/>
      <c r="Q606" s="42"/>
    </row>
    <row r="607">
      <c r="A607" s="50"/>
      <c r="B607" s="42"/>
      <c r="C607" s="42"/>
      <c r="D607" s="42"/>
      <c r="E607" s="42"/>
      <c r="F607" s="42"/>
      <c r="G607" s="42"/>
      <c r="H607" s="42"/>
      <c r="I607" s="48"/>
      <c r="J607" s="50"/>
      <c r="K607" s="42"/>
      <c r="L607" s="42"/>
      <c r="M607" s="42"/>
      <c r="N607" s="42"/>
      <c r="O607" s="42"/>
      <c r="P607" s="42"/>
      <c r="Q607" s="42"/>
    </row>
    <row r="608">
      <c r="A608" s="50"/>
      <c r="B608" s="42"/>
      <c r="C608" s="42"/>
      <c r="D608" s="42"/>
      <c r="E608" s="42"/>
      <c r="F608" s="42"/>
      <c r="G608" s="42"/>
      <c r="H608" s="42"/>
      <c r="I608" s="48"/>
      <c r="J608" s="50"/>
      <c r="K608" s="42"/>
      <c r="L608" s="42"/>
      <c r="M608" s="42"/>
      <c r="N608" s="42"/>
      <c r="O608" s="42"/>
      <c r="P608" s="42"/>
      <c r="Q608" s="42"/>
    </row>
    <row r="609">
      <c r="A609" s="50"/>
      <c r="B609" s="42"/>
      <c r="C609" s="42"/>
      <c r="D609" s="42"/>
      <c r="E609" s="42"/>
      <c r="F609" s="42"/>
      <c r="G609" s="42"/>
      <c r="H609" s="42"/>
      <c r="I609" s="48"/>
      <c r="J609" s="50"/>
      <c r="K609" s="42"/>
      <c r="L609" s="42"/>
      <c r="M609" s="42"/>
      <c r="N609" s="42"/>
      <c r="O609" s="42"/>
      <c r="P609" s="42"/>
      <c r="Q609" s="42"/>
    </row>
    <row r="610">
      <c r="A610" s="50"/>
      <c r="B610" s="42"/>
      <c r="C610" s="42"/>
      <c r="D610" s="42"/>
      <c r="E610" s="42"/>
      <c r="F610" s="42"/>
      <c r="G610" s="42"/>
      <c r="H610" s="42"/>
      <c r="I610" s="48"/>
      <c r="J610" s="50"/>
      <c r="K610" s="42"/>
      <c r="L610" s="42"/>
      <c r="M610" s="42"/>
      <c r="N610" s="42"/>
      <c r="O610" s="42"/>
      <c r="P610" s="42"/>
      <c r="Q610" s="42"/>
    </row>
    <row r="611">
      <c r="A611" s="50"/>
      <c r="B611" s="42"/>
      <c r="C611" s="42"/>
      <c r="D611" s="42"/>
      <c r="E611" s="42"/>
      <c r="F611" s="42"/>
      <c r="G611" s="42"/>
      <c r="H611" s="42"/>
      <c r="I611" s="48"/>
      <c r="J611" s="50"/>
      <c r="K611" s="42"/>
      <c r="L611" s="42"/>
      <c r="M611" s="42"/>
      <c r="N611" s="42"/>
      <c r="O611" s="42"/>
      <c r="P611" s="42"/>
      <c r="Q611" s="42"/>
    </row>
    <row r="612">
      <c r="A612" s="50"/>
      <c r="B612" s="42"/>
      <c r="C612" s="42"/>
      <c r="D612" s="42"/>
      <c r="E612" s="42"/>
      <c r="F612" s="42"/>
      <c r="G612" s="42"/>
      <c r="H612" s="42"/>
      <c r="I612" s="48"/>
      <c r="J612" s="50"/>
      <c r="K612" s="42"/>
      <c r="L612" s="42"/>
      <c r="M612" s="42"/>
      <c r="N612" s="42"/>
      <c r="O612" s="42"/>
      <c r="P612" s="42"/>
      <c r="Q612" s="42"/>
    </row>
    <row r="613">
      <c r="A613" s="50"/>
      <c r="B613" s="42"/>
      <c r="C613" s="42"/>
      <c r="D613" s="42"/>
      <c r="E613" s="42"/>
      <c r="F613" s="42"/>
      <c r="G613" s="42"/>
      <c r="H613" s="42"/>
      <c r="I613" s="48"/>
      <c r="J613" s="50"/>
      <c r="K613" s="42"/>
      <c r="L613" s="42"/>
      <c r="M613" s="42"/>
      <c r="N613" s="42"/>
      <c r="O613" s="42"/>
      <c r="P613" s="42"/>
      <c r="Q613" s="42"/>
    </row>
    <row r="614">
      <c r="A614" s="50"/>
      <c r="B614" s="42"/>
      <c r="C614" s="42"/>
      <c r="D614" s="42"/>
      <c r="E614" s="42"/>
      <c r="F614" s="42"/>
      <c r="G614" s="42"/>
      <c r="H614" s="42"/>
      <c r="I614" s="48"/>
      <c r="J614" s="50"/>
      <c r="K614" s="42"/>
      <c r="L614" s="42"/>
      <c r="M614" s="42"/>
      <c r="N614" s="42"/>
      <c r="O614" s="42"/>
      <c r="P614" s="42"/>
      <c r="Q614" s="42"/>
    </row>
    <row r="615">
      <c r="A615" s="50"/>
      <c r="B615" s="42"/>
      <c r="C615" s="42"/>
      <c r="D615" s="42"/>
      <c r="E615" s="42"/>
      <c r="F615" s="42"/>
      <c r="G615" s="42"/>
      <c r="H615" s="42"/>
      <c r="I615" s="48"/>
      <c r="J615" s="50"/>
      <c r="K615" s="42"/>
      <c r="L615" s="42"/>
      <c r="M615" s="42"/>
      <c r="N615" s="42"/>
      <c r="O615" s="42"/>
      <c r="P615" s="42"/>
      <c r="Q615" s="42"/>
    </row>
    <row r="616">
      <c r="A616" s="50"/>
      <c r="B616" s="42"/>
      <c r="C616" s="42"/>
      <c r="D616" s="42"/>
      <c r="E616" s="42"/>
      <c r="F616" s="42"/>
      <c r="G616" s="42"/>
      <c r="H616" s="42"/>
      <c r="I616" s="48"/>
      <c r="J616" s="50"/>
      <c r="K616" s="42"/>
      <c r="L616" s="42"/>
      <c r="M616" s="42"/>
      <c r="N616" s="42"/>
      <c r="O616" s="42"/>
      <c r="P616" s="42"/>
      <c r="Q616" s="42"/>
    </row>
    <row r="617">
      <c r="A617" s="50"/>
      <c r="B617" s="42"/>
      <c r="C617" s="42"/>
      <c r="D617" s="42"/>
      <c r="E617" s="42"/>
      <c r="F617" s="42"/>
      <c r="G617" s="42"/>
      <c r="H617" s="42"/>
      <c r="I617" s="48"/>
      <c r="J617" s="50"/>
      <c r="K617" s="42"/>
      <c r="L617" s="42"/>
      <c r="M617" s="42"/>
      <c r="N617" s="42"/>
      <c r="O617" s="42"/>
      <c r="P617" s="42"/>
      <c r="Q617" s="42"/>
    </row>
    <row r="618">
      <c r="A618" s="50"/>
      <c r="B618" s="42"/>
      <c r="C618" s="42"/>
      <c r="D618" s="42"/>
      <c r="E618" s="42"/>
      <c r="F618" s="42"/>
      <c r="G618" s="42"/>
      <c r="H618" s="42"/>
      <c r="I618" s="48"/>
      <c r="J618" s="50"/>
      <c r="K618" s="42"/>
      <c r="L618" s="42"/>
      <c r="M618" s="42"/>
      <c r="N618" s="42"/>
      <c r="O618" s="42"/>
      <c r="P618" s="42"/>
      <c r="Q618" s="42"/>
    </row>
    <row r="619">
      <c r="A619" s="50"/>
      <c r="B619" s="42"/>
      <c r="C619" s="42"/>
      <c r="D619" s="42"/>
      <c r="E619" s="42"/>
      <c r="F619" s="42"/>
      <c r="G619" s="42"/>
      <c r="H619" s="42"/>
      <c r="I619" s="48"/>
      <c r="J619" s="50"/>
      <c r="K619" s="42"/>
      <c r="L619" s="42"/>
      <c r="M619" s="42"/>
      <c r="N619" s="42"/>
      <c r="O619" s="42"/>
      <c r="P619" s="42"/>
      <c r="Q619" s="42"/>
    </row>
    <row r="620">
      <c r="A620" s="50"/>
      <c r="B620" s="42"/>
      <c r="C620" s="42"/>
      <c r="D620" s="42"/>
      <c r="E620" s="42"/>
      <c r="F620" s="42"/>
      <c r="G620" s="42"/>
      <c r="H620" s="42"/>
      <c r="I620" s="48"/>
      <c r="J620" s="50"/>
      <c r="K620" s="42"/>
      <c r="L620" s="42"/>
      <c r="M620" s="42"/>
      <c r="N620" s="42"/>
      <c r="O620" s="42"/>
      <c r="P620" s="42"/>
      <c r="Q620" s="42"/>
    </row>
    <row r="621">
      <c r="A621" s="50"/>
      <c r="B621" s="42"/>
      <c r="C621" s="42"/>
      <c r="D621" s="42"/>
      <c r="E621" s="42"/>
      <c r="F621" s="42"/>
      <c r="G621" s="42"/>
      <c r="H621" s="42"/>
      <c r="I621" s="48"/>
      <c r="J621" s="50"/>
      <c r="K621" s="42"/>
      <c r="L621" s="42"/>
      <c r="M621" s="42"/>
      <c r="N621" s="42"/>
      <c r="O621" s="42"/>
      <c r="P621" s="42"/>
      <c r="Q621" s="42"/>
    </row>
    <row r="622">
      <c r="A622" s="50"/>
      <c r="B622" s="42"/>
      <c r="C622" s="42"/>
      <c r="D622" s="42"/>
      <c r="E622" s="42"/>
      <c r="F622" s="42"/>
      <c r="G622" s="42"/>
      <c r="H622" s="42"/>
      <c r="I622" s="48"/>
      <c r="J622" s="50"/>
      <c r="K622" s="42"/>
      <c r="L622" s="42"/>
      <c r="M622" s="42"/>
      <c r="N622" s="42"/>
      <c r="O622" s="42"/>
      <c r="P622" s="42"/>
      <c r="Q622" s="42"/>
    </row>
    <row r="623">
      <c r="A623" s="50"/>
      <c r="B623" s="42"/>
      <c r="C623" s="42"/>
      <c r="D623" s="42"/>
      <c r="E623" s="42"/>
      <c r="F623" s="42"/>
      <c r="G623" s="42"/>
      <c r="H623" s="42"/>
      <c r="I623" s="48"/>
      <c r="J623" s="50"/>
      <c r="K623" s="42"/>
      <c r="L623" s="42"/>
      <c r="M623" s="42"/>
      <c r="N623" s="42"/>
      <c r="O623" s="42"/>
      <c r="P623" s="42"/>
      <c r="Q623" s="42"/>
    </row>
    <row r="624">
      <c r="A624" s="50"/>
      <c r="B624" s="42"/>
      <c r="C624" s="42"/>
      <c r="D624" s="42"/>
      <c r="E624" s="42"/>
      <c r="F624" s="42"/>
      <c r="G624" s="42"/>
      <c r="H624" s="42"/>
      <c r="I624" s="48"/>
      <c r="J624" s="50"/>
      <c r="K624" s="42"/>
      <c r="L624" s="42"/>
      <c r="M624" s="42"/>
      <c r="N624" s="42"/>
      <c r="O624" s="42"/>
      <c r="P624" s="42"/>
      <c r="Q624" s="42"/>
    </row>
    <row r="625">
      <c r="A625" s="50"/>
      <c r="B625" s="42"/>
      <c r="C625" s="42"/>
      <c r="D625" s="42"/>
      <c r="E625" s="42"/>
      <c r="F625" s="42"/>
      <c r="G625" s="42"/>
      <c r="H625" s="42"/>
      <c r="I625" s="48"/>
      <c r="J625" s="50"/>
      <c r="K625" s="42"/>
      <c r="L625" s="42"/>
      <c r="M625" s="42"/>
      <c r="N625" s="42"/>
      <c r="O625" s="42"/>
      <c r="P625" s="42"/>
      <c r="Q625" s="42"/>
    </row>
    <row r="626">
      <c r="A626" s="50"/>
      <c r="B626" s="42"/>
      <c r="C626" s="42"/>
      <c r="D626" s="42"/>
      <c r="E626" s="42"/>
      <c r="F626" s="42"/>
      <c r="G626" s="42"/>
      <c r="H626" s="42"/>
      <c r="I626" s="48"/>
      <c r="J626" s="50"/>
      <c r="K626" s="42"/>
      <c r="L626" s="42"/>
      <c r="M626" s="42"/>
      <c r="N626" s="42"/>
      <c r="O626" s="42"/>
      <c r="P626" s="42"/>
      <c r="Q626" s="42"/>
    </row>
    <row r="627">
      <c r="A627" s="50"/>
      <c r="B627" s="42"/>
      <c r="C627" s="42"/>
      <c r="D627" s="42"/>
      <c r="E627" s="42"/>
      <c r="F627" s="42"/>
      <c r="G627" s="42"/>
      <c r="H627" s="42"/>
      <c r="I627" s="48"/>
      <c r="J627" s="50"/>
      <c r="K627" s="42"/>
      <c r="L627" s="42"/>
      <c r="M627" s="42"/>
      <c r="N627" s="42"/>
      <c r="O627" s="42"/>
      <c r="P627" s="42"/>
      <c r="Q627" s="42"/>
    </row>
    <row r="628">
      <c r="A628" s="50"/>
      <c r="B628" s="42"/>
      <c r="C628" s="42"/>
      <c r="D628" s="42"/>
      <c r="E628" s="42"/>
      <c r="F628" s="42"/>
      <c r="G628" s="42"/>
      <c r="H628" s="42"/>
      <c r="I628" s="48"/>
      <c r="J628" s="50"/>
      <c r="K628" s="42"/>
      <c r="L628" s="42"/>
      <c r="M628" s="42"/>
      <c r="N628" s="42"/>
      <c r="O628" s="42"/>
      <c r="P628" s="42"/>
      <c r="Q628" s="42"/>
    </row>
    <row r="629">
      <c r="A629" s="50"/>
      <c r="B629" s="42"/>
      <c r="C629" s="42"/>
      <c r="D629" s="42"/>
      <c r="E629" s="42"/>
      <c r="F629" s="42"/>
      <c r="G629" s="42"/>
      <c r="H629" s="42"/>
      <c r="I629" s="48"/>
      <c r="J629" s="50"/>
      <c r="K629" s="42"/>
      <c r="L629" s="42"/>
      <c r="M629" s="42"/>
      <c r="N629" s="42"/>
      <c r="O629" s="42"/>
      <c r="P629" s="42"/>
      <c r="Q629" s="42"/>
    </row>
    <row r="630">
      <c r="A630" s="50"/>
      <c r="B630" s="42"/>
      <c r="C630" s="42"/>
      <c r="D630" s="42"/>
      <c r="E630" s="42"/>
      <c r="F630" s="42"/>
      <c r="G630" s="42"/>
      <c r="H630" s="42"/>
      <c r="I630" s="48"/>
      <c r="J630" s="50"/>
      <c r="K630" s="42"/>
      <c r="L630" s="42"/>
      <c r="M630" s="42"/>
      <c r="N630" s="42"/>
      <c r="O630" s="42"/>
      <c r="P630" s="42"/>
      <c r="Q630" s="42"/>
    </row>
    <row r="631">
      <c r="A631" s="50"/>
      <c r="B631" s="42"/>
      <c r="C631" s="42"/>
      <c r="D631" s="42"/>
      <c r="E631" s="42"/>
      <c r="F631" s="42"/>
      <c r="G631" s="42"/>
      <c r="H631" s="42"/>
      <c r="I631" s="48"/>
      <c r="J631" s="50"/>
      <c r="K631" s="42"/>
      <c r="L631" s="42"/>
      <c r="M631" s="42"/>
      <c r="N631" s="42"/>
      <c r="O631" s="42"/>
      <c r="P631" s="42"/>
      <c r="Q631" s="42"/>
    </row>
    <row r="632">
      <c r="A632" s="50"/>
      <c r="B632" s="42"/>
      <c r="C632" s="42"/>
      <c r="D632" s="42"/>
      <c r="E632" s="42"/>
      <c r="F632" s="42"/>
      <c r="G632" s="42"/>
      <c r="H632" s="42"/>
      <c r="I632" s="48"/>
      <c r="J632" s="50"/>
      <c r="K632" s="42"/>
      <c r="L632" s="42"/>
      <c r="M632" s="42"/>
      <c r="N632" s="42"/>
      <c r="O632" s="42"/>
      <c r="P632" s="42"/>
      <c r="Q632" s="42"/>
    </row>
    <row r="633">
      <c r="A633" s="50"/>
      <c r="B633" s="42"/>
      <c r="C633" s="42"/>
      <c r="D633" s="42"/>
      <c r="E633" s="42"/>
      <c r="F633" s="42"/>
      <c r="G633" s="42"/>
      <c r="H633" s="42"/>
      <c r="I633" s="48"/>
      <c r="J633" s="50"/>
      <c r="K633" s="42"/>
      <c r="L633" s="42"/>
      <c r="M633" s="42"/>
      <c r="N633" s="42"/>
      <c r="O633" s="42"/>
      <c r="P633" s="42"/>
      <c r="Q633" s="42"/>
    </row>
    <row r="634">
      <c r="A634" s="50"/>
      <c r="B634" s="42"/>
      <c r="C634" s="42"/>
      <c r="D634" s="42"/>
      <c r="E634" s="42"/>
      <c r="F634" s="42"/>
      <c r="G634" s="42"/>
      <c r="H634" s="42"/>
      <c r="I634" s="48"/>
      <c r="J634" s="50"/>
      <c r="K634" s="42"/>
      <c r="L634" s="42"/>
      <c r="M634" s="42"/>
      <c r="N634" s="42"/>
      <c r="O634" s="42"/>
      <c r="P634" s="42"/>
      <c r="Q634" s="42"/>
    </row>
    <row r="635">
      <c r="A635" s="50"/>
      <c r="B635" s="42"/>
      <c r="C635" s="42"/>
      <c r="D635" s="42"/>
      <c r="E635" s="42"/>
      <c r="F635" s="42"/>
      <c r="G635" s="42"/>
      <c r="H635" s="42"/>
      <c r="I635" s="48"/>
      <c r="J635" s="50"/>
      <c r="K635" s="42"/>
      <c r="L635" s="42"/>
      <c r="M635" s="42"/>
      <c r="N635" s="42"/>
      <c r="O635" s="42"/>
      <c r="P635" s="42"/>
      <c r="Q635" s="42"/>
    </row>
    <row r="636">
      <c r="A636" s="50"/>
      <c r="B636" s="42"/>
      <c r="C636" s="42"/>
      <c r="D636" s="42"/>
      <c r="E636" s="42"/>
      <c r="F636" s="42"/>
      <c r="G636" s="42"/>
      <c r="H636" s="42"/>
      <c r="I636" s="48"/>
      <c r="J636" s="50"/>
      <c r="K636" s="42"/>
      <c r="L636" s="42"/>
      <c r="M636" s="42"/>
      <c r="N636" s="42"/>
      <c r="O636" s="42"/>
      <c r="P636" s="42"/>
      <c r="Q636" s="42"/>
    </row>
    <row r="637">
      <c r="A637" s="50"/>
      <c r="B637" s="42"/>
      <c r="C637" s="42"/>
      <c r="D637" s="42"/>
      <c r="E637" s="42"/>
      <c r="F637" s="42"/>
      <c r="G637" s="42"/>
      <c r="H637" s="42"/>
      <c r="I637" s="48"/>
      <c r="J637" s="50"/>
      <c r="K637" s="42"/>
      <c r="L637" s="42"/>
      <c r="M637" s="42"/>
      <c r="N637" s="42"/>
      <c r="O637" s="42"/>
      <c r="P637" s="42"/>
      <c r="Q637" s="42"/>
    </row>
    <row r="638">
      <c r="A638" s="50"/>
      <c r="B638" s="42"/>
      <c r="C638" s="42"/>
      <c r="D638" s="42"/>
      <c r="E638" s="42"/>
      <c r="F638" s="42"/>
      <c r="G638" s="42"/>
      <c r="H638" s="42"/>
      <c r="I638" s="48"/>
      <c r="J638" s="50"/>
      <c r="K638" s="42"/>
      <c r="L638" s="42"/>
      <c r="M638" s="42"/>
      <c r="N638" s="42"/>
      <c r="O638" s="42"/>
      <c r="P638" s="42"/>
      <c r="Q638" s="42"/>
    </row>
    <row r="639">
      <c r="A639" s="50"/>
      <c r="B639" s="42"/>
      <c r="C639" s="42"/>
      <c r="D639" s="42"/>
      <c r="E639" s="42"/>
      <c r="F639" s="42"/>
      <c r="G639" s="42"/>
      <c r="H639" s="42"/>
      <c r="I639" s="48"/>
      <c r="J639" s="50"/>
      <c r="K639" s="42"/>
      <c r="L639" s="42"/>
      <c r="M639" s="42"/>
      <c r="N639" s="42"/>
      <c r="O639" s="42"/>
      <c r="P639" s="42"/>
      <c r="Q639" s="42"/>
    </row>
    <row r="640">
      <c r="A640" s="50"/>
      <c r="B640" s="42"/>
      <c r="C640" s="42"/>
      <c r="D640" s="42"/>
      <c r="E640" s="42"/>
      <c r="F640" s="42"/>
      <c r="G640" s="42"/>
      <c r="H640" s="42"/>
      <c r="I640" s="48"/>
      <c r="J640" s="50"/>
      <c r="K640" s="42"/>
      <c r="L640" s="42"/>
      <c r="M640" s="42"/>
      <c r="N640" s="42"/>
      <c r="O640" s="42"/>
      <c r="P640" s="42"/>
      <c r="Q640" s="42"/>
    </row>
    <row r="641">
      <c r="A641" s="50"/>
      <c r="B641" s="42"/>
      <c r="C641" s="42"/>
      <c r="D641" s="42"/>
      <c r="E641" s="42"/>
      <c r="F641" s="42"/>
      <c r="G641" s="42"/>
      <c r="H641" s="42"/>
      <c r="I641" s="48"/>
      <c r="J641" s="50"/>
      <c r="K641" s="42"/>
      <c r="L641" s="42"/>
      <c r="M641" s="42"/>
      <c r="N641" s="42"/>
      <c r="O641" s="42"/>
      <c r="P641" s="42"/>
      <c r="Q641" s="42"/>
    </row>
    <row r="642">
      <c r="A642" s="50"/>
      <c r="B642" s="42"/>
      <c r="C642" s="42"/>
      <c r="D642" s="42"/>
      <c r="E642" s="42"/>
      <c r="F642" s="42"/>
      <c r="G642" s="42"/>
      <c r="H642" s="42"/>
      <c r="I642" s="48"/>
      <c r="J642" s="50"/>
      <c r="K642" s="42"/>
      <c r="L642" s="42"/>
      <c r="M642" s="42"/>
      <c r="N642" s="42"/>
      <c r="O642" s="42"/>
      <c r="P642" s="42"/>
      <c r="Q642" s="42"/>
    </row>
    <row r="643">
      <c r="A643" s="50"/>
      <c r="B643" s="42"/>
      <c r="C643" s="42"/>
      <c r="D643" s="42"/>
      <c r="E643" s="42"/>
      <c r="F643" s="42"/>
      <c r="G643" s="42"/>
      <c r="H643" s="42"/>
      <c r="I643" s="48"/>
      <c r="J643" s="50"/>
      <c r="K643" s="42"/>
      <c r="L643" s="42"/>
      <c r="M643" s="42"/>
      <c r="N643" s="42"/>
      <c r="O643" s="42"/>
      <c r="P643" s="42"/>
      <c r="Q643" s="42"/>
    </row>
    <row r="644">
      <c r="A644" s="50"/>
      <c r="B644" s="42"/>
      <c r="C644" s="42"/>
      <c r="D644" s="42"/>
      <c r="E644" s="42"/>
      <c r="F644" s="42"/>
      <c r="G644" s="42"/>
      <c r="H644" s="42"/>
      <c r="I644" s="48"/>
      <c r="J644" s="50"/>
      <c r="K644" s="42"/>
      <c r="L644" s="42"/>
      <c r="M644" s="42"/>
      <c r="N644" s="42"/>
      <c r="O644" s="42"/>
      <c r="P644" s="42"/>
      <c r="Q644" s="42"/>
    </row>
    <row r="645">
      <c r="A645" s="50"/>
      <c r="B645" s="42"/>
      <c r="C645" s="42"/>
      <c r="D645" s="42"/>
      <c r="E645" s="42"/>
      <c r="F645" s="42"/>
      <c r="G645" s="42"/>
      <c r="H645" s="42"/>
      <c r="I645" s="48"/>
      <c r="J645" s="50"/>
      <c r="K645" s="42"/>
      <c r="L645" s="42"/>
      <c r="M645" s="42"/>
      <c r="N645" s="42"/>
      <c r="O645" s="42"/>
      <c r="P645" s="42"/>
      <c r="Q645" s="42"/>
    </row>
    <row r="646">
      <c r="A646" s="50"/>
      <c r="B646" s="42"/>
      <c r="C646" s="42"/>
      <c r="D646" s="42"/>
      <c r="E646" s="42"/>
      <c r="F646" s="42"/>
      <c r="G646" s="42"/>
      <c r="H646" s="42"/>
      <c r="I646" s="48"/>
      <c r="J646" s="50"/>
      <c r="K646" s="42"/>
      <c r="L646" s="42"/>
      <c r="M646" s="42"/>
      <c r="N646" s="42"/>
      <c r="O646" s="42"/>
      <c r="P646" s="42"/>
      <c r="Q646" s="42"/>
    </row>
    <row r="647">
      <c r="A647" s="50"/>
      <c r="B647" s="42"/>
      <c r="C647" s="42"/>
      <c r="D647" s="42"/>
      <c r="E647" s="42"/>
      <c r="F647" s="42"/>
      <c r="G647" s="42"/>
      <c r="H647" s="42"/>
      <c r="I647" s="48"/>
      <c r="J647" s="50"/>
      <c r="K647" s="42"/>
      <c r="L647" s="42"/>
      <c r="M647" s="42"/>
      <c r="N647" s="42"/>
      <c r="O647" s="42"/>
      <c r="P647" s="42"/>
      <c r="Q647" s="42"/>
    </row>
    <row r="648">
      <c r="A648" s="50"/>
      <c r="B648" s="42"/>
      <c r="C648" s="42"/>
      <c r="D648" s="42"/>
      <c r="E648" s="42"/>
      <c r="F648" s="42"/>
      <c r="G648" s="42"/>
      <c r="H648" s="42"/>
      <c r="I648" s="48"/>
      <c r="J648" s="50"/>
      <c r="K648" s="42"/>
      <c r="L648" s="42"/>
      <c r="M648" s="42"/>
      <c r="N648" s="42"/>
      <c r="O648" s="42"/>
      <c r="P648" s="42"/>
      <c r="Q648" s="42"/>
    </row>
    <row r="649">
      <c r="A649" s="50"/>
      <c r="B649" s="42"/>
      <c r="C649" s="42"/>
      <c r="D649" s="42"/>
      <c r="E649" s="42"/>
      <c r="F649" s="42"/>
      <c r="G649" s="42"/>
      <c r="H649" s="42"/>
      <c r="I649" s="48"/>
      <c r="J649" s="50"/>
      <c r="K649" s="42"/>
      <c r="L649" s="42"/>
      <c r="M649" s="42"/>
      <c r="N649" s="42"/>
      <c r="O649" s="42"/>
      <c r="P649" s="42"/>
      <c r="Q649" s="42"/>
    </row>
    <row r="650">
      <c r="A650" s="50"/>
      <c r="B650" s="42"/>
      <c r="C650" s="42"/>
      <c r="D650" s="42"/>
      <c r="E650" s="42"/>
      <c r="F650" s="42"/>
      <c r="G650" s="42"/>
      <c r="H650" s="42"/>
      <c r="I650" s="48"/>
      <c r="J650" s="50"/>
      <c r="K650" s="42"/>
      <c r="L650" s="42"/>
      <c r="M650" s="42"/>
      <c r="N650" s="42"/>
      <c r="O650" s="42"/>
      <c r="P650" s="42"/>
      <c r="Q650" s="42"/>
    </row>
    <row r="651">
      <c r="A651" s="50"/>
      <c r="B651" s="42"/>
      <c r="C651" s="42"/>
      <c r="D651" s="42"/>
      <c r="E651" s="42"/>
      <c r="F651" s="42"/>
      <c r="G651" s="42"/>
      <c r="H651" s="42"/>
      <c r="I651" s="48"/>
      <c r="J651" s="50"/>
      <c r="K651" s="42"/>
      <c r="L651" s="42"/>
      <c r="M651" s="42"/>
      <c r="N651" s="42"/>
      <c r="O651" s="42"/>
      <c r="P651" s="42"/>
      <c r="Q651" s="42"/>
    </row>
    <row r="652">
      <c r="A652" s="50"/>
      <c r="B652" s="42"/>
      <c r="C652" s="42"/>
      <c r="D652" s="42"/>
      <c r="E652" s="42"/>
      <c r="F652" s="42"/>
      <c r="G652" s="42"/>
      <c r="H652" s="42"/>
      <c r="I652" s="48"/>
      <c r="J652" s="50"/>
      <c r="K652" s="42"/>
      <c r="L652" s="42"/>
      <c r="M652" s="42"/>
      <c r="N652" s="42"/>
      <c r="O652" s="42"/>
      <c r="P652" s="42"/>
      <c r="Q652" s="42"/>
    </row>
    <row r="653">
      <c r="A653" s="50"/>
      <c r="B653" s="42"/>
      <c r="C653" s="42"/>
      <c r="D653" s="42"/>
      <c r="E653" s="42"/>
      <c r="F653" s="42"/>
      <c r="G653" s="42"/>
      <c r="H653" s="42"/>
      <c r="I653" s="48"/>
      <c r="J653" s="50"/>
      <c r="K653" s="42"/>
      <c r="L653" s="42"/>
      <c r="M653" s="42"/>
      <c r="N653" s="42"/>
      <c r="O653" s="42"/>
      <c r="P653" s="42"/>
      <c r="Q653" s="42"/>
    </row>
    <row r="654">
      <c r="A654" s="50"/>
      <c r="B654" s="42"/>
      <c r="C654" s="42"/>
      <c r="D654" s="42"/>
      <c r="E654" s="42"/>
      <c r="F654" s="42"/>
      <c r="G654" s="42"/>
      <c r="H654" s="42"/>
      <c r="I654" s="48"/>
      <c r="J654" s="50"/>
      <c r="K654" s="42"/>
      <c r="L654" s="42"/>
      <c r="M654" s="42"/>
      <c r="N654" s="42"/>
      <c r="O654" s="42"/>
      <c r="P654" s="42"/>
      <c r="Q654" s="42"/>
    </row>
    <row r="655">
      <c r="A655" s="50"/>
      <c r="B655" s="42"/>
      <c r="C655" s="42"/>
      <c r="D655" s="42"/>
      <c r="E655" s="42"/>
      <c r="F655" s="42"/>
      <c r="G655" s="42"/>
      <c r="H655" s="42"/>
      <c r="I655" s="48"/>
      <c r="J655" s="50"/>
      <c r="K655" s="42"/>
      <c r="L655" s="42"/>
      <c r="M655" s="42"/>
      <c r="N655" s="42"/>
      <c r="O655" s="42"/>
      <c r="P655" s="42"/>
      <c r="Q655" s="42"/>
    </row>
    <row r="656">
      <c r="A656" s="50"/>
      <c r="B656" s="42"/>
      <c r="C656" s="42"/>
      <c r="D656" s="42"/>
      <c r="E656" s="42"/>
      <c r="F656" s="42"/>
      <c r="G656" s="42"/>
      <c r="H656" s="42"/>
      <c r="I656" s="48"/>
      <c r="J656" s="50"/>
      <c r="K656" s="42"/>
      <c r="L656" s="42"/>
      <c r="M656" s="42"/>
      <c r="N656" s="42"/>
      <c r="O656" s="42"/>
      <c r="P656" s="42"/>
      <c r="Q656" s="42"/>
    </row>
    <row r="657">
      <c r="A657" s="50"/>
      <c r="B657" s="42"/>
      <c r="C657" s="42"/>
      <c r="D657" s="42"/>
      <c r="E657" s="42"/>
      <c r="F657" s="42"/>
      <c r="G657" s="42"/>
      <c r="H657" s="42"/>
      <c r="I657" s="48"/>
      <c r="J657" s="50"/>
      <c r="K657" s="42"/>
      <c r="L657" s="42"/>
      <c r="M657" s="42"/>
      <c r="N657" s="42"/>
      <c r="O657" s="42"/>
      <c r="P657" s="42"/>
      <c r="Q657" s="42"/>
    </row>
    <row r="658">
      <c r="A658" s="50"/>
      <c r="B658" s="42"/>
      <c r="C658" s="42"/>
      <c r="D658" s="42"/>
      <c r="E658" s="42"/>
      <c r="F658" s="42"/>
      <c r="G658" s="42"/>
      <c r="H658" s="42"/>
      <c r="I658" s="48"/>
      <c r="J658" s="50"/>
      <c r="K658" s="42"/>
      <c r="L658" s="42"/>
      <c r="M658" s="42"/>
      <c r="N658" s="42"/>
      <c r="O658" s="42"/>
      <c r="P658" s="42"/>
      <c r="Q658" s="42"/>
    </row>
    <row r="659">
      <c r="A659" s="50"/>
      <c r="B659" s="42"/>
      <c r="C659" s="42"/>
      <c r="D659" s="42"/>
      <c r="E659" s="42"/>
      <c r="F659" s="42"/>
      <c r="G659" s="42"/>
      <c r="H659" s="42"/>
      <c r="I659" s="48"/>
      <c r="J659" s="50"/>
      <c r="K659" s="42"/>
      <c r="L659" s="42"/>
      <c r="M659" s="42"/>
      <c r="N659" s="42"/>
      <c r="O659" s="42"/>
      <c r="P659" s="42"/>
      <c r="Q659" s="42"/>
    </row>
    <row r="660">
      <c r="A660" s="50"/>
      <c r="B660" s="42"/>
      <c r="C660" s="42"/>
      <c r="D660" s="42"/>
      <c r="E660" s="42"/>
      <c r="F660" s="42"/>
      <c r="G660" s="42"/>
      <c r="H660" s="42"/>
      <c r="I660" s="48"/>
      <c r="J660" s="50"/>
      <c r="K660" s="42"/>
      <c r="L660" s="42"/>
      <c r="M660" s="42"/>
      <c r="N660" s="42"/>
      <c r="O660" s="42"/>
      <c r="P660" s="42"/>
      <c r="Q660" s="42"/>
    </row>
    <row r="661">
      <c r="A661" s="50"/>
      <c r="B661" s="42"/>
      <c r="C661" s="42"/>
      <c r="D661" s="42"/>
      <c r="E661" s="42"/>
      <c r="F661" s="42"/>
      <c r="G661" s="42"/>
      <c r="H661" s="42"/>
      <c r="I661" s="48"/>
      <c r="J661" s="50"/>
      <c r="K661" s="42"/>
      <c r="L661" s="42"/>
      <c r="M661" s="42"/>
      <c r="N661" s="42"/>
      <c r="O661" s="42"/>
      <c r="P661" s="42"/>
      <c r="Q661" s="42"/>
    </row>
    <row r="662">
      <c r="A662" s="50"/>
      <c r="B662" s="42"/>
      <c r="C662" s="42"/>
      <c r="D662" s="42"/>
      <c r="E662" s="42"/>
      <c r="F662" s="42"/>
      <c r="G662" s="42"/>
      <c r="H662" s="42"/>
      <c r="I662" s="48"/>
      <c r="J662" s="50"/>
      <c r="K662" s="42"/>
      <c r="L662" s="42"/>
      <c r="M662" s="42"/>
      <c r="N662" s="42"/>
      <c r="O662" s="42"/>
      <c r="P662" s="42"/>
      <c r="Q662" s="42"/>
    </row>
    <row r="663">
      <c r="A663" s="50"/>
      <c r="B663" s="42"/>
      <c r="C663" s="42"/>
      <c r="D663" s="42"/>
      <c r="E663" s="42"/>
      <c r="F663" s="42"/>
      <c r="G663" s="42"/>
      <c r="H663" s="42"/>
      <c r="I663" s="48"/>
      <c r="J663" s="50"/>
      <c r="K663" s="42"/>
      <c r="L663" s="42"/>
      <c r="M663" s="42"/>
      <c r="N663" s="42"/>
      <c r="O663" s="42"/>
      <c r="P663" s="42"/>
      <c r="Q663" s="42"/>
    </row>
    <row r="664">
      <c r="A664" s="50"/>
      <c r="B664" s="42"/>
      <c r="C664" s="42"/>
      <c r="D664" s="42"/>
      <c r="E664" s="42"/>
      <c r="F664" s="42"/>
      <c r="G664" s="42"/>
      <c r="H664" s="42"/>
      <c r="I664" s="48"/>
      <c r="J664" s="50"/>
      <c r="K664" s="42"/>
      <c r="L664" s="42"/>
      <c r="M664" s="42"/>
      <c r="N664" s="42"/>
      <c r="O664" s="42"/>
      <c r="P664" s="42"/>
      <c r="Q664" s="42"/>
    </row>
    <row r="665">
      <c r="A665" s="50"/>
      <c r="B665" s="42"/>
      <c r="C665" s="42"/>
      <c r="D665" s="42"/>
      <c r="E665" s="42"/>
      <c r="F665" s="42"/>
      <c r="G665" s="42"/>
      <c r="H665" s="42"/>
      <c r="I665" s="48"/>
      <c r="J665" s="50"/>
      <c r="K665" s="42"/>
      <c r="L665" s="42"/>
      <c r="M665" s="42"/>
      <c r="N665" s="42"/>
      <c r="O665" s="42"/>
      <c r="P665" s="42"/>
      <c r="Q665" s="42"/>
    </row>
    <row r="666">
      <c r="A666" s="50"/>
      <c r="B666" s="42"/>
      <c r="C666" s="42"/>
      <c r="D666" s="42"/>
      <c r="E666" s="42"/>
      <c r="F666" s="42"/>
      <c r="G666" s="42"/>
      <c r="H666" s="42"/>
      <c r="I666" s="48"/>
      <c r="J666" s="50"/>
      <c r="K666" s="42"/>
      <c r="L666" s="42"/>
      <c r="M666" s="42"/>
      <c r="N666" s="42"/>
      <c r="O666" s="42"/>
      <c r="P666" s="42"/>
      <c r="Q666" s="42"/>
    </row>
    <row r="667">
      <c r="A667" s="50"/>
      <c r="B667" s="42"/>
      <c r="C667" s="42"/>
      <c r="D667" s="42"/>
      <c r="E667" s="42"/>
      <c r="F667" s="42"/>
      <c r="G667" s="42"/>
      <c r="H667" s="42"/>
      <c r="I667" s="48"/>
      <c r="J667" s="50"/>
      <c r="K667" s="42"/>
      <c r="L667" s="42"/>
      <c r="M667" s="42"/>
      <c r="N667" s="42"/>
      <c r="O667" s="42"/>
      <c r="P667" s="42"/>
      <c r="Q667" s="42"/>
    </row>
    <row r="668">
      <c r="A668" s="50"/>
      <c r="B668" s="42"/>
      <c r="C668" s="42"/>
      <c r="D668" s="42"/>
      <c r="E668" s="42"/>
      <c r="F668" s="42"/>
      <c r="G668" s="42"/>
      <c r="H668" s="42"/>
      <c r="I668" s="48"/>
      <c r="J668" s="50"/>
      <c r="K668" s="42"/>
      <c r="L668" s="42"/>
      <c r="M668" s="42"/>
      <c r="N668" s="42"/>
      <c r="O668" s="42"/>
      <c r="P668" s="42"/>
      <c r="Q668" s="42"/>
    </row>
    <row r="669">
      <c r="A669" s="50"/>
      <c r="B669" s="42"/>
      <c r="C669" s="42"/>
      <c r="D669" s="42"/>
      <c r="E669" s="42"/>
      <c r="F669" s="42"/>
      <c r="G669" s="42"/>
      <c r="H669" s="42"/>
      <c r="I669" s="48"/>
      <c r="J669" s="50"/>
      <c r="K669" s="42"/>
      <c r="L669" s="42"/>
      <c r="M669" s="42"/>
      <c r="N669" s="42"/>
      <c r="O669" s="42"/>
      <c r="P669" s="42"/>
      <c r="Q669" s="42"/>
    </row>
    <row r="670">
      <c r="A670" s="50"/>
      <c r="B670" s="42"/>
      <c r="C670" s="42"/>
      <c r="D670" s="42"/>
      <c r="E670" s="42"/>
      <c r="F670" s="42"/>
      <c r="G670" s="42"/>
      <c r="H670" s="42"/>
      <c r="I670" s="48"/>
      <c r="J670" s="50"/>
      <c r="K670" s="42"/>
      <c r="L670" s="42"/>
      <c r="M670" s="42"/>
      <c r="N670" s="42"/>
      <c r="O670" s="42"/>
      <c r="P670" s="42"/>
      <c r="Q670" s="42"/>
    </row>
    <row r="671">
      <c r="A671" s="50"/>
      <c r="B671" s="42"/>
      <c r="C671" s="42"/>
      <c r="D671" s="42"/>
      <c r="E671" s="42"/>
      <c r="F671" s="42"/>
      <c r="G671" s="42"/>
      <c r="H671" s="42"/>
      <c r="I671" s="48"/>
      <c r="J671" s="50"/>
      <c r="K671" s="42"/>
      <c r="L671" s="42"/>
      <c r="M671" s="42"/>
      <c r="N671" s="42"/>
      <c r="O671" s="42"/>
      <c r="P671" s="42"/>
      <c r="Q671" s="42"/>
    </row>
    <row r="672">
      <c r="A672" s="50"/>
      <c r="B672" s="42"/>
      <c r="C672" s="42"/>
      <c r="D672" s="42"/>
      <c r="E672" s="42"/>
      <c r="F672" s="42"/>
      <c r="G672" s="42"/>
      <c r="H672" s="42"/>
      <c r="I672" s="48"/>
      <c r="J672" s="50"/>
      <c r="K672" s="42"/>
      <c r="L672" s="42"/>
      <c r="M672" s="42"/>
      <c r="N672" s="42"/>
      <c r="O672" s="42"/>
      <c r="P672" s="42"/>
      <c r="Q672" s="42"/>
    </row>
    <row r="673">
      <c r="A673" s="50"/>
      <c r="B673" s="42"/>
      <c r="C673" s="42"/>
      <c r="D673" s="42"/>
      <c r="E673" s="42"/>
      <c r="F673" s="42"/>
      <c r="G673" s="42"/>
      <c r="H673" s="42"/>
      <c r="I673" s="48"/>
      <c r="J673" s="50"/>
      <c r="K673" s="42"/>
      <c r="L673" s="42"/>
      <c r="M673" s="42"/>
      <c r="N673" s="42"/>
      <c r="O673" s="42"/>
      <c r="P673" s="42"/>
      <c r="Q673" s="42"/>
    </row>
    <row r="674">
      <c r="A674" s="50"/>
      <c r="B674" s="42"/>
      <c r="C674" s="42"/>
      <c r="D674" s="42"/>
      <c r="E674" s="42"/>
      <c r="F674" s="42"/>
      <c r="G674" s="42"/>
      <c r="H674" s="42"/>
      <c r="I674" s="48"/>
      <c r="J674" s="50"/>
      <c r="K674" s="42"/>
      <c r="L674" s="42"/>
      <c r="M674" s="42"/>
      <c r="N674" s="42"/>
      <c r="O674" s="42"/>
      <c r="P674" s="42"/>
      <c r="Q674" s="42"/>
    </row>
    <row r="675">
      <c r="A675" s="50"/>
      <c r="B675" s="42"/>
      <c r="C675" s="42"/>
      <c r="D675" s="42"/>
      <c r="E675" s="42"/>
      <c r="F675" s="42"/>
      <c r="G675" s="42"/>
      <c r="H675" s="42"/>
      <c r="I675" s="48"/>
      <c r="J675" s="50"/>
      <c r="K675" s="42"/>
      <c r="L675" s="42"/>
      <c r="M675" s="42"/>
      <c r="N675" s="42"/>
      <c r="O675" s="42"/>
      <c r="P675" s="42"/>
      <c r="Q675" s="42"/>
    </row>
    <row r="676">
      <c r="A676" s="50"/>
      <c r="B676" s="42"/>
      <c r="C676" s="42"/>
      <c r="D676" s="42"/>
      <c r="E676" s="42"/>
      <c r="F676" s="42"/>
      <c r="G676" s="42"/>
      <c r="H676" s="42"/>
      <c r="I676" s="48"/>
      <c r="J676" s="50"/>
      <c r="K676" s="42"/>
      <c r="L676" s="42"/>
      <c r="M676" s="42"/>
      <c r="N676" s="42"/>
      <c r="O676" s="42"/>
      <c r="P676" s="42"/>
      <c r="Q676" s="42"/>
    </row>
    <row r="677">
      <c r="A677" s="50"/>
      <c r="B677" s="42"/>
      <c r="C677" s="42"/>
      <c r="D677" s="42"/>
      <c r="E677" s="42"/>
      <c r="F677" s="42"/>
      <c r="G677" s="42"/>
      <c r="H677" s="42"/>
      <c r="I677" s="48"/>
      <c r="J677" s="50"/>
      <c r="K677" s="42"/>
      <c r="L677" s="42"/>
      <c r="M677" s="42"/>
      <c r="N677" s="42"/>
      <c r="O677" s="42"/>
      <c r="P677" s="42"/>
      <c r="Q677" s="42"/>
    </row>
    <row r="678">
      <c r="A678" s="50"/>
      <c r="B678" s="42"/>
      <c r="C678" s="42"/>
      <c r="D678" s="42"/>
      <c r="E678" s="42"/>
      <c r="F678" s="42"/>
      <c r="G678" s="42"/>
      <c r="H678" s="42"/>
      <c r="I678" s="48"/>
      <c r="J678" s="50"/>
      <c r="K678" s="42"/>
      <c r="L678" s="42"/>
      <c r="M678" s="42"/>
      <c r="N678" s="42"/>
      <c r="O678" s="42"/>
      <c r="P678" s="42"/>
      <c r="Q678" s="42"/>
    </row>
    <row r="679">
      <c r="A679" s="50"/>
      <c r="B679" s="42"/>
      <c r="C679" s="42"/>
      <c r="D679" s="42"/>
      <c r="E679" s="42"/>
      <c r="F679" s="42"/>
      <c r="G679" s="42"/>
      <c r="H679" s="42"/>
      <c r="I679" s="48"/>
      <c r="J679" s="50"/>
      <c r="K679" s="42"/>
      <c r="L679" s="42"/>
      <c r="M679" s="42"/>
      <c r="N679" s="42"/>
      <c r="O679" s="42"/>
      <c r="P679" s="42"/>
      <c r="Q679" s="42"/>
    </row>
    <row r="680">
      <c r="A680" s="50"/>
      <c r="B680" s="42"/>
      <c r="C680" s="42"/>
      <c r="D680" s="42"/>
      <c r="E680" s="42"/>
      <c r="F680" s="42"/>
      <c r="G680" s="42"/>
      <c r="H680" s="42"/>
      <c r="I680" s="48"/>
      <c r="J680" s="50"/>
      <c r="K680" s="42"/>
      <c r="L680" s="42"/>
      <c r="M680" s="42"/>
      <c r="N680" s="42"/>
      <c r="O680" s="42"/>
      <c r="P680" s="42"/>
      <c r="Q680" s="42"/>
    </row>
    <row r="681">
      <c r="A681" s="50"/>
      <c r="B681" s="42"/>
      <c r="C681" s="42"/>
      <c r="D681" s="42"/>
      <c r="E681" s="42"/>
      <c r="F681" s="42"/>
      <c r="G681" s="42"/>
      <c r="H681" s="42"/>
      <c r="I681" s="48"/>
      <c r="J681" s="50"/>
      <c r="K681" s="42"/>
      <c r="L681" s="42"/>
      <c r="M681" s="42"/>
      <c r="N681" s="42"/>
      <c r="O681" s="42"/>
      <c r="P681" s="42"/>
      <c r="Q681" s="42"/>
    </row>
    <row r="682">
      <c r="A682" s="50"/>
      <c r="B682" s="42"/>
      <c r="C682" s="42"/>
      <c r="D682" s="42"/>
      <c r="E682" s="42"/>
      <c r="F682" s="42"/>
      <c r="G682" s="42"/>
      <c r="H682" s="42"/>
      <c r="I682" s="48"/>
      <c r="J682" s="50"/>
      <c r="K682" s="42"/>
      <c r="L682" s="42"/>
      <c r="M682" s="42"/>
      <c r="N682" s="42"/>
      <c r="O682" s="42"/>
      <c r="P682" s="42"/>
      <c r="Q682" s="42"/>
    </row>
    <row r="683">
      <c r="A683" s="50"/>
      <c r="B683" s="42"/>
      <c r="C683" s="42"/>
      <c r="D683" s="42"/>
      <c r="E683" s="42"/>
      <c r="F683" s="42"/>
      <c r="G683" s="42"/>
      <c r="H683" s="42"/>
      <c r="I683" s="48"/>
      <c r="J683" s="50"/>
      <c r="K683" s="42"/>
      <c r="L683" s="42"/>
      <c r="M683" s="42"/>
      <c r="N683" s="42"/>
      <c r="O683" s="42"/>
      <c r="P683" s="42"/>
      <c r="Q683" s="42"/>
    </row>
    <row r="684">
      <c r="A684" s="50"/>
      <c r="B684" s="42"/>
      <c r="C684" s="42"/>
      <c r="D684" s="42"/>
      <c r="E684" s="42"/>
      <c r="F684" s="42"/>
      <c r="G684" s="42"/>
      <c r="H684" s="42"/>
      <c r="I684" s="48"/>
      <c r="J684" s="50"/>
      <c r="K684" s="42"/>
      <c r="L684" s="42"/>
      <c r="M684" s="42"/>
      <c r="N684" s="42"/>
      <c r="O684" s="42"/>
      <c r="P684" s="42"/>
      <c r="Q684" s="42"/>
    </row>
    <row r="685">
      <c r="A685" s="50"/>
      <c r="B685" s="42"/>
      <c r="C685" s="42"/>
      <c r="D685" s="42"/>
      <c r="E685" s="42"/>
      <c r="F685" s="42"/>
      <c r="G685" s="42"/>
      <c r="H685" s="42"/>
      <c r="I685" s="48"/>
      <c r="J685" s="50"/>
      <c r="K685" s="42"/>
      <c r="L685" s="42"/>
      <c r="M685" s="42"/>
      <c r="N685" s="42"/>
      <c r="O685" s="42"/>
      <c r="P685" s="42"/>
      <c r="Q685" s="42"/>
    </row>
    <row r="686">
      <c r="A686" s="50"/>
      <c r="B686" s="42"/>
      <c r="C686" s="42"/>
      <c r="D686" s="42"/>
      <c r="E686" s="42"/>
      <c r="F686" s="42"/>
      <c r="G686" s="42"/>
      <c r="H686" s="42"/>
      <c r="I686" s="48"/>
      <c r="J686" s="50"/>
      <c r="K686" s="42"/>
      <c r="L686" s="42"/>
      <c r="M686" s="42"/>
      <c r="N686" s="42"/>
      <c r="O686" s="42"/>
      <c r="P686" s="42"/>
      <c r="Q686" s="42"/>
    </row>
    <row r="687">
      <c r="A687" s="50"/>
      <c r="B687" s="42"/>
      <c r="C687" s="42"/>
      <c r="D687" s="42"/>
      <c r="E687" s="42"/>
      <c r="F687" s="42"/>
      <c r="G687" s="42"/>
      <c r="H687" s="42"/>
      <c r="I687" s="48"/>
      <c r="J687" s="50"/>
      <c r="K687" s="42"/>
      <c r="L687" s="42"/>
      <c r="M687" s="42"/>
      <c r="N687" s="42"/>
      <c r="O687" s="42"/>
      <c r="P687" s="42"/>
      <c r="Q687" s="42"/>
    </row>
    <row r="688">
      <c r="A688" s="50"/>
      <c r="B688" s="42"/>
      <c r="C688" s="42"/>
      <c r="D688" s="42"/>
      <c r="E688" s="42"/>
      <c r="F688" s="42"/>
      <c r="G688" s="42"/>
      <c r="H688" s="42"/>
      <c r="I688" s="48"/>
      <c r="J688" s="50"/>
      <c r="K688" s="42"/>
      <c r="L688" s="42"/>
      <c r="M688" s="42"/>
      <c r="N688" s="42"/>
      <c r="O688" s="42"/>
      <c r="P688" s="42"/>
      <c r="Q688" s="42"/>
    </row>
    <row r="689">
      <c r="A689" s="50"/>
      <c r="B689" s="42"/>
      <c r="C689" s="42"/>
      <c r="D689" s="42"/>
      <c r="E689" s="42"/>
      <c r="F689" s="42"/>
      <c r="G689" s="42"/>
      <c r="H689" s="42"/>
      <c r="I689" s="48"/>
      <c r="J689" s="50"/>
      <c r="K689" s="42"/>
      <c r="L689" s="42"/>
      <c r="M689" s="42"/>
      <c r="N689" s="42"/>
      <c r="O689" s="42"/>
      <c r="P689" s="42"/>
      <c r="Q689" s="42"/>
    </row>
    <row r="690">
      <c r="A690" s="50"/>
      <c r="B690" s="42"/>
      <c r="C690" s="42"/>
      <c r="D690" s="42"/>
      <c r="E690" s="42"/>
      <c r="F690" s="42"/>
      <c r="G690" s="42"/>
      <c r="H690" s="42"/>
      <c r="I690" s="48"/>
      <c r="J690" s="50"/>
      <c r="K690" s="42"/>
      <c r="L690" s="42"/>
      <c r="M690" s="42"/>
      <c r="N690" s="42"/>
      <c r="O690" s="42"/>
      <c r="P690" s="42"/>
      <c r="Q690" s="42"/>
    </row>
    <row r="691">
      <c r="A691" s="50"/>
      <c r="B691" s="42"/>
      <c r="C691" s="42"/>
      <c r="D691" s="42"/>
      <c r="E691" s="42"/>
      <c r="F691" s="42"/>
      <c r="G691" s="42"/>
      <c r="H691" s="42"/>
      <c r="I691" s="48"/>
      <c r="J691" s="50"/>
      <c r="K691" s="42"/>
      <c r="L691" s="42"/>
      <c r="M691" s="42"/>
      <c r="N691" s="42"/>
      <c r="O691" s="42"/>
      <c r="P691" s="42"/>
      <c r="Q691" s="42"/>
    </row>
    <row r="692">
      <c r="A692" s="50"/>
      <c r="B692" s="42"/>
      <c r="C692" s="42"/>
      <c r="D692" s="42"/>
      <c r="E692" s="42"/>
      <c r="F692" s="42"/>
      <c r="G692" s="42"/>
      <c r="H692" s="42"/>
      <c r="I692" s="48"/>
      <c r="J692" s="50"/>
      <c r="K692" s="42"/>
      <c r="L692" s="42"/>
      <c r="M692" s="42"/>
      <c r="N692" s="42"/>
      <c r="O692" s="42"/>
      <c r="P692" s="42"/>
      <c r="Q692" s="42"/>
    </row>
    <row r="693">
      <c r="A693" s="50"/>
      <c r="B693" s="42"/>
      <c r="C693" s="42"/>
      <c r="D693" s="42"/>
      <c r="E693" s="42"/>
      <c r="F693" s="42"/>
      <c r="G693" s="42"/>
      <c r="H693" s="42"/>
      <c r="I693" s="48"/>
      <c r="J693" s="50"/>
      <c r="K693" s="42"/>
      <c r="L693" s="42"/>
      <c r="M693" s="42"/>
      <c r="N693" s="42"/>
      <c r="O693" s="42"/>
      <c r="P693" s="42"/>
      <c r="Q693" s="42"/>
    </row>
    <row r="694">
      <c r="A694" s="50"/>
      <c r="B694" s="42"/>
      <c r="C694" s="42"/>
      <c r="D694" s="42"/>
      <c r="E694" s="42"/>
      <c r="F694" s="42"/>
      <c r="G694" s="42"/>
      <c r="H694" s="42"/>
      <c r="I694" s="48"/>
      <c r="J694" s="50"/>
      <c r="K694" s="42"/>
      <c r="L694" s="42"/>
      <c r="M694" s="42"/>
      <c r="N694" s="42"/>
      <c r="O694" s="42"/>
      <c r="P694" s="42"/>
      <c r="Q694" s="42"/>
    </row>
    <row r="695">
      <c r="A695" s="50"/>
      <c r="B695" s="42"/>
      <c r="C695" s="42"/>
      <c r="D695" s="42"/>
      <c r="E695" s="42"/>
      <c r="F695" s="42"/>
      <c r="G695" s="42"/>
      <c r="H695" s="42"/>
      <c r="I695" s="48"/>
      <c r="J695" s="50"/>
      <c r="K695" s="42"/>
      <c r="L695" s="42"/>
      <c r="M695" s="42"/>
      <c r="N695" s="42"/>
      <c r="O695" s="42"/>
      <c r="P695" s="42"/>
      <c r="Q695" s="42"/>
    </row>
    <row r="696">
      <c r="A696" s="50"/>
      <c r="B696" s="42"/>
      <c r="C696" s="42"/>
      <c r="D696" s="42"/>
      <c r="E696" s="42"/>
      <c r="F696" s="42"/>
      <c r="G696" s="42"/>
      <c r="H696" s="42"/>
      <c r="I696" s="48"/>
      <c r="J696" s="50"/>
      <c r="K696" s="42"/>
      <c r="L696" s="42"/>
      <c r="M696" s="42"/>
      <c r="N696" s="42"/>
      <c r="O696" s="42"/>
      <c r="P696" s="42"/>
      <c r="Q696" s="42"/>
    </row>
    <row r="697">
      <c r="A697" s="50"/>
      <c r="B697" s="42"/>
      <c r="C697" s="42"/>
      <c r="D697" s="42"/>
      <c r="E697" s="42"/>
      <c r="F697" s="42"/>
      <c r="G697" s="42"/>
      <c r="H697" s="42"/>
      <c r="I697" s="48"/>
      <c r="J697" s="50"/>
      <c r="K697" s="42"/>
      <c r="L697" s="42"/>
      <c r="M697" s="42"/>
      <c r="N697" s="42"/>
      <c r="O697" s="42"/>
      <c r="P697" s="42"/>
      <c r="Q697" s="42"/>
    </row>
    <row r="698">
      <c r="A698" s="50"/>
      <c r="B698" s="42"/>
      <c r="C698" s="42"/>
      <c r="D698" s="42"/>
      <c r="E698" s="42"/>
      <c r="F698" s="42"/>
      <c r="G698" s="42"/>
      <c r="H698" s="42"/>
      <c r="I698" s="48"/>
      <c r="J698" s="50"/>
      <c r="K698" s="42"/>
      <c r="L698" s="42"/>
      <c r="M698" s="42"/>
      <c r="N698" s="42"/>
      <c r="O698" s="42"/>
      <c r="P698" s="42"/>
      <c r="Q698" s="42"/>
    </row>
    <row r="699">
      <c r="A699" s="50"/>
      <c r="B699" s="42"/>
      <c r="C699" s="42"/>
      <c r="D699" s="42"/>
      <c r="E699" s="42"/>
      <c r="F699" s="42"/>
      <c r="G699" s="42"/>
      <c r="H699" s="42"/>
      <c r="I699" s="48"/>
      <c r="J699" s="50"/>
      <c r="K699" s="42"/>
      <c r="L699" s="42"/>
      <c r="M699" s="42"/>
      <c r="N699" s="42"/>
      <c r="O699" s="42"/>
      <c r="P699" s="42"/>
      <c r="Q699" s="42"/>
    </row>
    <row r="700">
      <c r="A700" s="50"/>
      <c r="B700" s="42"/>
      <c r="C700" s="42"/>
      <c r="D700" s="42"/>
      <c r="E700" s="42"/>
      <c r="F700" s="42"/>
      <c r="G700" s="42"/>
      <c r="H700" s="42"/>
      <c r="I700" s="48"/>
      <c r="J700" s="50"/>
      <c r="K700" s="42"/>
      <c r="L700" s="42"/>
      <c r="M700" s="42"/>
      <c r="N700" s="42"/>
      <c r="O700" s="42"/>
      <c r="P700" s="42"/>
      <c r="Q700" s="42"/>
    </row>
    <row r="701">
      <c r="A701" s="50"/>
      <c r="B701" s="42"/>
      <c r="C701" s="42"/>
      <c r="D701" s="42"/>
      <c r="E701" s="42"/>
      <c r="F701" s="42"/>
      <c r="G701" s="42"/>
      <c r="H701" s="42"/>
      <c r="I701" s="48"/>
      <c r="J701" s="50"/>
      <c r="K701" s="42"/>
      <c r="L701" s="42"/>
      <c r="M701" s="42"/>
      <c r="N701" s="42"/>
      <c r="O701" s="42"/>
      <c r="P701" s="42"/>
      <c r="Q701" s="42"/>
    </row>
    <row r="702">
      <c r="A702" s="50"/>
      <c r="B702" s="42"/>
      <c r="C702" s="42"/>
      <c r="D702" s="42"/>
      <c r="E702" s="42"/>
      <c r="F702" s="42"/>
      <c r="G702" s="42"/>
      <c r="H702" s="42"/>
      <c r="I702" s="48"/>
      <c r="J702" s="50"/>
      <c r="K702" s="42"/>
      <c r="L702" s="42"/>
      <c r="M702" s="42"/>
      <c r="N702" s="42"/>
      <c r="O702" s="42"/>
      <c r="P702" s="42"/>
      <c r="Q702" s="42"/>
    </row>
    <row r="703">
      <c r="A703" s="50"/>
      <c r="B703" s="42"/>
      <c r="C703" s="42"/>
      <c r="D703" s="42"/>
      <c r="E703" s="42"/>
      <c r="F703" s="42"/>
      <c r="G703" s="42"/>
      <c r="H703" s="42"/>
      <c r="I703" s="48"/>
      <c r="J703" s="50"/>
      <c r="K703" s="42"/>
      <c r="L703" s="42"/>
      <c r="M703" s="42"/>
      <c r="N703" s="42"/>
      <c r="O703" s="42"/>
      <c r="P703" s="42"/>
      <c r="Q703" s="42"/>
    </row>
    <row r="704">
      <c r="A704" s="50"/>
      <c r="B704" s="42"/>
      <c r="C704" s="42"/>
      <c r="D704" s="42"/>
      <c r="E704" s="42"/>
      <c r="F704" s="42"/>
      <c r="G704" s="42"/>
      <c r="H704" s="42"/>
      <c r="I704" s="48"/>
      <c r="J704" s="50"/>
      <c r="K704" s="42"/>
      <c r="L704" s="42"/>
      <c r="M704" s="42"/>
      <c r="N704" s="42"/>
      <c r="O704" s="42"/>
      <c r="P704" s="42"/>
      <c r="Q704" s="42"/>
    </row>
    <row r="705">
      <c r="A705" s="50"/>
      <c r="B705" s="42"/>
      <c r="C705" s="42"/>
      <c r="D705" s="42"/>
      <c r="E705" s="42"/>
      <c r="F705" s="42"/>
      <c r="G705" s="42"/>
      <c r="H705" s="42"/>
      <c r="I705" s="48"/>
      <c r="J705" s="50"/>
      <c r="K705" s="42"/>
      <c r="L705" s="42"/>
      <c r="M705" s="42"/>
      <c r="N705" s="42"/>
      <c r="O705" s="42"/>
      <c r="P705" s="42"/>
      <c r="Q705" s="42"/>
    </row>
    <row r="706">
      <c r="A706" s="50"/>
      <c r="B706" s="42"/>
      <c r="C706" s="42"/>
      <c r="D706" s="42"/>
      <c r="E706" s="42"/>
      <c r="F706" s="42"/>
      <c r="G706" s="42"/>
      <c r="H706" s="42"/>
      <c r="I706" s="48"/>
      <c r="J706" s="50"/>
      <c r="K706" s="42"/>
      <c r="L706" s="42"/>
      <c r="M706" s="42"/>
      <c r="N706" s="42"/>
      <c r="O706" s="42"/>
      <c r="P706" s="42"/>
      <c r="Q706" s="42"/>
    </row>
    <row r="707">
      <c r="A707" s="50"/>
      <c r="B707" s="42"/>
      <c r="C707" s="42"/>
      <c r="D707" s="42"/>
      <c r="E707" s="42"/>
      <c r="F707" s="42"/>
      <c r="G707" s="42"/>
      <c r="H707" s="42"/>
      <c r="I707" s="48"/>
      <c r="J707" s="50"/>
      <c r="K707" s="42"/>
      <c r="L707" s="42"/>
      <c r="M707" s="42"/>
      <c r="N707" s="42"/>
      <c r="O707" s="42"/>
      <c r="P707" s="42"/>
      <c r="Q707" s="42"/>
    </row>
    <row r="708">
      <c r="A708" s="50"/>
      <c r="B708" s="42"/>
      <c r="C708" s="42"/>
      <c r="D708" s="42"/>
      <c r="E708" s="42"/>
      <c r="F708" s="42"/>
      <c r="G708" s="42"/>
      <c r="H708" s="42"/>
      <c r="I708" s="48"/>
      <c r="J708" s="50"/>
      <c r="K708" s="42"/>
      <c r="L708" s="42"/>
      <c r="M708" s="42"/>
      <c r="N708" s="42"/>
      <c r="O708" s="42"/>
      <c r="P708" s="42"/>
      <c r="Q708" s="42"/>
    </row>
    <row r="709">
      <c r="A709" s="50"/>
      <c r="B709" s="42"/>
      <c r="C709" s="42"/>
      <c r="D709" s="42"/>
      <c r="E709" s="42"/>
      <c r="F709" s="42"/>
      <c r="G709" s="42"/>
      <c r="H709" s="42"/>
      <c r="I709" s="48"/>
      <c r="J709" s="50"/>
      <c r="K709" s="42"/>
      <c r="L709" s="42"/>
      <c r="M709" s="42"/>
      <c r="N709" s="42"/>
      <c r="O709" s="42"/>
      <c r="P709" s="42"/>
      <c r="Q709" s="42"/>
    </row>
    <row r="710">
      <c r="A710" s="50"/>
      <c r="B710" s="42"/>
      <c r="C710" s="42"/>
      <c r="D710" s="42"/>
      <c r="E710" s="42"/>
      <c r="F710" s="42"/>
      <c r="G710" s="42"/>
      <c r="H710" s="42"/>
      <c r="I710" s="48"/>
      <c r="J710" s="50"/>
      <c r="K710" s="42"/>
      <c r="L710" s="42"/>
      <c r="M710" s="42"/>
      <c r="N710" s="42"/>
      <c r="O710" s="42"/>
      <c r="P710" s="42"/>
      <c r="Q710" s="42"/>
    </row>
    <row r="711">
      <c r="A711" s="50"/>
      <c r="B711" s="42"/>
      <c r="C711" s="42"/>
      <c r="D711" s="42"/>
      <c r="E711" s="42"/>
      <c r="F711" s="42"/>
      <c r="G711" s="42"/>
      <c r="H711" s="42"/>
      <c r="I711" s="48"/>
      <c r="J711" s="50"/>
      <c r="K711" s="42"/>
      <c r="L711" s="42"/>
      <c r="M711" s="42"/>
      <c r="N711" s="42"/>
      <c r="O711" s="42"/>
      <c r="P711" s="42"/>
      <c r="Q711" s="42"/>
    </row>
    <row r="712">
      <c r="A712" s="50"/>
      <c r="B712" s="42"/>
      <c r="C712" s="42"/>
      <c r="D712" s="42"/>
      <c r="E712" s="42"/>
      <c r="F712" s="42"/>
      <c r="G712" s="42"/>
      <c r="H712" s="42"/>
      <c r="I712" s="48"/>
      <c r="J712" s="50"/>
      <c r="K712" s="42"/>
      <c r="L712" s="42"/>
      <c r="M712" s="42"/>
      <c r="N712" s="42"/>
      <c r="O712" s="42"/>
      <c r="P712" s="42"/>
      <c r="Q712" s="42"/>
    </row>
    <row r="713">
      <c r="A713" s="50"/>
      <c r="B713" s="42"/>
      <c r="C713" s="42"/>
      <c r="D713" s="42"/>
      <c r="E713" s="42"/>
      <c r="F713" s="42"/>
      <c r="G713" s="42"/>
      <c r="H713" s="42"/>
      <c r="I713" s="48"/>
      <c r="J713" s="50"/>
      <c r="K713" s="42"/>
      <c r="L713" s="42"/>
      <c r="M713" s="42"/>
      <c r="N713" s="42"/>
      <c r="O713" s="42"/>
      <c r="P713" s="42"/>
      <c r="Q713" s="42"/>
    </row>
    <row r="714">
      <c r="A714" s="50"/>
      <c r="B714" s="42"/>
      <c r="C714" s="42"/>
      <c r="D714" s="42"/>
      <c r="E714" s="42"/>
      <c r="F714" s="42"/>
      <c r="G714" s="42"/>
      <c r="H714" s="42"/>
      <c r="I714" s="48"/>
      <c r="J714" s="50"/>
      <c r="K714" s="42"/>
      <c r="L714" s="42"/>
      <c r="M714" s="42"/>
      <c r="N714" s="42"/>
      <c r="O714" s="42"/>
      <c r="P714" s="42"/>
      <c r="Q714" s="42"/>
    </row>
    <row r="715">
      <c r="A715" s="50"/>
      <c r="B715" s="42"/>
      <c r="C715" s="42"/>
      <c r="D715" s="42"/>
      <c r="E715" s="42"/>
      <c r="F715" s="42"/>
      <c r="G715" s="42"/>
      <c r="H715" s="42"/>
      <c r="I715" s="48"/>
      <c r="J715" s="50"/>
      <c r="K715" s="42"/>
      <c r="L715" s="42"/>
      <c r="M715" s="42"/>
      <c r="N715" s="42"/>
      <c r="O715" s="42"/>
      <c r="P715" s="42"/>
      <c r="Q715" s="42"/>
    </row>
    <row r="716">
      <c r="A716" s="50"/>
      <c r="B716" s="42"/>
      <c r="C716" s="42"/>
      <c r="D716" s="42"/>
      <c r="E716" s="42"/>
      <c r="F716" s="42"/>
      <c r="G716" s="42"/>
      <c r="H716" s="42"/>
      <c r="I716" s="48"/>
      <c r="J716" s="50"/>
      <c r="K716" s="42"/>
      <c r="L716" s="42"/>
      <c r="M716" s="42"/>
      <c r="N716" s="42"/>
      <c r="O716" s="42"/>
      <c r="P716" s="42"/>
      <c r="Q716" s="42"/>
    </row>
    <row r="717">
      <c r="A717" s="50"/>
      <c r="B717" s="42"/>
      <c r="C717" s="42"/>
      <c r="D717" s="42"/>
      <c r="E717" s="42"/>
      <c r="F717" s="42"/>
      <c r="G717" s="42"/>
      <c r="H717" s="42"/>
      <c r="I717" s="48"/>
      <c r="J717" s="50"/>
      <c r="K717" s="42"/>
      <c r="L717" s="42"/>
      <c r="M717" s="42"/>
      <c r="N717" s="42"/>
      <c r="O717" s="42"/>
      <c r="P717" s="42"/>
      <c r="Q717" s="42"/>
    </row>
    <row r="718">
      <c r="A718" s="50"/>
      <c r="B718" s="42"/>
      <c r="C718" s="42"/>
      <c r="D718" s="42"/>
      <c r="E718" s="42"/>
      <c r="F718" s="42"/>
      <c r="G718" s="42"/>
      <c r="H718" s="42"/>
      <c r="I718" s="48"/>
      <c r="J718" s="50"/>
      <c r="K718" s="42"/>
      <c r="L718" s="42"/>
      <c r="M718" s="42"/>
      <c r="N718" s="42"/>
      <c r="O718" s="42"/>
      <c r="P718" s="42"/>
      <c r="Q718" s="42"/>
    </row>
    <row r="719">
      <c r="A719" s="50"/>
      <c r="B719" s="42"/>
      <c r="C719" s="42"/>
      <c r="D719" s="42"/>
      <c r="E719" s="42"/>
      <c r="F719" s="42"/>
      <c r="G719" s="42"/>
      <c r="H719" s="42"/>
      <c r="I719" s="48"/>
      <c r="J719" s="50"/>
      <c r="K719" s="42"/>
      <c r="L719" s="42"/>
      <c r="M719" s="42"/>
      <c r="N719" s="42"/>
      <c r="O719" s="42"/>
      <c r="P719" s="42"/>
      <c r="Q719" s="42"/>
    </row>
    <row r="720">
      <c r="A720" s="50"/>
      <c r="B720" s="42"/>
      <c r="C720" s="42"/>
      <c r="D720" s="42"/>
      <c r="E720" s="42"/>
      <c r="F720" s="42"/>
      <c r="G720" s="42"/>
      <c r="H720" s="42"/>
      <c r="I720" s="48"/>
      <c r="J720" s="50"/>
      <c r="K720" s="42"/>
      <c r="L720" s="42"/>
      <c r="M720" s="42"/>
      <c r="N720" s="42"/>
      <c r="O720" s="42"/>
      <c r="P720" s="42"/>
      <c r="Q720" s="42"/>
    </row>
    <row r="721">
      <c r="A721" s="50"/>
      <c r="B721" s="42"/>
      <c r="C721" s="42"/>
      <c r="D721" s="42"/>
      <c r="E721" s="42"/>
      <c r="F721" s="42"/>
      <c r="G721" s="42"/>
      <c r="H721" s="42"/>
      <c r="I721" s="48"/>
      <c r="J721" s="50"/>
      <c r="K721" s="42"/>
      <c r="L721" s="42"/>
      <c r="M721" s="42"/>
      <c r="N721" s="42"/>
      <c r="O721" s="42"/>
      <c r="P721" s="42"/>
      <c r="Q721" s="42"/>
    </row>
    <row r="722">
      <c r="A722" s="50"/>
      <c r="B722" s="42"/>
      <c r="C722" s="42"/>
      <c r="D722" s="42"/>
      <c r="E722" s="42"/>
      <c r="F722" s="42"/>
      <c r="G722" s="42"/>
      <c r="H722" s="42"/>
      <c r="I722" s="48"/>
      <c r="J722" s="50"/>
      <c r="K722" s="42"/>
      <c r="L722" s="42"/>
      <c r="M722" s="42"/>
      <c r="N722" s="42"/>
      <c r="O722" s="42"/>
      <c r="P722" s="42"/>
      <c r="Q722" s="42"/>
    </row>
    <row r="723">
      <c r="A723" s="50"/>
      <c r="B723" s="42"/>
      <c r="C723" s="42"/>
      <c r="D723" s="42"/>
      <c r="E723" s="42"/>
      <c r="F723" s="42"/>
      <c r="G723" s="42"/>
      <c r="H723" s="42"/>
      <c r="I723" s="48"/>
      <c r="J723" s="50"/>
      <c r="K723" s="42"/>
      <c r="L723" s="42"/>
      <c r="M723" s="42"/>
      <c r="N723" s="42"/>
      <c r="O723" s="42"/>
      <c r="P723" s="42"/>
      <c r="Q723" s="42"/>
    </row>
    <row r="724">
      <c r="A724" s="50"/>
      <c r="B724" s="42"/>
      <c r="C724" s="42"/>
      <c r="D724" s="42"/>
      <c r="E724" s="42"/>
      <c r="F724" s="42"/>
      <c r="G724" s="42"/>
      <c r="H724" s="42"/>
      <c r="I724" s="48"/>
      <c r="J724" s="50"/>
      <c r="K724" s="42"/>
      <c r="L724" s="42"/>
      <c r="M724" s="42"/>
      <c r="N724" s="42"/>
      <c r="O724" s="42"/>
      <c r="P724" s="42"/>
      <c r="Q724" s="42"/>
    </row>
    <row r="725">
      <c r="A725" s="50"/>
      <c r="B725" s="42"/>
      <c r="C725" s="42"/>
      <c r="D725" s="42"/>
      <c r="E725" s="42"/>
      <c r="F725" s="42"/>
      <c r="G725" s="42"/>
      <c r="H725" s="42"/>
      <c r="I725" s="48"/>
      <c r="J725" s="50"/>
      <c r="K725" s="42"/>
      <c r="L725" s="42"/>
      <c r="M725" s="42"/>
      <c r="N725" s="42"/>
      <c r="O725" s="42"/>
      <c r="P725" s="42"/>
      <c r="Q725" s="42"/>
    </row>
    <row r="726">
      <c r="A726" s="50"/>
      <c r="B726" s="42"/>
      <c r="C726" s="42"/>
      <c r="D726" s="42"/>
      <c r="E726" s="42"/>
      <c r="F726" s="42"/>
      <c r="G726" s="42"/>
      <c r="H726" s="42"/>
      <c r="I726" s="48"/>
      <c r="J726" s="50"/>
      <c r="K726" s="42"/>
      <c r="L726" s="42"/>
      <c r="M726" s="42"/>
      <c r="N726" s="42"/>
      <c r="O726" s="42"/>
      <c r="P726" s="42"/>
      <c r="Q726" s="42"/>
    </row>
    <row r="727">
      <c r="A727" s="50"/>
      <c r="B727" s="42"/>
      <c r="C727" s="42"/>
      <c r="D727" s="42"/>
      <c r="E727" s="42"/>
      <c r="F727" s="42"/>
      <c r="G727" s="42"/>
      <c r="H727" s="42"/>
      <c r="I727" s="48"/>
      <c r="J727" s="50"/>
      <c r="K727" s="42"/>
      <c r="L727" s="42"/>
      <c r="M727" s="42"/>
      <c r="N727" s="42"/>
      <c r="O727" s="42"/>
      <c r="P727" s="42"/>
      <c r="Q727" s="42"/>
    </row>
    <row r="728">
      <c r="A728" s="50"/>
      <c r="B728" s="42"/>
      <c r="C728" s="42"/>
      <c r="D728" s="42"/>
      <c r="E728" s="42"/>
      <c r="F728" s="42"/>
      <c r="G728" s="42"/>
      <c r="H728" s="42"/>
      <c r="I728" s="48"/>
      <c r="J728" s="50"/>
      <c r="K728" s="42"/>
      <c r="L728" s="42"/>
      <c r="M728" s="42"/>
      <c r="N728" s="42"/>
      <c r="O728" s="42"/>
      <c r="P728" s="42"/>
      <c r="Q728" s="42"/>
    </row>
    <row r="729">
      <c r="A729" s="50"/>
      <c r="B729" s="42"/>
      <c r="C729" s="42"/>
      <c r="D729" s="42"/>
      <c r="E729" s="42"/>
      <c r="F729" s="42"/>
      <c r="G729" s="42"/>
      <c r="H729" s="42"/>
      <c r="I729" s="48"/>
      <c r="J729" s="50"/>
      <c r="K729" s="42"/>
      <c r="L729" s="42"/>
      <c r="M729" s="42"/>
      <c r="N729" s="42"/>
      <c r="O729" s="42"/>
      <c r="P729" s="42"/>
      <c r="Q729" s="42"/>
    </row>
    <row r="730">
      <c r="A730" s="50"/>
      <c r="B730" s="42"/>
      <c r="C730" s="42"/>
      <c r="D730" s="42"/>
      <c r="E730" s="42"/>
      <c r="F730" s="42"/>
      <c r="G730" s="42"/>
      <c r="H730" s="42"/>
      <c r="I730" s="48"/>
      <c r="J730" s="50"/>
      <c r="K730" s="42"/>
      <c r="L730" s="42"/>
      <c r="M730" s="42"/>
      <c r="N730" s="42"/>
      <c r="O730" s="42"/>
      <c r="P730" s="42"/>
      <c r="Q730" s="42"/>
    </row>
    <row r="731">
      <c r="A731" s="50"/>
      <c r="B731" s="42"/>
      <c r="C731" s="42"/>
      <c r="D731" s="42"/>
      <c r="E731" s="42"/>
      <c r="F731" s="42"/>
      <c r="G731" s="42"/>
      <c r="H731" s="42"/>
      <c r="I731" s="48"/>
      <c r="J731" s="50"/>
      <c r="K731" s="42"/>
      <c r="L731" s="42"/>
      <c r="M731" s="42"/>
      <c r="N731" s="42"/>
      <c r="O731" s="42"/>
      <c r="P731" s="42"/>
      <c r="Q731" s="42"/>
    </row>
    <row r="732">
      <c r="A732" s="50"/>
      <c r="B732" s="42"/>
      <c r="C732" s="42"/>
      <c r="D732" s="42"/>
      <c r="E732" s="42"/>
      <c r="F732" s="42"/>
      <c r="G732" s="42"/>
      <c r="H732" s="42"/>
      <c r="I732" s="48"/>
      <c r="J732" s="50"/>
      <c r="K732" s="42"/>
      <c r="L732" s="42"/>
      <c r="M732" s="42"/>
      <c r="N732" s="42"/>
      <c r="O732" s="42"/>
      <c r="P732" s="42"/>
      <c r="Q732" s="42"/>
    </row>
    <row r="733">
      <c r="A733" s="50"/>
      <c r="B733" s="42"/>
      <c r="C733" s="42"/>
      <c r="D733" s="42"/>
      <c r="E733" s="42"/>
      <c r="F733" s="42"/>
      <c r="G733" s="42"/>
      <c r="H733" s="42"/>
      <c r="I733" s="48"/>
      <c r="J733" s="50"/>
      <c r="K733" s="42"/>
      <c r="L733" s="42"/>
      <c r="M733" s="42"/>
      <c r="N733" s="42"/>
      <c r="O733" s="42"/>
      <c r="P733" s="42"/>
      <c r="Q733" s="42"/>
    </row>
    <row r="734">
      <c r="A734" s="50"/>
      <c r="B734" s="42"/>
      <c r="C734" s="42"/>
      <c r="D734" s="42"/>
      <c r="E734" s="42"/>
      <c r="F734" s="42"/>
      <c r="G734" s="42"/>
      <c r="H734" s="42"/>
      <c r="I734" s="48"/>
      <c r="J734" s="50"/>
      <c r="K734" s="42"/>
      <c r="L734" s="42"/>
      <c r="M734" s="42"/>
      <c r="N734" s="42"/>
      <c r="O734" s="42"/>
      <c r="P734" s="42"/>
      <c r="Q734" s="42"/>
    </row>
    <row r="735">
      <c r="A735" s="50"/>
      <c r="B735" s="42"/>
      <c r="C735" s="42"/>
      <c r="D735" s="42"/>
      <c r="E735" s="42"/>
      <c r="F735" s="42"/>
      <c r="G735" s="42"/>
      <c r="H735" s="42"/>
      <c r="I735" s="48"/>
      <c r="J735" s="50"/>
      <c r="K735" s="42"/>
      <c r="L735" s="42"/>
      <c r="M735" s="42"/>
      <c r="N735" s="42"/>
      <c r="O735" s="42"/>
      <c r="P735" s="42"/>
      <c r="Q735" s="42"/>
    </row>
    <row r="736">
      <c r="A736" s="50"/>
      <c r="B736" s="42"/>
      <c r="C736" s="42"/>
      <c r="D736" s="42"/>
      <c r="E736" s="42"/>
      <c r="F736" s="42"/>
      <c r="G736" s="42"/>
      <c r="H736" s="42"/>
      <c r="I736" s="48"/>
      <c r="J736" s="50"/>
      <c r="K736" s="42"/>
      <c r="L736" s="42"/>
      <c r="M736" s="42"/>
      <c r="N736" s="42"/>
      <c r="O736" s="42"/>
      <c r="P736" s="42"/>
      <c r="Q736" s="42"/>
    </row>
    <row r="737">
      <c r="A737" s="50"/>
      <c r="B737" s="42"/>
      <c r="C737" s="42"/>
      <c r="D737" s="42"/>
      <c r="E737" s="42"/>
      <c r="F737" s="42"/>
      <c r="G737" s="42"/>
      <c r="H737" s="42"/>
      <c r="I737" s="48"/>
      <c r="J737" s="50"/>
      <c r="K737" s="42"/>
      <c r="L737" s="42"/>
      <c r="M737" s="42"/>
      <c r="N737" s="42"/>
      <c r="O737" s="42"/>
      <c r="P737" s="42"/>
      <c r="Q737" s="42"/>
    </row>
    <row r="738">
      <c r="A738" s="50"/>
      <c r="B738" s="42"/>
      <c r="C738" s="42"/>
      <c r="D738" s="42"/>
      <c r="E738" s="42"/>
      <c r="F738" s="42"/>
      <c r="G738" s="42"/>
      <c r="H738" s="42"/>
      <c r="I738" s="48"/>
      <c r="J738" s="50"/>
      <c r="K738" s="42"/>
      <c r="L738" s="42"/>
      <c r="M738" s="42"/>
      <c r="N738" s="42"/>
      <c r="O738" s="42"/>
      <c r="P738" s="42"/>
      <c r="Q738" s="42"/>
    </row>
    <row r="739">
      <c r="A739" s="50"/>
      <c r="B739" s="42"/>
      <c r="C739" s="42"/>
      <c r="D739" s="42"/>
      <c r="E739" s="42"/>
      <c r="F739" s="42"/>
      <c r="G739" s="42"/>
      <c r="H739" s="42"/>
      <c r="I739" s="48"/>
      <c r="J739" s="50"/>
      <c r="K739" s="42"/>
      <c r="L739" s="42"/>
      <c r="M739" s="42"/>
      <c r="N739" s="42"/>
      <c r="O739" s="42"/>
      <c r="P739" s="42"/>
      <c r="Q739" s="42"/>
    </row>
    <row r="740">
      <c r="A740" s="50"/>
      <c r="B740" s="42"/>
      <c r="C740" s="42"/>
      <c r="D740" s="42"/>
      <c r="E740" s="42"/>
      <c r="F740" s="42"/>
      <c r="G740" s="42"/>
      <c r="H740" s="42"/>
      <c r="I740" s="48"/>
      <c r="J740" s="50"/>
      <c r="K740" s="42"/>
      <c r="L740" s="42"/>
      <c r="M740" s="42"/>
      <c r="N740" s="42"/>
      <c r="O740" s="42"/>
      <c r="P740" s="42"/>
      <c r="Q740" s="42"/>
    </row>
    <row r="741">
      <c r="A741" s="50"/>
      <c r="B741" s="42"/>
      <c r="C741" s="42"/>
      <c r="D741" s="42"/>
      <c r="E741" s="42"/>
      <c r="F741" s="42"/>
      <c r="G741" s="42"/>
      <c r="H741" s="42"/>
      <c r="I741" s="48"/>
      <c r="J741" s="50"/>
      <c r="K741" s="42"/>
      <c r="L741" s="42"/>
      <c r="M741" s="42"/>
      <c r="N741" s="42"/>
      <c r="O741" s="42"/>
      <c r="P741" s="42"/>
      <c r="Q741" s="42"/>
    </row>
    <row r="742">
      <c r="A742" s="50"/>
      <c r="B742" s="42"/>
      <c r="C742" s="42"/>
      <c r="D742" s="42"/>
      <c r="E742" s="42"/>
      <c r="F742" s="42"/>
      <c r="G742" s="42"/>
      <c r="H742" s="42"/>
      <c r="I742" s="48"/>
      <c r="J742" s="50"/>
      <c r="K742" s="42"/>
      <c r="L742" s="42"/>
      <c r="M742" s="42"/>
      <c r="N742" s="42"/>
      <c r="O742" s="42"/>
      <c r="P742" s="42"/>
      <c r="Q742" s="42"/>
    </row>
    <row r="743">
      <c r="A743" s="50"/>
      <c r="B743" s="42"/>
      <c r="C743" s="42"/>
      <c r="D743" s="42"/>
      <c r="E743" s="42"/>
      <c r="F743" s="42"/>
      <c r="G743" s="42"/>
      <c r="H743" s="42"/>
      <c r="I743" s="48"/>
      <c r="J743" s="50"/>
      <c r="K743" s="42"/>
      <c r="L743" s="42"/>
      <c r="M743" s="42"/>
      <c r="N743" s="42"/>
      <c r="O743" s="42"/>
      <c r="P743" s="42"/>
      <c r="Q743" s="42"/>
    </row>
    <row r="744">
      <c r="A744" s="50"/>
      <c r="B744" s="42"/>
      <c r="C744" s="42"/>
      <c r="D744" s="42"/>
      <c r="E744" s="42"/>
      <c r="F744" s="42"/>
      <c r="G744" s="42"/>
      <c r="H744" s="42"/>
      <c r="I744" s="48"/>
      <c r="J744" s="50"/>
      <c r="K744" s="42"/>
      <c r="L744" s="42"/>
      <c r="M744" s="42"/>
      <c r="N744" s="42"/>
      <c r="O744" s="42"/>
      <c r="P744" s="42"/>
      <c r="Q744" s="42"/>
    </row>
    <row r="745">
      <c r="A745" s="50"/>
      <c r="B745" s="42"/>
      <c r="C745" s="42"/>
      <c r="D745" s="42"/>
      <c r="E745" s="42"/>
      <c r="F745" s="42"/>
      <c r="G745" s="42"/>
      <c r="H745" s="42"/>
      <c r="I745" s="48"/>
      <c r="J745" s="50"/>
      <c r="K745" s="42"/>
      <c r="L745" s="42"/>
      <c r="M745" s="42"/>
      <c r="N745" s="42"/>
      <c r="O745" s="42"/>
      <c r="P745" s="42"/>
      <c r="Q745" s="42"/>
    </row>
    <row r="746">
      <c r="A746" s="50"/>
      <c r="B746" s="42"/>
      <c r="C746" s="42"/>
      <c r="D746" s="42"/>
      <c r="E746" s="42"/>
      <c r="F746" s="42"/>
      <c r="G746" s="42"/>
      <c r="H746" s="42"/>
      <c r="I746" s="48"/>
      <c r="J746" s="50"/>
      <c r="K746" s="42"/>
      <c r="L746" s="42"/>
      <c r="M746" s="42"/>
      <c r="N746" s="42"/>
      <c r="O746" s="42"/>
      <c r="P746" s="42"/>
      <c r="Q746" s="42"/>
    </row>
    <row r="747">
      <c r="A747" s="50"/>
      <c r="B747" s="42"/>
      <c r="C747" s="42"/>
      <c r="D747" s="42"/>
      <c r="E747" s="42"/>
      <c r="F747" s="42"/>
      <c r="G747" s="42"/>
      <c r="H747" s="42"/>
      <c r="I747" s="48"/>
      <c r="J747" s="50"/>
      <c r="K747" s="42"/>
      <c r="L747" s="42"/>
      <c r="M747" s="42"/>
      <c r="N747" s="42"/>
      <c r="O747" s="42"/>
      <c r="P747" s="42"/>
      <c r="Q747" s="42"/>
    </row>
    <row r="748">
      <c r="A748" s="50"/>
      <c r="B748" s="42"/>
      <c r="C748" s="42"/>
      <c r="D748" s="42"/>
      <c r="E748" s="42"/>
      <c r="F748" s="42"/>
      <c r="G748" s="42"/>
      <c r="H748" s="42"/>
      <c r="I748" s="48"/>
      <c r="J748" s="50"/>
      <c r="K748" s="42"/>
      <c r="L748" s="42"/>
      <c r="M748" s="42"/>
      <c r="N748" s="42"/>
      <c r="O748" s="42"/>
      <c r="P748" s="42"/>
      <c r="Q748" s="42"/>
    </row>
    <row r="749">
      <c r="A749" s="50"/>
      <c r="B749" s="42"/>
      <c r="C749" s="42"/>
      <c r="D749" s="42"/>
      <c r="E749" s="42"/>
      <c r="F749" s="42"/>
      <c r="G749" s="42"/>
      <c r="H749" s="42"/>
      <c r="I749" s="48"/>
      <c r="J749" s="50"/>
      <c r="K749" s="42"/>
      <c r="L749" s="42"/>
      <c r="M749" s="42"/>
      <c r="N749" s="42"/>
      <c r="O749" s="42"/>
      <c r="P749" s="42"/>
      <c r="Q749" s="42"/>
    </row>
    <row r="750">
      <c r="A750" s="50"/>
      <c r="B750" s="42"/>
      <c r="C750" s="42"/>
      <c r="D750" s="42"/>
      <c r="E750" s="42"/>
      <c r="F750" s="42"/>
      <c r="G750" s="42"/>
      <c r="H750" s="42"/>
      <c r="I750" s="48"/>
      <c r="J750" s="50"/>
      <c r="K750" s="42"/>
      <c r="L750" s="42"/>
      <c r="M750" s="42"/>
      <c r="N750" s="42"/>
      <c r="O750" s="42"/>
      <c r="P750" s="42"/>
      <c r="Q750" s="42"/>
    </row>
    <row r="751">
      <c r="A751" s="50"/>
      <c r="B751" s="42"/>
      <c r="C751" s="42"/>
      <c r="D751" s="42"/>
      <c r="E751" s="42"/>
      <c r="F751" s="42"/>
      <c r="G751" s="42"/>
      <c r="H751" s="42"/>
      <c r="I751" s="48"/>
      <c r="J751" s="50"/>
      <c r="K751" s="42"/>
      <c r="L751" s="42"/>
      <c r="M751" s="42"/>
      <c r="N751" s="42"/>
      <c r="O751" s="42"/>
      <c r="P751" s="42"/>
      <c r="Q751" s="42"/>
    </row>
    <row r="752">
      <c r="A752" s="50"/>
      <c r="B752" s="42"/>
      <c r="C752" s="42"/>
      <c r="D752" s="42"/>
      <c r="E752" s="42"/>
      <c r="F752" s="42"/>
      <c r="G752" s="42"/>
      <c r="H752" s="42"/>
      <c r="I752" s="48"/>
      <c r="J752" s="50"/>
      <c r="K752" s="42"/>
      <c r="L752" s="42"/>
      <c r="M752" s="42"/>
      <c r="N752" s="42"/>
      <c r="O752" s="42"/>
      <c r="P752" s="42"/>
      <c r="Q752" s="42"/>
    </row>
    <row r="753">
      <c r="A753" s="50"/>
      <c r="B753" s="42"/>
      <c r="C753" s="42"/>
      <c r="D753" s="42"/>
      <c r="E753" s="42"/>
      <c r="F753" s="42"/>
      <c r="G753" s="42"/>
      <c r="H753" s="42"/>
      <c r="I753" s="48"/>
      <c r="J753" s="50"/>
      <c r="K753" s="42"/>
      <c r="L753" s="42"/>
      <c r="M753" s="42"/>
      <c r="N753" s="42"/>
      <c r="O753" s="42"/>
      <c r="P753" s="42"/>
      <c r="Q753" s="42"/>
    </row>
    <row r="754">
      <c r="A754" s="50"/>
      <c r="B754" s="42"/>
      <c r="C754" s="42"/>
      <c r="D754" s="42"/>
      <c r="E754" s="42"/>
      <c r="F754" s="42"/>
      <c r="G754" s="42"/>
      <c r="H754" s="42"/>
      <c r="I754" s="48"/>
      <c r="J754" s="50"/>
      <c r="K754" s="42"/>
      <c r="L754" s="42"/>
      <c r="M754" s="42"/>
      <c r="N754" s="42"/>
      <c r="O754" s="42"/>
      <c r="P754" s="42"/>
      <c r="Q754" s="42"/>
    </row>
    <row r="755">
      <c r="A755" s="50"/>
      <c r="B755" s="42"/>
      <c r="C755" s="42"/>
      <c r="D755" s="42"/>
      <c r="E755" s="42"/>
      <c r="F755" s="42"/>
      <c r="G755" s="42"/>
      <c r="H755" s="42"/>
      <c r="I755" s="48"/>
      <c r="J755" s="50"/>
      <c r="K755" s="42"/>
      <c r="L755" s="42"/>
      <c r="M755" s="42"/>
      <c r="N755" s="42"/>
      <c r="O755" s="42"/>
      <c r="P755" s="42"/>
      <c r="Q755" s="42"/>
    </row>
    <row r="756">
      <c r="A756" s="50"/>
      <c r="B756" s="42"/>
      <c r="C756" s="42"/>
      <c r="D756" s="42"/>
      <c r="E756" s="42"/>
      <c r="F756" s="42"/>
      <c r="G756" s="42"/>
      <c r="H756" s="42"/>
      <c r="I756" s="48"/>
      <c r="J756" s="50"/>
      <c r="K756" s="42"/>
      <c r="L756" s="42"/>
      <c r="M756" s="42"/>
      <c r="N756" s="42"/>
      <c r="O756" s="42"/>
      <c r="P756" s="42"/>
      <c r="Q756" s="42"/>
    </row>
    <row r="757">
      <c r="A757" s="50"/>
      <c r="B757" s="42"/>
      <c r="C757" s="42"/>
      <c r="D757" s="42"/>
      <c r="E757" s="42"/>
      <c r="F757" s="42"/>
      <c r="G757" s="42"/>
      <c r="H757" s="42"/>
      <c r="I757" s="48"/>
      <c r="J757" s="50"/>
      <c r="K757" s="42"/>
      <c r="L757" s="42"/>
      <c r="M757" s="42"/>
      <c r="N757" s="42"/>
      <c r="O757" s="42"/>
      <c r="P757" s="42"/>
      <c r="Q757" s="42"/>
    </row>
    <row r="758">
      <c r="A758" s="50"/>
      <c r="B758" s="42"/>
      <c r="C758" s="42"/>
      <c r="D758" s="42"/>
      <c r="E758" s="42"/>
      <c r="F758" s="42"/>
      <c r="G758" s="42"/>
      <c r="H758" s="42"/>
      <c r="I758" s="48"/>
      <c r="J758" s="50"/>
      <c r="K758" s="42"/>
      <c r="L758" s="42"/>
      <c r="M758" s="42"/>
      <c r="N758" s="42"/>
      <c r="O758" s="42"/>
      <c r="P758" s="42"/>
      <c r="Q758" s="42"/>
    </row>
    <row r="759">
      <c r="A759" s="50"/>
      <c r="B759" s="42"/>
      <c r="C759" s="42"/>
      <c r="D759" s="42"/>
      <c r="E759" s="42"/>
      <c r="F759" s="42"/>
      <c r="G759" s="42"/>
      <c r="H759" s="42"/>
      <c r="I759" s="48"/>
      <c r="J759" s="50"/>
      <c r="K759" s="42"/>
      <c r="L759" s="42"/>
      <c r="M759" s="42"/>
      <c r="N759" s="42"/>
      <c r="O759" s="42"/>
      <c r="P759" s="42"/>
      <c r="Q759" s="42"/>
    </row>
    <row r="760">
      <c r="A760" s="50"/>
      <c r="B760" s="42"/>
      <c r="C760" s="42"/>
      <c r="D760" s="42"/>
      <c r="E760" s="42"/>
      <c r="F760" s="42"/>
      <c r="G760" s="42"/>
      <c r="H760" s="42"/>
      <c r="I760" s="48"/>
      <c r="J760" s="50"/>
      <c r="K760" s="42"/>
      <c r="L760" s="42"/>
      <c r="M760" s="42"/>
      <c r="N760" s="42"/>
      <c r="O760" s="42"/>
      <c r="P760" s="42"/>
      <c r="Q760" s="42"/>
    </row>
    <row r="761">
      <c r="A761" s="50"/>
      <c r="B761" s="42"/>
      <c r="C761" s="42"/>
      <c r="D761" s="42"/>
      <c r="E761" s="42"/>
      <c r="F761" s="42"/>
      <c r="G761" s="42"/>
      <c r="H761" s="42"/>
      <c r="I761" s="48"/>
      <c r="J761" s="50"/>
      <c r="K761" s="42"/>
      <c r="L761" s="42"/>
      <c r="M761" s="42"/>
      <c r="N761" s="42"/>
      <c r="O761" s="42"/>
      <c r="P761" s="42"/>
      <c r="Q761" s="42"/>
    </row>
    <row r="762">
      <c r="A762" s="50"/>
      <c r="B762" s="42"/>
      <c r="C762" s="42"/>
      <c r="D762" s="42"/>
      <c r="E762" s="42"/>
      <c r="F762" s="42"/>
      <c r="G762" s="42"/>
      <c r="H762" s="42"/>
      <c r="I762" s="48"/>
      <c r="J762" s="50"/>
      <c r="K762" s="42"/>
      <c r="L762" s="42"/>
      <c r="M762" s="42"/>
      <c r="N762" s="42"/>
      <c r="O762" s="42"/>
      <c r="P762" s="42"/>
      <c r="Q762" s="42"/>
    </row>
    <row r="763">
      <c r="A763" s="50"/>
      <c r="B763" s="42"/>
      <c r="C763" s="42"/>
      <c r="D763" s="42"/>
      <c r="E763" s="42"/>
      <c r="F763" s="42"/>
      <c r="G763" s="42"/>
      <c r="H763" s="42"/>
      <c r="I763" s="48"/>
      <c r="J763" s="50"/>
      <c r="K763" s="42"/>
      <c r="L763" s="42"/>
      <c r="M763" s="42"/>
      <c r="N763" s="42"/>
      <c r="O763" s="42"/>
      <c r="P763" s="42"/>
      <c r="Q763" s="42"/>
    </row>
    <row r="764">
      <c r="A764" s="50"/>
      <c r="B764" s="42"/>
      <c r="C764" s="42"/>
      <c r="D764" s="42"/>
      <c r="E764" s="42"/>
      <c r="F764" s="42"/>
      <c r="G764" s="42"/>
      <c r="H764" s="42"/>
      <c r="I764" s="48"/>
      <c r="J764" s="50"/>
      <c r="K764" s="42"/>
      <c r="L764" s="42"/>
      <c r="M764" s="42"/>
      <c r="N764" s="42"/>
      <c r="O764" s="42"/>
      <c r="P764" s="42"/>
      <c r="Q764" s="42"/>
    </row>
    <row r="765">
      <c r="A765" s="50"/>
      <c r="B765" s="42"/>
      <c r="C765" s="42"/>
      <c r="D765" s="42"/>
      <c r="E765" s="42"/>
      <c r="F765" s="42"/>
      <c r="G765" s="42"/>
      <c r="H765" s="42"/>
      <c r="I765" s="48"/>
      <c r="J765" s="50"/>
      <c r="K765" s="42"/>
      <c r="L765" s="42"/>
      <c r="M765" s="42"/>
      <c r="N765" s="42"/>
      <c r="O765" s="42"/>
      <c r="P765" s="42"/>
      <c r="Q765" s="42"/>
    </row>
    <row r="766">
      <c r="A766" s="50"/>
      <c r="B766" s="42"/>
      <c r="C766" s="42"/>
      <c r="D766" s="42"/>
      <c r="E766" s="42"/>
      <c r="F766" s="42"/>
      <c r="G766" s="42"/>
      <c r="H766" s="42"/>
      <c r="I766" s="48"/>
      <c r="J766" s="50"/>
      <c r="K766" s="42"/>
      <c r="L766" s="42"/>
      <c r="M766" s="42"/>
      <c r="N766" s="42"/>
      <c r="O766" s="42"/>
      <c r="P766" s="42"/>
      <c r="Q766" s="42"/>
    </row>
    <row r="767">
      <c r="A767" s="50"/>
      <c r="B767" s="42"/>
      <c r="C767" s="42"/>
      <c r="D767" s="42"/>
      <c r="E767" s="42"/>
      <c r="F767" s="42"/>
      <c r="G767" s="42"/>
      <c r="H767" s="42"/>
      <c r="I767" s="48"/>
      <c r="J767" s="50"/>
      <c r="K767" s="42"/>
      <c r="L767" s="42"/>
      <c r="M767" s="42"/>
      <c r="N767" s="42"/>
      <c r="O767" s="42"/>
      <c r="P767" s="42"/>
      <c r="Q767" s="42"/>
    </row>
    <row r="768">
      <c r="A768" s="50"/>
      <c r="B768" s="42"/>
      <c r="C768" s="42"/>
      <c r="D768" s="42"/>
      <c r="E768" s="42"/>
      <c r="F768" s="42"/>
      <c r="G768" s="42"/>
      <c r="H768" s="42"/>
      <c r="I768" s="48"/>
      <c r="J768" s="50"/>
      <c r="K768" s="42"/>
      <c r="L768" s="42"/>
      <c r="M768" s="42"/>
      <c r="N768" s="42"/>
      <c r="O768" s="42"/>
      <c r="P768" s="42"/>
      <c r="Q768" s="42"/>
    </row>
    <row r="769">
      <c r="A769" s="50"/>
      <c r="B769" s="42"/>
      <c r="C769" s="42"/>
      <c r="D769" s="42"/>
      <c r="E769" s="42"/>
      <c r="F769" s="42"/>
      <c r="G769" s="42"/>
      <c r="H769" s="42"/>
      <c r="I769" s="48"/>
      <c r="J769" s="50"/>
      <c r="K769" s="42"/>
      <c r="L769" s="42"/>
      <c r="M769" s="42"/>
      <c r="N769" s="42"/>
      <c r="O769" s="42"/>
      <c r="P769" s="42"/>
      <c r="Q769" s="42"/>
    </row>
    <row r="770">
      <c r="A770" s="50"/>
      <c r="B770" s="42"/>
      <c r="C770" s="42"/>
      <c r="D770" s="42"/>
      <c r="E770" s="42"/>
      <c r="F770" s="42"/>
      <c r="G770" s="42"/>
      <c r="H770" s="42"/>
      <c r="I770" s="48"/>
      <c r="J770" s="50"/>
      <c r="K770" s="42"/>
      <c r="L770" s="42"/>
      <c r="M770" s="42"/>
      <c r="N770" s="42"/>
      <c r="O770" s="42"/>
      <c r="P770" s="42"/>
      <c r="Q770" s="42"/>
    </row>
    <row r="771">
      <c r="A771" s="50"/>
      <c r="B771" s="42"/>
      <c r="C771" s="42"/>
      <c r="D771" s="42"/>
      <c r="E771" s="42"/>
      <c r="F771" s="42"/>
      <c r="G771" s="42"/>
      <c r="H771" s="42"/>
      <c r="I771" s="48"/>
      <c r="J771" s="50"/>
      <c r="K771" s="42"/>
      <c r="L771" s="42"/>
      <c r="M771" s="42"/>
      <c r="N771" s="42"/>
      <c r="O771" s="42"/>
      <c r="P771" s="42"/>
      <c r="Q771" s="42"/>
    </row>
    <row r="772">
      <c r="A772" s="50"/>
      <c r="B772" s="42"/>
      <c r="C772" s="42"/>
      <c r="D772" s="42"/>
      <c r="E772" s="42"/>
      <c r="F772" s="42"/>
      <c r="G772" s="42"/>
      <c r="H772" s="42"/>
      <c r="I772" s="48"/>
      <c r="J772" s="50"/>
      <c r="K772" s="42"/>
      <c r="L772" s="42"/>
      <c r="M772" s="42"/>
      <c r="N772" s="42"/>
      <c r="O772" s="42"/>
      <c r="P772" s="42"/>
      <c r="Q772" s="42"/>
    </row>
    <row r="773">
      <c r="A773" s="50"/>
      <c r="B773" s="42"/>
      <c r="C773" s="42"/>
      <c r="D773" s="42"/>
      <c r="E773" s="42"/>
      <c r="F773" s="42"/>
      <c r="G773" s="42"/>
      <c r="H773" s="42"/>
      <c r="I773" s="48"/>
      <c r="J773" s="50"/>
      <c r="K773" s="42"/>
      <c r="L773" s="42"/>
      <c r="M773" s="42"/>
      <c r="N773" s="42"/>
      <c r="O773" s="42"/>
      <c r="P773" s="42"/>
      <c r="Q773" s="42"/>
    </row>
    <row r="774">
      <c r="A774" s="50"/>
      <c r="B774" s="42"/>
      <c r="C774" s="42"/>
      <c r="D774" s="42"/>
      <c r="E774" s="42"/>
      <c r="F774" s="42"/>
      <c r="G774" s="42"/>
      <c r="H774" s="42"/>
      <c r="I774" s="48"/>
      <c r="J774" s="50"/>
      <c r="K774" s="42"/>
      <c r="L774" s="42"/>
      <c r="M774" s="42"/>
      <c r="N774" s="42"/>
      <c r="O774" s="42"/>
      <c r="P774" s="42"/>
      <c r="Q774" s="42"/>
    </row>
    <row r="775">
      <c r="A775" s="50"/>
      <c r="B775" s="42"/>
      <c r="C775" s="42"/>
      <c r="D775" s="42"/>
      <c r="E775" s="42"/>
      <c r="F775" s="42"/>
      <c r="G775" s="42"/>
      <c r="H775" s="42"/>
      <c r="I775" s="48"/>
      <c r="J775" s="50"/>
      <c r="K775" s="42"/>
      <c r="L775" s="42"/>
      <c r="M775" s="42"/>
      <c r="N775" s="42"/>
      <c r="O775" s="42"/>
      <c r="P775" s="42"/>
      <c r="Q775" s="42"/>
    </row>
    <row r="776">
      <c r="A776" s="50"/>
      <c r="B776" s="42"/>
      <c r="C776" s="42"/>
      <c r="D776" s="42"/>
      <c r="E776" s="42"/>
      <c r="F776" s="42"/>
      <c r="G776" s="42"/>
      <c r="H776" s="42"/>
      <c r="I776" s="48"/>
      <c r="J776" s="50"/>
      <c r="K776" s="42"/>
      <c r="L776" s="42"/>
      <c r="M776" s="42"/>
      <c r="N776" s="42"/>
      <c r="O776" s="42"/>
      <c r="P776" s="42"/>
      <c r="Q776" s="42"/>
    </row>
    <row r="777">
      <c r="A777" s="50"/>
      <c r="B777" s="42"/>
      <c r="C777" s="42"/>
      <c r="D777" s="42"/>
      <c r="E777" s="42"/>
      <c r="F777" s="42"/>
      <c r="G777" s="42"/>
      <c r="H777" s="42"/>
      <c r="I777" s="48"/>
      <c r="J777" s="50"/>
      <c r="K777" s="42"/>
      <c r="L777" s="42"/>
      <c r="M777" s="42"/>
      <c r="N777" s="42"/>
      <c r="O777" s="42"/>
      <c r="P777" s="42"/>
      <c r="Q777" s="42"/>
    </row>
    <row r="778">
      <c r="A778" s="50"/>
      <c r="B778" s="42"/>
      <c r="C778" s="42"/>
      <c r="D778" s="42"/>
      <c r="E778" s="42"/>
      <c r="F778" s="42"/>
      <c r="G778" s="42"/>
      <c r="H778" s="42"/>
      <c r="I778" s="48"/>
      <c r="J778" s="50"/>
      <c r="K778" s="42"/>
      <c r="L778" s="42"/>
      <c r="M778" s="42"/>
      <c r="N778" s="42"/>
      <c r="O778" s="42"/>
      <c r="P778" s="42"/>
      <c r="Q778" s="42"/>
    </row>
    <row r="779">
      <c r="A779" s="50"/>
      <c r="B779" s="42"/>
      <c r="C779" s="42"/>
      <c r="D779" s="42"/>
      <c r="E779" s="42"/>
      <c r="F779" s="42"/>
      <c r="G779" s="42"/>
      <c r="H779" s="42"/>
      <c r="I779" s="48"/>
      <c r="J779" s="50"/>
      <c r="K779" s="42"/>
      <c r="L779" s="42"/>
      <c r="M779" s="42"/>
      <c r="N779" s="42"/>
      <c r="O779" s="42"/>
      <c r="P779" s="42"/>
      <c r="Q779" s="42"/>
    </row>
    <row r="780">
      <c r="A780" s="50"/>
      <c r="B780" s="42"/>
      <c r="C780" s="42"/>
      <c r="D780" s="42"/>
      <c r="E780" s="42"/>
      <c r="F780" s="42"/>
      <c r="G780" s="42"/>
      <c r="H780" s="42"/>
      <c r="I780" s="48"/>
      <c r="J780" s="50"/>
      <c r="K780" s="42"/>
      <c r="L780" s="42"/>
      <c r="M780" s="42"/>
      <c r="N780" s="42"/>
      <c r="O780" s="42"/>
      <c r="P780" s="42"/>
      <c r="Q780" s="42"/>
    </row>
    <row r="781">
      <c r="A781" s="50"/>
      <c r="B781" s="42"/>
      <c r="C781" s="42"/>
      <c r="D781" s="42"/>
      <c r="E781" s="42"/>
      <c r="F781" s="42"/>
      <c r="G781" s="42"/>
      <c r="H781" s="42"/>
      <c r="I781" s="48"/>
      <c r="J781" s="50"/>
      <c r="K781" s="42"/>
      <c r="L781" s="42"/>
      <c r="M781" s="42"/>
      <c r="N781" s="42"/>
      <c r="O781" s="42"/>
      <c r="P781" s="42"/>
      <c r="Q781" s="42"/>
    </row>
    <row r="782">
      <c r="A782" s="50"/>
      <c r="B782" s="42"/>
      <c r="C782" s="42"/>
      <c r="D782" s="42"/>
      <c r="E782" s="42"/>
      <c r="F782" s="42"/>
      <c r="G782" s="42"/>
      <c r="H782" s="42"/>
      <c r="I782" s="48"/>
      <c r="J782" s="50"/>
      <c r="K782" s="42"/>
      <c r="L782" s="42"/>
      <c r="M782" s="42"/>
      <c r="N782" s="42"/>
      <c r="O782" s="42"/>
      <c r="P782" s="42"/>
      <c r="Q782" s="42"/>
    </row>
    <row r="783">
      <c r="A783" s="50"/>
      <c r="B783" s="42"/>
      <c r="C783" s="42"/>
      <c r="D783" s="42"/>
      <c r="E783" s="42"/>
      <c r="F783" s="42"/>
      <c r="G783" s="42"/>
      <c r="H783" s="42"/>
      <c r="I783" s="48"/>
      <c r="J783" s="50"/>
      <c r="K783" s="42"/>
      <c r="L783" s="42"/>
      <c r="M783" s="42"/>
      <c r="N783" s="42"/>
      <c r="O783" s="42"/>
      <c r="P783" s="42"/>
      <c r="Q783" s="42"/>
    </row>
    <row r="784">
      <c r="A784" s="50"/>
      <c r="B784" s="42"/>
      <c r="C784" s="42"/>
      <c r="D784" s="42"/>
      <c r="E784" s="42"/>
      <c r="F784" s="42"/>
      <c r="G784" s="42"/>
      <c r="H784" s="42"/>
      <c r="I784" s="48"/>
      <c r="J784" s="50"/>
      <c r="K784" s="42"/>
      <c r="L784" s="42"/>
      <c r="M784" s="42"/>
      <c r="N784" s="42"/>
      <c r="O784" s="42"/>
      <c r="P784" s="42"/>
      <c r="Q784" s="42"/>
    </row>
    <row r="785">
      <c r="A785" s="50"/>
      <c r="B785" s="42"/>
      <c r="C785" s="42"/>
      <c r="D785" s="42"/>
      <c r="E785" s="42"/>
      <c r="F785" s="42"/>
      <c r="G785" s="42"/>
      <c r="H785" s="42"/>
      <c r="I785" s="48"/>
      <c r="J785" s="50"/>
      <c r="K785" s="42"/>
      <c r="L785" s="42"/>
      <c r="M785" s="42"/>
      <c r="N785" s="42"/>
      <c r="O785" s="42"/>
      <c r="P785" s="42"/>
      <c r="Q785" s="42"/>
    </row>
    <row r="786">
      <c r="A786" s="50"/>
      <c r="B786" s="42"/>
      <c r="C786" s="42"/>
      <c r="D786" s="42"/>
      <c r="E786" s="42"/>
      <c r="F786" s="42"/>
      <c r="G786" s="42"/>
      <c r="H786" s="42"/>
      <c r="I786" s="48"/>
      <c r="J786" s="50"/>
      <c r="K786" s="42"/>
      <c r="L786" s="42"/>
      <c r="M786" s="42"/>
      <c r="N786" s="42"/>
      <c r="O786" s="42"/>
      <c r="P786" s="42"/>
      <c r="Q786" s="42"/>
    </row>
    <row r="787">
      <c r="A787" s="50"/>
      <c r="B787" s="42"/>
      <c r="C787" s="42"/>
      <c r="D787" s="42"/>
      <c r="E787" s="42"/>
      <c r="F787" s="42"/>
      <c r="G787" s="42"/>
      <c r="H787" s="42"/>
      <c r="I787" s="48"/>
      <c r="J787" s="50"/>
      <c r="K787" s="42"/>
      <c r="L787" s="42"/>
      <c r="M787" s="42"/>
      <c r="N787" s="42"/>
      <c r="O787" s="42"/>
      <c r="P787" s="42"/>
      <c r="Q787" s="42"/>
    </row>
    <row r="788">
      <c r="A788" s="50"/>
      <c r="B788" s="42"/>
      <c r="C788" s="42"/>
      <c r="D788" s="42"/>
      <c r="E788" s="42"/>
      <c r="F788" s="42"/>
      <c r="G788" s="42"/>
      <c r="H788" s="42"/>
      <c r="I788" s="48"/>
      <c r="J788" s="50"/>
      <c r="K788" s="42"/>
      <c r="L788" s="42"/>
      <c r="M788" s="42"/>
      <c r="N788" s="42"/>
      <c r="O788" s="42"/>
      <c r="P788" s="42"/>
      <c r="Q788" s="42"/>
    </row>
    <row r="789">
      <c r="A789" s="50"/>
      <c r="B789" s="42"/>
      <c r="C789" s="42"/>
      <c r="D789" s="42"/>
      <c r="E789" s="42"/>
      <c r="F789" s="42"/>
      <c r="G789" s="42"/>
      <c r="H789" s="42"/>
      <c r="I789" s="48"/>
      <c r="J789" s="50"/>
      <c r="K789" s="42"/>
      <c r="L789" s="42"/>
      <c r="M789" s="42"/>
      <c r="N789" s="42"/>
      <c r="O789" s="42"/>
      <c r="P789" s="42"/>
      <c r="Q789" s="42"/>
    </row>
    <row r="790">
      <c r="A790" s="50"/>
      <c r="B790" s="42"/>
      <c r="C790" s="42"/>
      <c r="D790" s="42"/>
      <c r="E790" s="42"/>
      <c r="F790" s="42"/>
      <c r="G790" s="42"/>
      <c r="H790" s="42"/>
      <c r="I790" s="48"/>
      <c r="J790" s="50"/>
      <c r="K790" s="42"/>
      <c r="L790" s="42"/>
      <c r="M790" s="42"/>
      <c r="N790" s="42"/>
      <c r="O790" s="42"/>
      <c r="P790" s="42"/>
      <c r="Q790" s="42"/>
    </row>
    <row r="791">
      <c r="A791" s="50"/>
      <c r="B791" s="42"/>
      <c r="C791" s="42"/>
      <c r="D791" s="42"/>
      <c r="E791" s="42"/>
      <c r="F791" s="42"/>
      <c r="G791" s="42"/>
      <c r="H791" s="42"/>
      <c r="I791" s="48"/>
      <c r="J791" s="50"/>
      <c r="K791" s="42"/>
      <c r="L791" s="42"/>
      <c r="M791" s="42"/>
      <c r="N791" s="42"/>
      <c r="O791" s="42"/>
      <c r="P791" s="42"/>
      <c r="Q791" s="42"/>
    </row>
    <row r="792">
      <c r="A792" s="50"/>
      <c r="B792" s="42"/>
      <c r="C792" s="42"/>
      <c r="D792" s="42"/>
      <c r="E792" s="42"/>
      <c r="F792" s="42"/>
      <c r="G792" s="42"/>
      <c r="H792" s="42"/>
      <c r="I792" s="48"/>
      <c r="J792" s="50"/>
      <c r="K792" s="42"/>
      <c r="L792" s="42"/>
      <c r="M792" s="42"/>
      <c r="N792" s="42"/>
      <c r="O792" s="42"/>
      <c r="P792" s="42"/>
      <c r="Q792" s="42"/>
    </row>
    <row r="793">
      <c r="A793" s="50"/>
      <c r="B793" s="42"/>
      <c r="C793" s="42"/>
      <c r="D793" s="42"/>
      <c r="E793" s="42"/>
      <c r="F793" s="42"/>
      <c r="G793" s="42"/>
      <c r="H793" s="42"/>
      <c r="I793" s="48"/>
      <c r="J793" s="50"/>
      <c r="K793" s="42"/>
      <c r="L793" s="42"/>
      <c r="M793" s="42"/>
      <c r="N793" s="42"/>
      <c r="O793" s="42"/>
      <c r="P793" s="42"/>
      <c r="Q793" s="42"/>
    </row>
    <row r="794">
      <c r="A794" s="50"/>
      <c r="B794" s="42"/>
      <c r="C794" s="42"/>
      <c r="D794" s="42"/>
      <c r="E794" s="42"/>
      <c r="F794" s="42"/>
      <c r="G794" s="42"/>
      <c r="H794" s="42"/>
      <c r="I794" s="48"/>
      <c r="J794" s="50"/>
      <c r="K794" s="42"/>
      <c r="L794" s="42"/>
      <c r="M794" s="42"/>
      <c r="N794" s="42"/>
      <c r="O794" s="42"/>
      <c r="P794" s="42"/>
      <c r="Q794" s="42"/>
    </row>
    <row r="795">
      <c r="A795" s="50"/>
      <c r="B795" s="42"/>
      <c r="C795" s="42"/>
      <c r="D795" s="42"/>
      <c r="E795" s="42"/>
      <c r="F795" s="42"/>
      <c r="G795" s="42"/>
      <c r="H795" s="42"/>
      <c r="I795" s="48"/>
      <c r="J795" s="50"/>
      <c r="K795" s="42"/>
      <c r="L795" s="42"/>
      <c r="M795" s="42"/>
      <c r="N795" s="42"/>
      <c r="O795" s="42"/>
      <c r="P795" s="42"/>
      <c r="Q795" s="42"/>
    </row>
    <row r="796">
      <c r="A796" s="50"/>
      <c r="B796" s="42"/>
      <c r="C796" s="42"/>
      <c r="D796" s="42"/>
      <c r="E796" s="42"/>
      <c r="F796" s="42"/>
      <c r="G796" s="42"/>
      <c r="H796" s="42"/>
      <c r="I796" s="48"/>
      <c r="J796" s="50"/>
      <c r="K796" s="42"/>
      <c r="L796" s="42"/>
      <c r="M796" s="42"/>
      <c r="N796" s="42"/>
      <c r="O796" s="42"/>
      <c r="P796" s="42"/>
      <c r="Q796" s="42"/>
    </row>
    <row r="797">
      <c r="A797" s="50"/>
      <c r="B797" s="42"/>
      <c r="C797" s="42"/>
      <c r="D797" s="42"/>
      <c r="E797" s="42"/>
      <c r="F797" s="42"/>
      <c r="G797" s="42"/>
      <c r="H797" s="42"/>
      <c r="I797" s="48"/>
      <c r="J797" s="50"/>
      <c r="K797" s="42"/>
      <c r="L797" s="42"/>
      <c r="M797" s="42"/>
      <c r="N797" s="42"/>
      <c r="O797" s="42"/>
      <c r="P797" s="42"/>
      <c r="Q797" s="42"/>
    </row>
    <row r="798">
      <c r="A798" s="50"/>
      <c r="B798" s="42"/>
      <c r="C798" s="42"/>
      <c r="D798" s="42"/>
      <c r="E798" s="42"/>
      <c r="F798" s="42"/>
      <c r="G798" s="42"/>
      <c r="H798" s="42"/>
      <c r="I798" s="48"/>
      <c r="J798" s="50"/>
      <c r="K798" s="42"/>
      <c r="L798" s="42"/>
      <c r="M798" s="42"/>
      <c r="N798" s="42"/>
      <c r="O798" s="42"/>
      <c r="P798" s="42"/>
      <c r="Q798" s="42"/>
    </row>
    <row r="799">
      <c r="A799" s="50"/>
      <c r="B799" s="42"/>
      <c r="C799" s="42"/>
      <c r="D799" s="42"/>
      <c r="E799" s="42"/>
      <c r="F799" s="42"/>
      <c r="G799" s="42"/>
      <c r="H799" s="42"/>
      <c r="I799" s="48"/>
      <c r="J799" s="50"/>
      <c r="K799" s="42"/>
      <c r="L799" s="42"/>
      <c r="M799" s="42"/>
      <c r="N799" s="42"/>
      <c r="O799" s="42"/>
      <c r="P799" s="42"/>
      <c r="Q799" s="42"/>
    </row>
    <row r="800">
      <c r="A800" s="50"/>
      <c r="B800" s="42"/>
      <c r="C800" s="42"/>
      <c r="D800" s="42"/>
      <c r="E800" s="42"/>
      <c r="F800" s="42"/>
      <c r="G800" s="42"/>
      <c r="H800" s="42"/>
      <c r="I800" s="48"/>
      <c r="J800" s="50"/>
      <c r="K800" s="42"/>
      <c r="L800" s="42"/>
      <c r="M800" s="42"/>
      <c r="N800" s="42"/>
      <c r="O800" s="42"/>
      <c r="P800" s="42"/>
      <c r="Q800" s="42"/>
    </row>
    <row r="801">
      <c r="A801" s="50"/>
      <c r="B801" s="42"/>
      <c r="C801" s="42"/>
      <c r="D801" s="42"/>
      <c r="E801" s="42"/>
      <c r="F801" s="42"/>
      <c r="G801" s="42"/>
      <c r="H801" s="42"/>
      <c r="I801" s="48"/>
      <c r="J801" s="50"/>
      <c r="K801" s="42"/>
      <c r="L801" s="42"/>
      <c r="M801" s="42"/>
      <c r="N801" s="42"/>
      <c r="O801" s="42"/>
      <c r="P801" s="42"/>
      <c r="Q801" s="42"/>
    </row>
    <row r="802">
      <c r="A802" s="50"/>
      <c r="B802" s="42"/>
      <c r="C802" s="42"/>
      <c r="D802" s="42"/>
      <c r="E802" s="42"/>
      <c r="F802" s="42"/>
      <c r="G802" s="42"/>
      <c r="H802" s="42"/>
      <c r="I802" s="48"/>
      <c r="J802" s="50"/>
      <c r="K802" s="42"/>
      <c r="L802" s="42"/>
      <c r="M802" s="42"/>
      <c r="N802" s="42"/>
      <c r="O802" s="42"/>
      <c r="P802" s="42"/>
      <c r="Q802" s="42"/>
    </row>
    <row r="803">
      <c r="A803" s="50"/>
      <c r="B803" s="42"/>
      <c r="C803" s="42"/>
      <c r="D803" s="42"/>
      <c r="E803" s="42"/>
      <c r="F803" s="42"/>
      <c r="G803" s="42"/>
      <c r="H803" s="42"/>
      <c r="I803" s="48"/>
      <c r="J803" s="50"/>
      <c r="K803" s="42"/>
      <c r="L803" s="42"/>
      <c r="M803" s="42"/>
      <c r="N803" s="42"/>
      <c r="O803" s="42"/>
      <c r="P803" s="42"/>
      <c r="Q803" s="42"/>
    </row>
    <row r="804">
      <c r="A804" s="50"/>
      <c r="B804" s="42"/>
      <c r="C804" s="42"/>
      <c r="D804" s="42"/>
      <c r="E804" s="42"/>
      <c r="F804" s="42"/>
      <c r="G804" s="42"/>
      <c r="H804" s="42"/>
      <c r="I804" s="48"/>
      <c r="J804" s="50"/>
      <c r="K804" s="42"/>
      <c r="L804" s="42"/>
      <c r="M804" s="42"/>
      <c r="N804" s="42"/>
      <c r="O804" s="42"/>
      <c r="P804" s="42"/>
      <c r="Q804" s="42"/>
    </row>
    <row r="805">
      <c r="A805" s="50"/>
      <c r="B805" s="42"/>
      <c r="C805" s="42"/>
      <c r="D805" s="42"/>
      <c r="E805" s="42"/>
      <c r="F805" s="42"/>
      <c r="G805" s="42"/>
      <c r="H805" s="42"/>
      <c r="I805" s="48"/>
      <c r="J805" s="50"/>
      <c r="K805" s="42"/>
      <c r="L805" s="42"/>
      <c r="M805" s="42"/>
      <c r="N805" s="42"/>
      <c r="O805" s="42"/>
      <c r="P805" s="42"/>
      <c r="Q805" s="42"/>
    </row>
    <row r="806">
      <c r="A806" s="50"/>
      <c r="B806" s="42"/>
      <c r="C806" s="42"/>
      <c r="D806" s="42"/>
      <c r="E806" s="42"/>
      <c r="F806" s="42"/>
      <c r="G806" s="42"/>
      <c r="H806" s="42"/>
      <c r="I806" s="48"/>
      <c r="J806" s="50"/>
      <c r="K806" s="42"/>
      <c r="L806" s="42"/>
      <c r="M806" s="42"/>
      <c r="N806" s="42"/>
      <c r="O806" s="42"/>
      <c r="P806" s="42"/>
      <c r="Q806" s="42"/>
    </row>
    <row r="807">
      <c r="A807" s="50"/>
      <c r="B807" s="42"/>
      <c r="C807" s="42"/>
      <c r="D807" s="42"/>
      <c r="E807" s="42"/>
      <c r="F807" s="42"/>
      <c r="G807" s="42"/>
      <c r="H807" s="42"/>
      <c r="I807" s="48"/>
      <c r="J807" s="50"/>
      <c r="K807" s="42"/>
      <c r="L807" s="42"/>
      <c r="M807" s="42"/>
      <c r="N807" s="42"/>
      <c r="O807" s="42"/>
      <c r="P807" s="42"/>
      <c r="Q807" s="42"/>
    </row>
    <row r="808">
      <c r="A808" s="50"/>
      <c r="B808" s="42"/>
      <c r="C808" s="42"/>
      <c r="D808" s="42"/>
      <c r="E808" s="42"/>
      <c r="F808" s="42"/>
      <c r="G808" s="42"/>
      <c r="H808" s="42"/>
      <c r="I808" s="48"/>
      <c r="J808" s="50"/>
      <c r="K808" s="42"/>
      <c r="L808" s="42"/>
      <c r="M808" s="42"/>
      <c r="N808" s="42"/>
      <c r="O808" s="42"/>
      <c r="P808" s="42"/>
      <c r="Q808" s="42"/>
    </row>
    <row r="809">
      <c r="A809" s="50"/>
      <c r="B809" s="42"/>
      <c r="C809" s="42"/>
      <c r="D809" s="42"/>
      <c r="E809" s="42"/>
      <c r="F809" s="42"/>
      <c r="G809" s="42"/>
      <c r="H809" s="42"/>
      <c r="I809" s="48"/>
      <c r="J809" s="50"/>
      <c r="K809" s="42"/>
      <c r="L809" s="42"/>
      <c r="M809" s="42"/>
      <c r="N809" s="42"/>
      <c r="O809" s="42"/>
      <c r="P809" s="42"/>
      <c r="Q809" s="42"/>
    </row>
    <row r="810">
      <c r="A810" s="50"/>
      <c r="B810" s="42"/>
      <c r="C810" s="42"/>
      <c r="D810" s="42"/>
      <c r="E810" s="42"/>
      <c r="F810" s="42"/>
      <c r="G810" s="42"/>
      <c r="H810" s="42"/>
      <c r="I810" s="48"/>
      <c r="J810" s="50"/>
      <c r="K810" s="42"/>
      <c r="L810" s="42"/>
      <c r="M810" s="42"/>
      <c r="N810" s="42"/>
      <c r="O810" s="42"/>
      <c r="P810" s="42"/>
      <c r="Q810" s="42"/>
    </row>
    <row r="811">
      <c r="A811" s="50"/>
      <c r="B811" s="42"/>
      <c r="C811" s="42"/>
      <c r="D811" s="42"/>
      <c r="E811" s="42"/>
      <c r="F811" s="42"/>
      <c r="G811" s="42"/>
      <c r="H811" s="42"/>
      <c r="I811" s="48"/>
      <c r="J811" s="50"/>
      <c r="K811" s="42"/>
      <c r="L811" s="42"/>
      <c r="M811" s="42"/>
      <c r="N811" s="42"/>
      <c r="O811" s="42"/>
      <c r="P811" s="42"/>
      <c r="Q811" s="42"/>
    </row>
    <row r="812">
      <c r="A812" s="50"/>
      <c r="B812" s="42"/>
      <c r="C812" s="42"/>
      <c r="D812" s="42"/>
      <c r="E812" s="42"/>
      <c r="F812" s="42"/>
      <c r="G812" s="42"/>
      <c r="H812" s="42"/>
      <c r="I812" s="48"/>
      <c r="J812" s="50"/>
      <c r="K812" s="42"/>
      <c r="L812" s="42"/>
      <c r="M812" s="42"/>
      <c r="N812" s="42"/>
      <c r="O812" s="42"/>
      <c r="P812" s="42"/>
      <c r="Q812" s="42"/>
    </row>
    <row r="813">
      <c r="A813" s="50"/>
      <c r="B813" s="42"/>
      <c r="C813" s="42"/>
      <c r="D813" s="42"/>
      <c r="E813" s="42"/>
      <c r="F813" s="42"/>
      <c r="G813" s="42"/>
      <c r="H813" s="42"/>
      <c r="I813" s="48"/>
      <c r="J813" s="50"/>
      <c r="K813" s="42"/>
      <c r="L813" s="42"/>
      <c r="M813" s="42"/>
      <c r="N813" s="42"/>
      <c r="O813" s="42"/>
      <c r="P813" s="42"/>
      <c r="Q813" s="42"/>
    </row>
    <row r="814">
      <c r="A814" s="50"/>
      <c r="B814" s="42"/>
      <c r="C814" s="42"/>
      <c r="D814" s="42"/>
      <c r="E814" s="42"/>
      <c r="F814" s="42"/>
      <c r="G814" s="42"/>
      <c r="H814" s="42"/>
      <c r="I814" s="48"/>
      <c r="J814" s="50"/>
      <c r="K814" s="42"/>
      <c r="L814" s="42"/>
      <c r="M814" s="42"/>
      <c r="N814" s="42"/>
      <c r="O814" s="42"/>
      <c r="P814" s="42"/>
      <c r="Q814" s="42"/>
    </row>
    <row r="815">
      <c r="A815" s="50"/>
      <c r="B815" s="42"/>
      <c r="C815" s="42"/>
      <c r="D815" s="42"/>
      <c r="E815" s="42"/>
      <c r="F815" s="42"/>
      <c r="G815" s="42"/>
      <c r="H815" s="42"/>
      <c r="I815" s="48"/>
      <c r="J815" s="50"/>
      <c r="K815" s="42"/>
      <c r="L815" s="42"/>
      <c r="M815" s="42"/>
      <c r="N815" s="42"/>
      <c r="O815" s="42"/>
      <c r="P815" s="42"/>
      <c r="Q815" s="42"/>
    </row>
    <row r="816">
      <c r="A816" s="50"/>
      <c r="B816" s="42"/>
      <c r="C816" s="42"/>
      <c r="D816" s="42"/>
      <c r="E816" s="42"/>
      <c r="F816" s="42"/>
      <c r="G816" s="42"/>
      <c r="H816" s="42"/>
      <c r="I816" s="48"/>
      <c r="J816" s="50"/>
      <c r="K816" s="42"/>
      <c r="L816" s="42"/>
      <c r="M816" s="42"/>
      <c r="N816" s="42"/>
      <c r="O816" s="42"/>
      <c r="P816" s="42"/>
      <c r="Q816" s="42"/>
    </row>
    <row r="817">
      <c r="A817" s="50"/>
      <c r="B817" s="42"/>
      <c r="C817" s="42"/>
      <c r="D817" s="42"/>
      <c r="E817" s="42"/>
      <c r="F817" s="42"/>
      <c r="G817" s="42"/>
      <c r="H817" s="42"/>
      <c r="I817" s="48"/>
      <c r="J817" s="50"/>
      <c r="K817" s="42"/>
      <c r="L817" s="42"/>
      <c r="M817" s="42"/>
      <c r="N817" s="42"/>
      <c r="O817" s="42"/>
      <c r="P817" s="42"/>
      <c r="Q817" s="42"/>
    </row>
    <row r="818">
      <c r="A818" s="50"/>
      <c r="B818" s="42"/>
      <c r="C818" s="42"/>
      <c r="D818" s="42"/>
      <c r="E818" s="42"/>
      <c r="F818" s="42"/>
      <c r="G818" s="42"/>
      <c r="H818" s="42"/>
      <c r="I818" s="48"/>
      <c r="J818" s="50"/>
      <c r="K818" s="42"/>
      <c r="L818" s="42"/>
      <c r="M818" s="42"/>
      <c r="N818" s="42"/>
      <c r="O818" s="42"/>
      <c r="P818" s="42"/>
      <c r="Q818" s="42"/>
    </row>
    <row r="819">
      <c r="A819" s="50"/>
      <c r="B819" s="42"/>
      <c r="C819" s="42"/>
      <c r="D819" s="42"/>
      <c r="E819" s="42"/>
      <c r="F819" s="42"/>
      <c r="G819" s="42"/>
      <c r="H819" s="42"/>
      <c r="I819" s="48"/>
      <c r="J819" s="50"/>
      <c r="K819" s="42"/>
      <c r="L819" s="42"/>
      <c r="M819" s="42"/>
      <c r="N819" s="42"/>
      <c r="O819" s="42"/>
      <c r="P819" s="42"/>
      <c r="Q819" s="42"/>
    </row>
    <row r="820">
      <c r="A820" s="50"/>
      <c r="B820" s="42"/>
      <c r="C820" s="42"/>
      <c r="D820" s="42"/>
      <c r="E820" s="42"/>
      <c r="F820" s="42"/>
      <c r="G820" s="42"/>
      <c r="H820" s="42"/>
      <c r="I820" s="48"/>
      <c r="J820" s="50"/>
      <c r="K820" s="42"/>
      <c r="L820" s="42"/>
      <c r="M820" s="42"/>
      <c r="N820" s="42"/>
      <c r="O820" s="42"/>
      <c r="P820" s="42"/>
      <c r="Q820" s="42"/>
    </row>
    <row r="821">
      <c r="A821" s="50"/>
      <c r="B821" s="42"/>
      <c r="C821" s="42"/>
      <c r="D821" s="42"/>
      <c r="E821" s="42"/>
      <c r="F821" s="42"/>
      <c r="G821" s="42"/>
      <c r="H821" s="42"/>
      <c r="I821" s="48"/>
      <c r="J821" s="50"/>
      <c r="K821" s="42"/>
      <c r="L821" s="42"/>
      <c r="M821" s="42"/>
      <c r="N821" s="42"/>
      <c r="O821" s="42"/>
      <c r="P821" s="42"/>
      <c r="Q821" s="42"/>
    </row>
    <row r="822">
      <c r="A822" s="50"/>
      <c r="B822" s="42"/>
      <c r="C822" s="42"/>
      <c r="D822" s="42"/>
      <c r="E822" s="42"/>
      <c r="F822" s="42"/>
      <c r="G822" s="42"/>
      <c r="H822" s="42"/>
      <c r="I822" s="48"/>
      <c r="J822" s="50"/>
      <c r="K822" s="42"/>
      <c r="L822" s="42"/>
      <c r="M822" s="42"/>
      <c r="N822" s="42"/>
      <c r="O822" s="42"/>
      <c r="P822" s="42"/>
      <c r="Q822" s="42"/>
    </row>
    <row r="823">
      <c r="A823" s="50"/>
      <c r="B823" s="42"/>
      <c r="C823" s="42"/>
      <c r="D823" s="42"/>
      <c r="E823" s="42"/>
      <c r="F823" s="42"/>
      <c r="G823" s="42"/>
      <c r="H823" s="42"/>
      <c r="I823" s="48"/>
      <c r="J823" s="50"/>
      <c r="K823" s="42"/>
      <c r="L823" s="42"/>
      <c r="M823" s="42"/>
      <c r="N823" s="42"/>
      <c r="O823" s="42"/>
      <c r="P823" s="42"/>
      <c r="Q823" s="42"/>
    </row>
    <row r="824">
      <c r="A824" s="50"/>
      <c r="B824" s="42"/>
      <c r="C824" s="42"/>
      <c r="D824" s="42"/>
      <c r="E824" s="42"/>
      <c r="F824" s="42"/>
      <c r="G824" s="42"/>
      <c r="H824" s="42"/>
      <c r="I824" s="48"/>
      <c r="J824" s="50"/>
      <c r="K824" s="42"/>
      <c r="L824" s="42"/>
      <c r="M824" s="42"/>
      <c r="N824" s="42"/>
      <c r="O824" s="42"/>
      <c r="P824" s="42"/>
      <c r="Q824" s="42"/>
    </row>
    <row r="825">
      <c r="A825" s="50"/>
      <c r="B825" s="42"/>
      <c r="C825" s="42"/>
      <c r="D825" s="42"/>
      <c r="E825" s="42"/>
      <c r="F825" s="42"/>
      <c r="G825" s="42"/>
      <c r="H825" s="42"/>
      <c r="I825" s="48"/>
      <c r="J825" s="50"/>
      <c r="K825" s="42"/>
      <c r="L825" s="42"/>
      <c r="M825" s="42"/>
      <c r="N825" s="42"/>
      <c r="O825" s="42"/>
      <c r="P825" s="42"/>
      <c r="Q825" s="42"/>
    </row>
    <row r="826">
      <c r="A826" s="50"/>
      <c r="B826" s="42"/>
      <c r="C826" s="42"/>
      <c r="D826" s="42"/>
      <c r="E826" s="42"/>
      <c r="F826" s="42"/>
      <c r="G826" s="42"/>
      <c r="H826" s="42"/>
      <c r="I826" s="48"/>
      <c r="J826" s="50"/>
      <c r="K826" s="42"/>
      <c r="L826" s="42"/>
      <c r="M826" s="42"/>
      <c r="N826" s="42"/>
      <c r="O826" s="42"/>
      <c r="P826" s="42"/>
      <c r="Q826" s="42"/>
    </row>
    <row r="827">
      <c r="A827" s="50"/>
      <c r="B827" s="42"/>
      <c r="C827" s="42"/>
      <c r="D827" s="42"/>
      <c r="E827" s="42"/>
      <c r="F827" s="42"/>
      <c r="G827" s="42"/>
      <c r="H827" s="42"/>
      <c r="I827" s="48"/>
      <c r="J827" s="50"/>
      <c r="K827" s="42"/>
      <c r="L827" s="42"/>
      <c r="M827" s="42"/>
      <c r="N827" s="42"/>
      <c r="O827" s="42"/>
      <c r="P827" s="42"/>
      <c r="Q827" s="42"/>
    </row>
    <row r="828">
      <c r="A828" s="50"/>
      <c r="B828" s="42"/>
      <c r="C828" s="42"/>
      <c r="D828" s="42"/>
      <c r="E828" s="42"/>
      <c r="F828" s="42"/>
      <c r="G828" s="42"/>
      <c r="H828" s="42"/>
      <c r="I828" s="48"/>
      <c r="J828" s="50"/>
      <c r="K828" s="42"/>
      <c r="L828" s="42"/>
      <c r="M828" s="42"/>
      <c r="N828" s="42"/>
      <c r="O828" s="42"/>
      <c r="P828" s="42"/>
      <c r="Q828" s="42"/>
    </row>
    <row r="829">
      <c r="A829" s="50"/>
      <c r="B829" s="42"/>
      <c r="C829" s="42"/>
      <c r="D829" s="42"/>
      <c r="E829" s="42"/>
      <c r="F829" s="42"/>
      <c r="G829" s="42"/>
      <c r="H829" s="42"/>
      <c r="I829" s="48"/>
      <c r="J829" s="50"/>
      <c r="K829" s="42"/>
      <c r="L829" s="42"/>
      <c r="M829" s="42"/>
      <c r="N829" s="42"/>
      <c r="O829" s="42"/>
      <c r="P829" s="42"/>
      <c r="Q829" s="42"/>
    </row>
    <row r="830">
      <c r="A830" s="50"/>
      <c r="B830" s="42"/>
      <c r="C830" s="42"/>
      <c r="D830" s="42"/>
      <c r="E830" s="42"/>
      <c r="F830" s="42"/>
      <c r="G830" s="42"/>
      <c r="H830" s="42"/>
      <c r="I830" s="48"/>
      <c r="J830" s="50"/>
      <c r="K830" s="42"/>
      <c r="L830" s="42"/>
      <c r="M830" s="42"/>
      <c r="N830" s="42"/>
      <c r="O830" s="42"/>
      <c r="P830" s="42"/>
      <c r="Q830" s="42"/>
    </row>
    <row r="831">
      <c r="A831" s="50"/>
      <c r="B831" s="42"/>
      <c r="C831" s="42"/>
      <c r="D831" s="42"/>
      <c r="E831" s="42"/>
      <c r="F831" s="42"/>
      <c r="G831" s="42"/>
      <c r="H831" s="42"/>
      <c r="I831" s="48"/>
      <c r="J831" s="50"/>
      <c r="K831" s="42"/>
      <c r="L831" s="42"/>
      <c r="M831" s="42"/>
      <c r="N831" s="42"/>
      <c r="O831" s="42"/>
      <c r="P831" s="42"/>
      <c r="Q831" s="42"/>
    </row>
    <row r="832">
      <c r="A832" s="50"/>
      <c r="B832" s="42"/>
      <c r="C832" s="42"/>
      <c r="D832" s="42"/>
      <c r="E832" s="42"/>
      <c r="F832" s="42"/>
      <c r="G832" s="42"/>
      <c r="H832" s="42"/>
      <c r="I832" s="48"/>
      <c r="J832" s="50"/>
      <c r="K832" s="42"/>
      <c r="L832" s="42"/>
      <c r="M832" s="42"/>
      <c r="N832" s="42"/>
      <c r="O832" s="42"/>
      <c r="P832" s="42"/>
      <c r="Q832" s="42"/>
    </row>
    <row r="833">
      <c r="A833" s="50"/>
      <c r="B833" s="42"/>
      <c r="C833" s="42"/>
      <c r="D833" s="42"/>
      <c r="E833" s="42"/>
      <c r="F833" s="42"/>
      <c r="G833" s="42"/>
      <c r="H833" s="42"/>
      <c r="I833" s="48"/>
      <c r="J833" s="50"/>
      <c r="K833" s="42"/>
      <c r="L833" s="42"/>
      <c r="M833" s="42"/>
      <c r="N833" s="42"/>
      <c r="O833" s="42"/>
      <c r="P833" s="42"/>
      <c r="Q833" s="42"/>
    </row>
    <row r="834">
      <c r="A834" s="50"/>
      <c r="B834" s="42"/>
      <c r="C834" s="42"/>
      <c r="D834" s="42"/>
      <c r="E834" s="42"/>
      <c r="F834" s="42"/>
      <c r="G834" s="42"/>
      <c r="H834" s="42"/>
      <c r="I834" s="48"/>
      <c r="J834" s="50"/>
      <c r="K834" s="42"/>
      <c r="L834" s="42"/>
      <c r="M834" s="42"/>
      <c r="N834" s="42"/>
      <c r="O834" s="42"/>
      <c r="P834" s="42"/>
      <c r="Q834" s="42"/>
    </row>
    <row r="835">
      <c r="A835" s="50"/>
      <c r="B835" s="42"/>
      <c r="C835" s="42"/>
      <c r="D835" s="42"/>
      <c r="E835" s="42"/>
      <c r="F835" s="42"/>
      <c r="G835" s="42"/>
      <c r="H835" s="42"/>
      <c r="I835" s="48"/>
      <c r="J835" s="50"/>
      <c r="K835" s="42"/>
      <c r="L835" s="42"/>
      <c r="M835" s="42"/>
      <c r="N835" s="42"/>
      <c r="O835" s="42"/>
      <c r="P835" s="42"/>
      <c r="Q835" s="42"/>
    </row>
    <row r="836">
      <c r="A836" s="50"/>
      <c r="B836" s="42"/>
      <c r="C836" s="42"/>
      <c r="D836" s="42"/>
      <c r="E836" s="42"/>
      <c r="F836" s="42"/>
      <c r="G836" s="42"/>
      <c r="H836" s="42"/>
      <c r="I836" s="48"/>
      <c r="J836" s="50"/>
      <c r="K836" s="42"/>
      <c r="L836" s="42"/>
      <c r="M836" s="42"/>
      <c r="N836" s="42"/>
      <c r="O836" s="42"/>
      <c r="P836" s="42"/>
      <c r="Q836" s="42"/>
    </row>
    <row r="837">
      <c r="A837" s="50"/>
      <c r="B837" s="42"/>
      <c r="C837" s="42"/>
      <c r="D837" s="42"/>
      <c r="E837" s="42"/>
      <c r="F837" s="42"/>
      <c r="G837" s="42"/>
      <c r="H837" s="42"/>
      <c r="I837" s="48"/>
      <c r="J837" s="50"/>
      <c r="K837" s="42"/>
      <c r="L837" s="42"/>
      <c r="M837" s="42"/>
      <c r="N837" s="42"/>
      <c r="O837" s="42"/>
      <c r="P837" s="42"/>
      <c r="Q837" s="42"/>
    </row>
    <row r="838">
      <c r="A838" s="50"/>
      <c r="B838" s="42"/>
      <c r="C838" s="42"/>
      <c r="D838" s="42"/>
      <c r="E838" s="42"/>
      <c r="F838" s="42"/>
      <c r="G838" s="42"/>
      <c r="H838" s="42"/>
      <c r="I838" s="48"/>
      <c r="J838" s="50"/>
      <c r="K838" s="42"/>
      <c r="L838" s="42"/>
      <c r="M838" s="42"/>
      <c r="N838" s="42"/>
      <c r="O838" s="42"/>
      <c r="P838" s="42"/>
      <c r="Q838" s="42"/>
    </row>
    <row r="839">
      <c r="A839" s="50"/>
      <c r="B839" s="42"/>
      <c r="C839" s="42"/>
      <c r="D839" s="42"/>
      <c r="E839" s="42"/>
      <c r="F839" s="42"/>
      <c r="G839" s="42"/>
      <c r="H839" s="42"/>
      <c r="I839" s="48"/>
      <c r="J839" s="50"/>
      <c r="K839" s="42"/>
      <c r="L839" s="42"/>
      <c r="M839" s="42"/>
      <c r="N839" s="42"/>
      <c r="O839" s="42"/>
      <c r="P839" s="42"/>
      <c r="Q839" s="42"/>
    </row>
    <row r="840">
      <c r="A840" s="50"/>
      <c r="B840" s="42"/>
      <c r="C840" s="42"/>
      <c r="D840" s="42"/>
      <c r="E840" s="42"/>
      <c r="F840" s="42"/>
      <c r="G840" s="42"/>
      <c r="H840" s="42"/>
      <c r="I840" s="48"/>
      <c r="J840" s="50"/>
      <c r="K840" s="42"/>
      <c r="L840" s="42"/>
      <c r="M840" s="42"/>
      <c r="N840" s="42"/>
      <c r="O840" s="42"/>
      <c r="P840" s="42"/>
      <c r="Q840" s="42"/>
    </row>
    <row r="841">
      <c r="A841" s="50"/>
      <c r="B841" s="42"/>
      <c r="C841" s="42"/>
      <c r="D841" s="42"/>
      <c r="E841" s="42"/>
      <c r="F841" s="42"/>
      <c r="G841" s="42"/>
      <c r="H841" s="42"/>
      <c r="I841" s="48"/>
      <c r="J841" s="50"/>
      <c r="K841" s="42"/>
      <c r="L841" s="42"/>
      <c r="M841" s="42"/>
      <c r="N841" s="42"/>
      <c r="O841" s="42"/>
      <c r="P841" s="42"/>
      <c r="Q841" s="42"/>
    </row>
    <row r="842">
      <c r="A842" s="50"/>
      <c r="B842" s="42"/>
      <c r="C842" s="42"/>
      <c r="D842" s="42"/>
      <c r="E842" s="42"/>
      <c r="F842" s="42"/>
      <c r="G842" s="42"/>
      <c r="H842" s="42"/>
      <c r="I842" s="48"/>
      <c r="J842" s="50"/>
      <c r="K842" s="42"/>
      <c r="L842" s="42"/>
      <c r="M842" s="42"/>
      <c r="N842" s="42"/>
      <c r="O842" s="42"/>
      <c r="P842" s="42"/>
      <c r="Q842" s="42"/>
    </row>
    <row r="843">
      <c r="A843" s="50"/>
      <c r="B843" s="42"/>
      <c r="C843" s="42"/>
      <c r="D843" s="42"/>
      <c r="E843" s="42"/>
      <c r="F843" s="42"/>
      <c r="G843" s="42"/>
      <c r="H843" s="42"/>
      <c r="I843" s="48"/>
      <c r="J843" s="50"/>
      <c r="K843" s="42"/>
      <c r="L843" s="42"/>
      <c r="M843" s="42"/>
      <c r="N843" s="42"/>
      <c r="O843" s="42"/>
      <c r="P843" s="42"/>
      <c r="Q843" s="42"/>
    </row>
    <row r="844">
      <c r="A844" s="50"/>
      <c r="B844" s="42"/>
      <c r="C844" s="42"/>
      <c r="D844" s="42"/>
      <c r="E844" s="42"/>
      <c r="F844" s="42"/>
      <c r="G844" s="42"/>
      <c r="H844" s="42"/>
      <c r="I844" s="48"/>
      <c r="J844" s="50"/>
      <c r="K844" s="42"/>
      <c r="L844" s="42"/>
      <c r="M844" s="42"/>
      <c r="N844" s="42"/>
      <c r="O844" s="42"/>
      <c r="P844" s="42"/>
      <c r="Q844" s="42"/>
    </row>
    <row r="845">
      <c r="A845" s="50"/>
      <c r="B845" s="42"/>
      <c r="C845" s="42"/>
      <c r="D845" s="42"/>
      <c r="E845" s="42"/>
      <c r="F845" s="42"/>
      <c r="G845" s="42"/>
      <c r="H845" s="42"/>
      <c r="I845" s="48"/>
      <c r="J845" s="50"/>
      <c r="K845" s="42"/>
      <c r="L845" s="42"/>
      <c r="M845" s="42"/>
      <c r="N845" s="42"/>
      <c r="O845" s="42"/>
      <c r="P845" s="42"/>
      <c r="Q845" s="42"/>
    </row>
    <row r="846">
      <c r="A846" s="50"/>
      <c r="B846" s="42"/>
      <c r="C846" s="42"/>
      <c r="D846" s="42"/>
      <c r="E846" s="42"/>
      <c r="F846" s="42"/>
      <c r="G846" s="42"/>
      <c r="H846" s="42"/>
      <c r="I846" s="48"/>
      <c r="J846" s="50"/>
      <c r="K846" s="42"/>
      <c r="L846" s="42"/>
      <c r="M846" s="42"/>
      <c r="N846" s="42"/>
      <c r="O846" s="42"/>
      <c r="P846" s="42"/>
      <c r="Q846" s="42"/>
    </row>
    <row r="847">
      <c r="A847" s="50"/>
      <c r="B847" s="42"/>
      <c r="C847" s="42"/>
      <c r="D847" s="42"/>
      <c r="E847" s="42"/>
      <c r="F847" s="42"/>
      <c r="G847" s="42"/>
      <c r="H847" s="42"/>
      <c r="I847" s="48"/>
      <c r="J847" s="50"/>
      <c r="K847" s="42"/>
      <c r="L847" s="42"/>
      <c r="M847" s="42"/>
      <c r="N847" s="42"/>
      <c r="O847" s="42"/>
      <c r="P847" s="42"/>
      <c r="Q847" s="42"/>
    </row>
    <row r="848">
      <c r="A848" s="50"/>
      <c r="B848" s="42"/>
      <c r="C848" s="42"/>
      <c r="D848" s="42"/>
      <c r="E848" s="42"/>
      <c r="F848" s="42"/>
      <c r="G848" s="42"/>
      <c r="H848" s="42"/>
      <c r="I848" s="48"/>
      <c r="J848" s="50"/>
      <c r="K848" s="42"/>
      <c r="L848" s="42"/>
      <c r="M848" s="42"/>
      <c r="N848" s="42"/>
      <c r="O848" s="42"/>
      <c r="P848" s="42"/>
      <c r="Q848" s="42"/>
    </row>
    <row r="849">
      <c r="A849" s="50"/>
      <c r="B849" s="42"/>
      <c r="C849" s="42"/>
      <c r="D849" s="42"/>
      <c r="E849" s="42"/>
      <c r="F849" s="42"/>
      <c r="G849" s="42"/>
      <c r="H849" s="42"/>
      <c r="I849" s="48"/>
      <c r="J849" s="50"/>
      <c r="K849" s="42"/>
      <c r="L849" s="42"/>
      <c r="M849" s="42"/>
      <c r="N849" s="42"/>
      <c r="O849" s="42"/>
      <c r="P849" s="42"/>
      <c r="Q849" s="42"/>
    </row>
    <row r="850">
      <c r="A850" s="50"/>
      <c r="B850" s="42"/>
      <c r="C850" s="42"/>
      <c r="D850" s="42"/>
      <c r="E850" s="42"/>
      <c r="F850" s="42"/>
      <c r="G850" s="42"/>
      <c r="H850" s="42"/>
      <c r="I850" s="48"/>
      <c r="J850" s="50"/>
      <c r="K850" s="42"/>
      <c r="L850" s="42"/>
      <c r="M850" s="42"/>
      <c r="N850" s="42"/>
      <c r="O850" s="42"/>
      <c r="P850" s="42"/>
      <c r="Q850" s="42"/>
    </row>
    <row r="851">
      <c r="A851" s="50"/>
      <c r="B851" s="42"/>
      <c r="C851" s="42"/>
      <c r="D851" s="42"/>
      <c r="E851" s="42"/>
      <c r="F851" s="42"/>
      <c r="G851" s="42"/>
      <c r="H851" s="42"/>
      <c r="I851" s="48"/>
      <c r="J851" s="50"/>
      <c r="K851" s="42"/>
      <c r="L851" s="42"/>
      <c r="M851" s="42"/>
      <c r="N851" s="42"/>
      <c r="O851" s="42"/>
      <c r="P851" s="42"/>
      <c r="Q851" s="42"/>
    </row>
    <row r="852">
      <c r="A852" s="50"/>
      <c r="B852" s="42"/>
      <c r="C852" s="42"/>
      <c r="D852" s="42"/>
      <c r="E852" s="42"/>
      <c r="F852" s="42"/>
      <c r="G852" s="42"/>
      <c r="H852" s="42"/>
      <c r="I852" s="48"/>
      <c r="J852" s="50"/>
      <c r="K852" s="42"/>
      <c r="L852" s="42"/>
      <c r="M852" s="42"/>
      <c r="N852" s="42"/>
      <c r="O852" s="42"/>
      <c r="P852" s="42"/>
      <c r="Q852" s="42"/>
    </row>
    <row r="853">
      <c r="A853" s="50"/>
      <c r="B853" s="42"/>
      <c r="C853" s="42"/>
      <c r="D853" s="42"/>
      <c r="E853" s="42"/>
      <c r="F853" s="42"/>
      <c r="G853" s="42"/>
      <c r="H853" s="42"/>
      <c r="I853" s="48"/>
      <c r="J853" s="50"/>
      <c r="K853" s="42"/>
      <c r="L853" s="42"/>
      <c r="M853" s="42"/>
      <c r="N853" s="42"/>
      <c r="O853" s="42"/>
      <c r="P853" s="42"/>
      <c r="Q853" s="42"/>
    </row>
    <row r="854">
      <c r="A854" s="50"/>
      <c r="B854" s="42"/>
      <c r="C854" s="42"/>
      <c r="D854" s="42"/>
      <c r="E854" s="42"/>
      <c r="F854" s="42"/>
      <c r="G854" s="42"/>
      <c r="H854" s="42"/>
      <c r="I854" s="48"/>
      <c r="J854" s="50"/>
      <c r="K854" s="42"/>
      <c r="L854" s="42"/>
      <c r="M854" s="42"/>
      <c r="N854" s="42"/>
      <c r="O854" s="42"/>
      <c r="P854" s="42"/>
      <c r="Q854" s="42"/>
    </row>
    <row r="855">
      <c r="A855" s="50"/>
      <c r="B855" s="42"/>
      <c r="C855" s="42"/>
      <c r="D855" s="42"/>
      <c r="E855" s="42"/>
      <c r="F855" s="42"/>
      <c r="G855" s="42"/>
      <c r="H855" s="42"/>
      <c r="I855" s="48"/>
      <c r="J855" s="50"/>
      <c r="K855" s="42"/>
      <c r="L855" s="42"/>
      <c r="M855" s="42"/>
      <c r="N855" s="42"/>
      <c r="O855" s="42"/>
      <c r="P855" s="42"/>
      <c r="Q855" s="42"/>
    </row>
    <row r="856">
      <c r="A856" s="50"/>
      <c r="B856" s="42"/>
      <c r="C856" s="42"/>
      <c r="D856" s="42"/>
      <c r="E856" s="42"/>
      <c r="F856" s="42"/>
      <c r="G856" s="42"/>
      <c r="H856" s="42"/>
      <c r="I856" s="48"/>
      <c r="J856" s="50"/>
      <c r="K856" s="42"/>
      <c r="L856" s="42"/>
      <c r="M856" s="42"/>
      <c r="N856" s="42"/>
      <c r="O856" s="42"/>
      <c r="P856" s="42"/>
      <c r="Q856" s="42"/>
    </row>
    <row r="857">
      <c r="A857" s="50"/>
      <c r="B857" s="42"/>
      <c r="C857" s="42"/>
      <c r="D857" s="42"/>
      <c r="E857" s="42"/>
      <c r="F857" s="42"/>
      <c r="G857" s="42"/>
      <c r="H857" s="42"/>
      <c r="I857" s="48"/>
      <c r="J857" s="50"/>
      <c r="K857" s="42"/>
      <c r="L857" s="42"/>
      <c r="M857" s="42"/>
      <c r="N857" s="42"/>
      <c r="O857" s="42"/>
      <c r="P857" s="42"/>
      <c r="Q857" s="42"/>
    </row>
    <row r="858">
      <c r="A858" s="50"/>
      <c r="B858" s="42"/>
      <c r="C858" s="42"/>
      <c r="D858" s="42"/>
      <c r="E858" s="42"/>
      <c r="F858" s="42"/>
      <c r="G858" s="42"/>
      <c r="H858" s="42"/>
      <c r="I858" s="48"/>
      <c r="J858" s="50"/>
      <c r="K858" s="42"/>
      <c r="L858" s="42"/>
      <c r="M858" s="42"/>
      <c r="N858" s="42"/>
      <c r="O858" s="42"/>
      <c r="P858" s="42"/>
      <c r="Q858" s="42"/>
    </row>
    <row r="859">
      <c r="A859" s="50"/>
      <c r="B859" s="42"/>
      <c r="C859" s="42"/>
      <c r="D859" s="42"/>
      <c r="E859" s="42"/>
      <c r="F859" s="42"/>
      <c r="G859" s="42"/>
      <c r="H859" s="42"/>
      <c r="I859" s="48"/>
      <c r="J859" s="50"/>
      <c r="K859" s="42"/>
      <c r="L859" s="42"/>
      <c r="M859" s="42"/>
      <c r="N859" s="42"/>
      <c r="O859" s="42"/>
      <c r="P859" s="42"/>
      <c r="Q859" s="42"/>
    </row>
    <row r="860">
      <c r="A860" s="50"/>
      <c r="B860" s="42"/>
      <c r="C860" s="42"/>
      <c r="D860" s="42"/>
      <c r="E860" s="42"/>
      <c r="F860" s="42"/>
      <c r="G860" s="42"/>
      <c r="H860" s="42"/>
      <c r="I860" s="48"/>
      <c r="J860" s="50"/>
      <c r="K860" s="42"/>
      <c r="L860" s="42"/>
      <c r="M860" s="42"/>
      <c r="N860" s="42"/>
      <c r="O860" s="42"/>
      <c r="P860" s="42"/>
      <c r="Q860" s="42"/>
    </row>
    <row r="861">
      <c r="A861" s="50"/>
      <c r="B861" s="42"/>
      <c r="C861" s="42"/>
      <c r="D861" s="42"/>
      <c r="E861" s="42"/>
      <c r="F861" s="42"/>
      <c r="G861" s="42"/>
      <c r="H861" s="42"/>
      <c r="I861" s="48"/>
      <c r="J861" s="50"/>
      <c r="K861" s="42"/>
      <c r="L861" s="42"/>
      <c r="M861" s="42"/>
      <c r="N861" s="42"/>
      <c r="O861" s="42"/>
      <c r="P861" s="42"/>
      <c r="Q861" s="42"/>
    </row>
    <row r="862">
      <c r="A862" s="50"/>
      <c r="B862" s="42"/>
      <c r="C862" s="42"/>
      <c r="D862" s="42"/>
      <c r="E862" s="42"/>
      <c r="F862" s="42"/>
      <c r="G862" s="42"/>
      <c r="H862" s="42"/>
      <c r="I862" s="48"/>
      <c r="J862" s="50"/>
      <c r="K862" s="42"/>
      <c r="L862" s="42"/>
      <c r="M862" s="42"/>
      <c r="N862" s="42"/>
      <c r="O862" s="42"/>
      <c r="P862" s="42"/>
      <c r="Q862" s="42"/>
    </row>
    <row r="863">
      <c r="A863" s="50"/>
      <c r="B863" s="42"/>
      <c r="C863" s="42"/>
      <c r="D863" s="42"/>
      <c r="E863" s="42"/>
      <c r="F863" s="42"/>
      <c r="G863" s="42"/>
      <c r="H863" s="42"/>
      <c r="I863" s="48"/>
      <c r="J863" s="50"/>
      <c r="K863" s="42"/>
      <c r="L863" s="42"/>
      <c r="M863" s="42"/>
      <c r="N863" s="42"/>
      <c r="O863" s="42"/>
      <c r="P863" s="42"/>
      <c r="Q863" s="42"/>
    </row>
    <row r="864">
      <c r="A864" s="50"/>
      <c r="B864" s="42"/>
      <c r="C864" s="42"/>
      <c r="D864" s="42"/>
      <c r="E864" s="42"/>
      <c r="F864" s="42"/>
      <c r="G864" s="42"/>
      <c r="H864" s="42"/>
      <c r="I864" s="48"/>
      <c r="J864" s="50"/>
      <c r="K864" s="42"/>
      <c r="L864" s="42"/>
      <c r="M864" s="42"/>
      <c r="N864" s="42"/>
      <c r="O864" s="42"/>
      <c r="P864" s="42"/>
      <c r="Q864" s="42"/>
    </row>
    <row r="865">
      <c r="A865" s="50"/>
      <c r="B865" s="42"/>
      <c r="C865" s="42"/>
      <c r="D865" s="42"/>
      <c r="E865" s="42"/>
      <c r="F865" s="42"/>
      <c r="G865" s="42"/>
      <c r="H865" s="42"/>
      <c r="I865" s="48"/>
      <c r="J865" s="50"/>
      <c r="K865" s="42"/>
      <c r="L865" s="42"/>
      <c r="M865" s="42"/>
      <c r="N865" s="42"/>
      <c r="O865" s="42"/>
      <c r="P865" s="42"/>
      <c r="Q865" s="42"/>
    </row>
    <row r="866">
      <c r="A866" s="50"/>
      <c r="B866" s="42"/>
      <c r="C866" s="42"/>
      <c r="D866" s="42"/>
      <c r="E866" s="42"/>
      <c r="F866" s="42"/>
      <c r="G866" s="42"/>
      <c r="H866" s="42"/>
      <c r="I866" s="48"/>
      <c r="J866" s="50"/>
      <c r="K866" s="42"/>
      <c r="L866" s="42"/>
      <c r="M866" s="42"/>
      <c r="N866" s="42"/>
      <c r="O866" s="42"/>
      <c r="P866" s="42"/>
      <c r="Q866" s="42"/>
    </row>
    <row r="867">
      <c r="A867" s="50"/>
      <c r="B867" s="42"/>
      <c r="C867" s="42"/>
      <c r="D867" s="42"/>
      <c r="E867" s="42"/>
      <c r="F867" s="42"/>
      <c r="G867" s="42"/>
      <c r="H867" s="42"/>
      <c r="I867" s="48"/>
      <c r="J867" s="50"/>
      <c r="K867" s="42"/>
      <c r="L867" s="42"/>
      <c r="M867" s="42"/>
      <c r="N867" s="42"/>
      <c r="O867" s="42"/>
      <c r="P867" s="42"/>
      <c r="Q867" s="42"/>
    </row>
    <row r="868">
      <c r="A868" s="50"/>
      <c r="B868" s="42"/>
      <c r="C868" s="42"/>
      <c r="D868" s="42"/>
      <c r="E868" s="42"/>
      <c r="F868" s="42"/>
      <c r="G868" s="42"/>
      <c r="H868" s="42"/>
      <c r="I868" s="48"/>
      <c r="J868" s="50"/>
      <c r="K868" s="42"/>
      <c r="L868" s="42"/>
      <c r="M868" s="42"/>
      <c r="N868" s="42"/>
      <c r="O868" s="42"/>
      <c r="P868" s="42"/>
      <c r="Q868" s="42"/>
    </row>
    <row r="869">
      <c r="A869" s="50"/>
      <c r="B869" s="42"/>
      <c r="C869" s="42"/>
      <c r="D869" s="42"/>
      <c r="E869" s="42"/>
      <c r="F869" s="42"/>
      <c r="G869" s="42"/>
      <c r="H869" s="42"/>
      <c r="I869" s="48"/>
      <c r="J869" s="50"/>
      <c r="K869" s="42"/>
      <c r="L869" s="42"/>
      <c r="M869" s="42"/>
      <c r="N869" s="42"/>
      <c r="O869" s="42"/>
      <c r="P869" s="42"/>
      <c r="Q869" s="42"/>
    </row>
    <row r="870">
      <c r="A870" s="50"/>
      <c r="B870" s="42"/>
      <c r="C870" s="42"/>
      <c r="D870" s="42"/>
      <c r="E870" s="42"/>
      <c r="F870" s="42"/>
      <c r="G870" s="42"/>
      <c r="H870" s="42"/>
      <c r="I870" s="48"/>
      <c r="J870" s="50"/>
      <c r="K870" s="42"/>
      <c r="L870" s="42"/>
      <c r="M870" s="42"/>
      <c r="N870" s="42"/>
      <c r="O870" s="42"/>
      <c r="P870" s="42"/>
      <c r="Q870" s="42"/>
    </row>
    <row r="871">
      <c r="A871" s="50"/>
      <c r="B871" s="42"/>
      <c r="C871" s="42"/>
      <c r="D871" s="42"/>
      <c r="E871" s="42"/>
      <c r="F871" s="42"/>
      <c r="G871" s="42"/>
      <c r="H871" s="42"/>
      <c r="I871" s="48"/>
      <c r="J871" s="50"/>
      <c r="K871" s="42"/>
      <c r="L871" s="42"/>
      <c r="M871" s="42"/>
      <c r="N871" s="42"/>
      <c r="O871" s="42"/>
      <c r="P871" s="42"/>
      <c r="Q871" s="42"/>
    </row>
    <row r="872">
      <c r="A872" s="50"/>
      <c r="B872" s="42"/>
      <c r="C872" s="42"/>
      <c r="D872" s="42"/>
      <c r="E872" s="42"/>
      <c r="F872" s="42"/>
      <c r="G872" s="42"/>
      <c r="H872" s="42"/>
      <c r="I872" s="48"/>
      <c r="J872" s="50"/>
      <c r="K872" s="42"/>
      <c r="L872" s="42"/>
      <c r="M872" s="42"/>
      <c r="N872" s="42"/>
      <c r="O872" s="42"/>
      <c r="P872" s="42"/>
      <c r="Q872" s="42"/>
    </row>
    <row r="873">
      <c r="A873" s="50"/>
      <c r="B873" s="42"/>
      <c r="C873" s="42"/>
      <c r="D873" s="42"/>
      <c r="E873" s="42"/>
      <c r="F873" s="42"/>
      <c r="G873" s="42"/>
      <c r="H873" s="42"/>
      <c r="I873" s="48"/>
      <c r="J873" s="50"/>
      <c r="K873" s="42"/>
      <c r="L873" s="42"/>
      <c r="M873" s="42"/>
      <c r="N873" s="42"/>
      <c r="O873" s="42"/>
      <c r="P873" s="42"/>
      <c r="Q873" s="42"/>
    </row>
    <row r="874">
      <c r="A874" s="50"/>
      <c r="B874" s="42"/>
      <c r="C874" s="42"/>
      <c r="D874" s="42"/>
      <c r="E874" s="42"/>
      <c r="F874" s="42"/>
      <c r="G874" s="42"/>
      <c r="H874" s="42"/>
      <c r="I874" s="48"/>
      <c r="J874" s="50"/>
      <c r="K874" s="42"/>
      <c r="L874" s="42"/>
      <c r="M874" s="42"/>
      <c r="N874" s="42"/>
      <c r="O874" s="42"/>
      <c r="P874" s="42"/>
      <c r="Q874" s="42"/>
    </row>
    <row r="875">
      <c r="A875" s="50"/>
      <c r="B875" s="42"/>
      <c r="C875" s="42"/>
      <c r="D875" s="42"/>
      <c r="E875" s="42"/>
      <c r="F875" s="42"/>
      <c r="G875" s="42"/>
      <c r="H875" s="42"/>
      <c r="I875" s="48"/>
      <c r="J875" s="50"/>
      <c r="K875" s="42"/>
      <c r="L875" s="42"/>
      <c r="M875" s="42"/>
      <c r="N875" s="42"/>
      <c r="O875" s="42"/>
      <c r="P875" s="42"/>
      <c r="Q875" s="42"/>
    </row>
    <row r="876">
      <c r="A876" s="50"/>
      <c r="B876" s="42"/>
      <c r="C876" s="42"/>
      <c r="D876" s="42"/>
      <c r="E876" s="42"/>
      <c r="F876" s="42"/>
      <c r="G876" s="42"/>
      <c r="H876" s="42"/>
      <c r="I876" s="48"/>
      <c r="J876" s="50"/>
      <c r="K876" s="42"/>
      <c r="L876" s="42"/>
      <c r="M876" s="42"/>
      <c r="N876" s="42"/>
      <c r="O876" s="42"/>
      <c r="P876" s="42"/>
      <c r="Q876" s="42"/>
    </row>
    <row r="877">
      <c r="A877" s="50"/>
      <c r="B877" s="42"/>
      <c r="C877" s="42"/>
      <c r="D877" s="42"/>
      <c r="E877" s="42"/>
      <c r="F877" s="42"/>
      <c r="G877" s="42"/>
      <c r="H877" s="42"/>
      <c r="I877" s="48"/>
      <c r="J877" s="50"/>
      <c r="K877" s="42"/>
      <c r="L877" s="42"/>
      <c r="M877" s="42"/>
      <c r="N877" s="42"/>
      <c r="O877" s="42"/>
      <c r="P877" s="42"/>
      <c r="Q877" s="42"/>
    </row>
    <row r="878">
      <c r="A878" s="50"/>
      <c r="B878" s="42"/>
      <c r="C878" s="42"/>
      <c r="D878" s="42"/>
      <c r="E878" s="42"/>
      <c r="F878" s="42"/>
      <c r="G878" s="42"/>
      <c r="H878" s="42"/>
      <c r="I878" s="48"/>
      <c r="J878" s="50"/>
      <c r="K878" s="42"/>
      <c r="L878" s="42"/>
      <c r="M878" s="42"/>
      <c r="N878" s="42"/>
      <c r="O878" s="42"/>
      <c r="P878" s="42"/>
      <c r="Q878" s="42"/>
    </row>
    <row r="879">
      <c r="A879" s="50"/>
      <c r="B879" s="42"/>
      <c r="C879" s="42"/>
      <c r="D879" s="42"/>
      <c r="E879" s="42"/>
      <c r="F879" s="42"/>
      <c r="G879" s="42"/>
      <c r="H879" s="42"/>
      <c r="I879" s="48"/>
      <c r="J879" s="50"/>
      <c r="K879" s="42"/>
      <c r="L879" s="42"/>
      <c r="M879" s="42"/>
      <c r="N879" s="42"/>
      <c r="O879" s="42"/>
      <c r="P879" s="42"/>
      <c r="Q879" s="42"/>
    </row>
    <row r="880">
      <c r="A880" s="50"/>
      <c r="B880" s="42"/>
      <c r="C880" s="42"/>
      <c r="D880" s="42"/>
      <c r="E880" s="42"/>
      <c r="F880" s="42"/>
      <c r="G880" s="42"/>
      <c r="H880" s="42"/>
      <c r="I880" s="48"/>
      <c r="J880" s="50"/>
      <c r="K880" s="42"/>
      <c r="L880" s="42"/>
      <c r="M880" s="42"/>
      <c r="N880" s="42"/>
      <c r="O880" s="42"/>
      <c r="P880" s="42"/>
      <c r="Q880" s="42"/>
    </row>
    <row r="881">
      <c r="A881" s="50"/>
      <c r="B881" s="42"/>
      <c r="C881" s="42"/>
      <c r="D881" s="42"/>
      <c r="E881" s="42"/>
      <c r="F881" s="42"/>
      <c r="G881" s="42"/>
      <c r="H881" s="42"/>
      <c r="I881" s="48"/>
      <c r="J881" s="50"/>
      <c r="K881" s="42"/>
      <c r="L881" s="42"/>
      <c r="M881" s="42"/>
      <c r="N881" s="42"/>
      <c r="O881" s="42"/>
      <c r="P881" s="42"/>
      <c r="Q881" s="42"/>
    </row>
    <row r="882">
      <c r="A882" s="50"/>
      <c r="B882" s="42"/>
      <c r="C882" s="42"/>
      <c r="D882" s="42"/>
      <c r="E882" s="42"/>
      <c r="F882" s="42"/>
      <c r="G882" s="42"/>
      <c r="H882" s="42"/>
      <c r="I882" s="48"/>
      <c r="J882" s="50"/>
      <c r="K882" s="42"/>
      <c r="L882" s="42"/>
      <c r="M882" s="42"/>
      <c r="N882" s="42"/>
      <c r="O882" s="42"/>
      <c r="P882" s="42"/>
      <c r="Q882" s="42"/>
    </row>
    <row r="883">
      <c r="A883" s="50"/>
      <c r="B883" s="42"/>
      <c r="C883" s="42"/>
      <c r="D883" s="42"/>
      <c r="E883" s="42"/>
      <c r="F883" s="42"/>
      <c r="G883" s="42"/>
      <c r="H883" s="42"/>
      <c r="I883" s="48"/>
      <c r="J883" s="50"/>
      <c r="K883" s="42"/>
      <c r="L883" s="42"/>
      <c r="M883" s="42"/>
      <c r="N883" s="42"/>
      <c r="O883" s="42"/>
      <c r="P883" s="42"/>
      <c r="Q883" s="42"/>
    </row>
    <row r="884">
      <c r="A884" s="50"/>
      <c r="B884" s="42"/>
      <c r="C884" s="42"/>
      <c r="D884" s="42"/>
      <c r="E884" s="42"/>
      <c r="F884" s="42"/>
      <c r="G884" s="42"/>
      <c r="H884" s="42"/>
      <c r="I884" s="48"/>
      <c r="J884" s="50"/>
      <c r="K884" s="42"/>
      <c r="L884" s="42"/>
      <c r="M884" s="42"/>
      <c r="N884" s="42"/>
      <c r="O884" s="42"/>
      <c r="P884" s="42"/>
      <c r="Q884" s="42"/>
    </row>
    <row r="885">
      <c r="A885" s="50"/>
      <c r="B885" s="42"/>
      <c r="C885" s="42"/>
      <c r="D885" s="42"/>
      <c r="E885" s="42"/>
      <c r="F885" s="42"/>
      <c r="G885" s="42"/>
      <c r="H885" s="42"/>
      <c r="I885" s="48"/>
      <c r="J885" s="50"/>
      <c r="K885" s="42"/>
      <c r="L885" s="42"/>
      <c r="M885" s="42"/>
      <c r="N885" s="42"/>
      <c r="O885" s="42"/>
      <c r="P885" s="42"/>
      <c r="Q885" s="42"/>
    </row>
    <row r="886">
      <c r="A886" s="50"/>
      <c r="B886" s="42"/>
      <c r="C886" s="42"/>
      <c r="D886" s="42"/>
      <c r="E886" s="42"/>
      <c r="F886" s="42"/>
      <c r="G886" s="42"/>
      <c r="H886" s="42"/>
      <c r="I886" s="48"/>
      <c r="J886" s="50"/>
      <c r="K886" s="42"/>
      <c r="L886" s="42"/>
      <c r="M886" s="42"/>
      <c r="N886" s="42"/>
      <c r="O886" s="42"/>
      <c r="P886" s="42"/>
      <c r="Q886" s="42"/>
    </row>
    <row r="887">
      <c r="A887" s="50"/>
      <c r="B887" s="42"/>
      <c r="C887" s="42"/>
      <c r="D887" s="42"/>
      <c r="E887" s="42"/>
      <c r="F887" s="42"/>
      <c r="G887" s="42"/>
      <c r="H887" s="42"/>
      <c r="I887" s="48"/>
      <c r="J887" s="50"/>
      <c r="K887" s="42"/>
      <c r="L887" s="42"/>
      <c r="M887" s="42"/>
      <c r="N887" s="42"/>
      <c r="O887" s="42"/>
      <c r="P887" s="42"/>
      <c r="Q887" s="42"/>
    </row>
    <row r="888">
      <c r="A888" s="50"/>
      <c r="B888" s="42"/>
      <c r="C888" s="42"/>
      <c r="D888" s="42"/>
      <c r="E888" s="42"/>
      <c r="F888" s="42"/>
      <c r="G888" s="42"/>
      <c r="H888" s="42"/>
      <c r="I888" s="48"/>
      <c r="J888" s="50"/>
      <c r="K888" s="42"/>
      <c r="L888" s="42"/>
      <c r="M888" s="42"/>
      <c r="N888" s="42"/>
      <c r="O888" s="42"/>
      <c r="P888" s="42"/>
      <c r="Q888" s="42"/>
    </row>
    <row r="889">
      <c r="A889" s="50"/>
      <c r="B889" s="42"/>
      <c r="C889" s="42"/>
      <c r="D889" s="42"/>
      <c r="E889" s="42"/>
      <c r="F889" s="42"/>
      <c r="G889" s="42"/>
      <c r="H889" s="42"/>
      <c r="I889" s="48"/>
      <c r="J889" s="50"/>
      <c r="K889" s="42"/>
      <c r="L889" s="42"/>
      <c r="M889" s="42"/>
      <c r="N889" s="42"/>
      <c r="O889" s="42"/>
      <c r="P889" s="42"/>
      <c r="Q889" s="42"/>
    </row>
    <row r="890">
      <c r="A890" s="50"/>
      <c r="B890" s="42"/>
      <c r="C890" s="42"/>
      <c r="D890" s="42"/>
      <c r="E890" s="42"/>
      <c r="F890" s="42"/>
      <c r="G890" s="42"/>
      <c r="H890" s="42"/>
      <c r="I890" s="48"/>
      <c r="J890" s="50"/>
      <c r="K890" s="42"/>
      <c r="L890" s="42"/>
      <c r="M890" s="42"/>
      <c r="N890" s="42"/>
      <c r="O890" s="42"/>
      <c r="P890" s="42"/>
      <c r="Q890" s="42"/>
    </row>
    <row r="891">
      <c r="A891" s="50"/>
      <c r="B891" s="42"/>
      <c r="C891" s="42"/>
      <c r="D891" s="42"/>
      <c r="E891" s="42"/>
      <c r="F891" s="42"/>
      <c r="G891" s="42"/>
      <c r="H891" s="42"/>
      <c r="I891" s="48"/>
      <c r="J891" s="50"/>
      <c r="K891" s="42"/>
      <c r="L891" s="42"/>
      <c r="M891" s="42"/>
      <c r="N891" s="42"/>
      <c r="O891" s="42"/>
      <c r="P891" s="42"/>
      <c r="Q891" s="42"/>
    </row>
    <row r="892">
      <c r="A892" s="50"/>
      <c r="B892" s="42"/>
      <c r="C892" s="42"/>
      <c r="D892" s="42"/>
      <c r="E892" s="42"/>
      <c r="F892" s="42"/>
      <c r="G892" s="42"/>
      <c r="H892" s="42"/>
      <c r="I892" s="48"/>
      <c r="J892" s="50"/>
      <c r="K892" s="42"/>
      <c r="L892" s="42"/>
      <c r="M892" s="42"/>
      <c r="N892" s="42"/>
      <c r="O892" s="42"/>
      <c r="P892" s="42"/>
      <c r="Q892" s="42"/>
    </row>
    <row r="893">
      <c r="A893" s="50"/>
      <c r="B893" s="42"/>
      <c r="C893" s="42"/>
      <c r="D893" s="42"/>
      <c r="E893" s="42"/>
      <c r="F893" s="42"/>
      <c r="G893" s="42"/>
      <c r="H893" s="42"/>
      <c r="I893" s="48"/>
      <c r="J893" s="50"/>
      <c r="K893" s="42"/>
      <c r="L893" s="42"/>
      <c r="M893" s="42"/>
      <c r="N893" s="42"/>
      <c r="O893" s="42"/>
      <c r="P893" s="42"/>
      <c r="Q893" s="42"/>
    </row>
    <row r="894">
      <c r="A894" s="50"/>
      <c r="B894" s="42"/>
      <c r="C894" s="42"/>
      <c r="D894" s="42"/>
      <c r="E894" s="42"/>
      <c r="F894" s="42"/>
      <c r="G894" s="42"/>
      <c r="H894" s="42"/>
      <c r="I894" s="48"/>
      <c r="J894" s="50"/>
      <c r="K894" s="42"/>
      <c r="L894" s="42"/>
      <c r="M894" s="42"/>
      <c r="N894" s="42"/>
      <c r="O894" s="42"/>
      <c r="P894" s="42"/>
      <c r="Q894" s="42"/>
    </row>
    <row r="895">
      <c r="A895" s="50"/>
      <c r="B895" s="42"/>
      <c r="C895" s="42"/>
      <c r="D895" s="42"/>
      <c r="E895" s="42"/>
      <c r="F895" s="42"/>
      <c r="G895" s="42"/>
      <c r="H895" s="42"/>
      <c r="I895" s="48"/>
      <c r="J895" s="50"/>
      <c r="K895" s="42"/>
      <c r="L895" s="42"/>
      <c r="M895" s="42"/>
      <c r="N895" s="42"/>
      <c r="O895" s="42"/>
      <c r="P895" s="42"/>
      <c r="Q895" s="42"/>
    </row>
    <row r="896">
      <c r="A896" s="50"/>
      <c r="B896" s="42"/>
      <c r="C896" s="42"/>
      <c r="D896" s="42"/>
      <c r="E896" s="42"/>
      <c r="F896" s="42"/>
      <c r="G896" s="42"/>
      <c r="H896" s="42"/>
      <c r="I896" s="48"/>
      <c r="J896" s="50"/>
      <c r="K896" s="42"/>
      <c r="L896" s="42"/>
      <c r="M896" s="42"/>
      <c r="N896" s="42"/>
      <c r="O896" s="42"/>
      <c r="P896" s="42"/>
      <c r="Q896" s="42"/>
    </row>
    <row r="897">
      <c r="A897" s="50"/>
      <c r="B897" s="42"/>
      <c r="C897" s="42"/>
      <c r="D897" s="42"/>
      <c r="E897" s="42"/>
      <c r="F897" s="42"/>
      <c r="G897" s="42"/>
      <c r="H897" s="42"/>
      <c r="I897" s="48"/>
      <c r="J897" s="50"/>
      <c r="K897" s="42"/>
      <c r="L897" s="42"/>
      <c r="M897" s="42"/>
      <c r="N897" s="42"/>
      <c r="O897" s="42"/>
      <c r="P897" s="42"/>
      <c r="Q897" s="42"/>
    </row>
    <row r="898">
      <c r="A898" s="50"/>
      <c r="B898" s="42"/>
      <c r="C898" s="42"/>
      <c r="D898" s="42"/>
      <c r="E898" s="42"/>
      <c r="F898" s="42"/>
      <c r="G898" s="42"/>
      <c r="H898" s="42"/>
      <c r="I898" s="48"/>
      <c r="J898" s="50"/>
      <c r="K898" s="42"/>
      <c r="L898" s="42"/>
      <c r="M898" s="42"/>
      <c r="N898" s="42"/>
      <c r="O898" s="42"/>
      <c r="P898" s="42"/>
      <c r="Q898" s="42"/>
    </row>
    <row r="899">
      <c r="A899" s="50"/>
      <c r="B899" s="42"/>
      <c r="C899" s="42"/>
      <c r="D899" s="42"/>
      <c r="E899" s="42"/>
      <c r="F899" s="42"/>
      <c r="G899" s="42"/>
      <c r="H899" s="42"/>
      <c r="I899" s="48"/>
      <c r="J899" s="50"/>
      <c r="K899" s="42"/>
      <c r="L899" s="42"/>
      <c r="M899" s="42"/>
      <c r="N899" s="42"/>
      <c r="O899" s="42"/>
      <c r="P899" s="42"/>
      <c r="Q899" s="42"/>
    </row>
    <row r="900">
      <c r="A900" s="50"/>
      <c r="B900" s="42"/>
      <c r="C900" s="42"/>
      <c r="D900" s="42"/>
      <c r="E900" s="42"/>
      <c r="F900" s="42"/>
      <c r="G900" s="42"/>
      <c r="H900" s="42"/>
      <c r="I900" s="48"/>
      <c r="J900" s="50"/>
      <c r="K900" s="42"/>
      <c r="L900" s="42"/>
      <c r="M900" s="42"/>
      <c r="N900" s="42"/>
      <c r="O900" s="42"/>
      <c r="P900" s="42"/>
      <c r="Q900" s="42"/>
    </row>
    <row r="901">
      <c r="A901" s="50"/>
      <c r="B901" s="42"/>
      <c r="C901" s="42"/>
      <c r="D901" s="42"/>
      <c r="E901" s="42"/>
      <c r="F901" s="42"/>
      <c r="G901" s="42"/>
      <c r="H901" s="42"/>
      <c r="I901" s="48"/>
      <c r="J901" s="50"/>
      <c r="K901" s="42"/>
      <c r="L901" s="42"/>
      <c r="M901" s="42"/>
      <c r="N901" s="42"/>
      <c r="O901" s="42"/>
      <c r="P901" s="42"/>
      <c r="Q901" s="42"/>
    </row>
    <row r="902">
      <c r="A902" s="50"/>
      <c r="B902" s="42"/>
      <c r="C902" s="42"/>
      <c r="D902" s="42"/>
      <c r="E902" s="42"/>
      <c r="F902" s="42"/>
      <c r="G902" s="42"/>
      <c r="H902" s="42"/>
      <c r="I902" s="48"/>
      <c r="J902" s="50"/>
      <c r="K902" s="42"/>
      <c r="L902" s="42"/>
      <c r="M902" s="42"/>
      <c r="N902" s="42"/>
      <c r="O902" s="42"/>
      <c r="P902" s="42"/>
      <c r="Q902" s="42"/>
    </row>
    <row r="903">
      <c r="A903" s="50"/>
      <c r="B903" s="42"/>
      <c r="C903" s="42"/>
      <c r="D903" s="42"/>
      <c r="E903" s="42"/>
      <c r="F903" s="42"/>
      <c r="G903" s="42"/>
      <c r="H903" s="42"/>
      <c r="I903" s="48"/>
      <c r="J903" s="50"/>
      <c r="K903" s="42"/>
      <c r="L903" s="42"/>
      <c r="M903" s="42"/>
      <c r="N903" s="42"/>
      <c r="O903" s="42"/>
      <c r="P903" s="42"/>
      <c r="Q903" s="42"/>
    </row>
    <row r="904">
      <c r="A904" s="50"/>
      <c r="B904" s="42"/>
      <c r="C904" s="42"/>
      <c r="D904" s="42"/>
      <c r="E904" s="42"/>
      <c r="F904" s="42"/>
      <c r="G904" s="42"/>
      <c r="H904" s="42"/>
      <c r="I904" s="48"/>
      <c r="J904" s="50"/>
      <c r="K904" s="42"/>
      <c r="L904" s="42"/>
      <c r="M904" s="42"/>
      <c r="N904" s="42"/>
      <c r="O904" s="42"/>
      <c r="P904" s="42"/>
      <c r="Q904" s="42"/>
    </row>
    <row r="905">
      <c r="A905" s="50"/>
      <c r="B905" s="42"/>
      <c r="C905" s="42"/>
      <c r="D905" s="42"/>
      <c r="E905" s="42"/>
      <c r="F905" s="42"/>
      <c r="G905" s="42"/>
      <c r="H905" s="42"/>
      <c r="I905" s="48"/>
      <c r="J905" s="50"/>
      <c r="K905" s="42"/>
      <c r="L905" s="42"/>
      <c r="M905" s="42"/>
      <c r="N905" s="42"/>
      <c r="O905" s="42"/>
      <c r="P905" s="42"/>
      <c r="Q905" s="42"/>
    </row>
    <row r="906">
      <c r="A906" s="50"/>
      <c r="B906" s="42"/>
      <c r="C906" s="42"/>
      <c r="D906" s="42"/>
      <c r="E906" s="42"/>
      <c r="F906" s="42"/>
      <c r="G906" s="42"/>
      <c r="H906" s="42"/>
      <c r="I906" s="48"/>
      <c r="J906" s="50"/>
      <c r="K906" s="42"/>
      <c r="L906" s="42"/>
      <c r="M906" s="42"/>
      <c r="N906" s="42"/>
      <c r="O906" s="42"/>
      <c r="P906" s="42"/>
      <c r="Q906" s="42"/>
    </row>
    <row r="907">
      <c r="A907" s="50"/>
      <c r="B907" s="42"/>
      <c r="C907" s="42"/>
      <c r="D907" s="42"/>
      <c r="E907" s="42"/>
      <c r="F907" s="42"/>
      <c r="G907" s="42"/>
      <c r="H907" s="42"/>
      <c r="I907" s="48"/>
      <c r="J907" s="50"/>
      <c r="K907" s="42"/>
      <c r="L907" s="42"/>
      <c r="M907" s="42"/>
      <c r="N907" s="42"/>
      <c r="O907" s="42"/>
      <c r="P907" s="42"/>
      <c r="Q907" s="42"/>
    </row>
    <row r="908">
      <c r="A908" s="50"/>
      <c r="B908" s="42"/>
      <c r="C908" s="42"/>
      <c r="D908" s="42"/>
      <c r="E908" s="42"/>
      <c r="F908" s="42"/>
      <c r="G908" s="42"/>
      <c r="H908" s="42"/>
      <c r="I908" s="48"/>
      <c r="J908" s="50"/>
      <c r="K908" s="42"/>
      <c r="L908" s="42"/>
      <c r="M908" s="42"/>
      <c r="N908" s="42"/>
      <c r="O908" s="42"/>
      <c r="P908" s="42"/>
      <c r="Q908" s="42"/>
    </row>
    <row r="909">
      <c r="A909" s="50"/>
      <c r="B909" s="42"/>
      <c r="C909" s="42"/>
      <c r="D909" s="42"/>
      <c r="E909" s="42"/>
      <c r="F909" s="42"/>
      <c r="G909" s="42"/>
      <c r="H909" s="42"/>
      <c r="I909" s="48"/>
      <c r="J909" s="50"/>
      <c r="K909" s="42"/>
      <c r="L909" s="42"/>
      <c r="M909" s="42"/>
      <c r="N909" s="42"/>
      <c r="O909" s="42"/>
      <c r="P909" s="42"/>
      <c r="Q909" s="42"/>
    </row>
    <row r="910">
      <c r="A910" s="50"/>
      <c r="B910" s="42"/>
      <c r="C910" s="42"/>
      <c r="D910" s="42"/>
      <c r="E910" s="42"/>
      <c r="F910" s="42"/>
      <c r="G910" s="42"/>
      <c r="H910" s="42"/>
      <c r="I910" s="48"/>
      <c r="J910" s="50"/>
      <c r="K910" s="42"/>
      <c r="L910" s="42"/>
      <c r="M910" s="42"/>
      <c r="N910" s="42"/>
      <c r="O910" s="42"/>
      <c r="P910" s="42"/>
      <c r="Q910" s="42"/>
    </row>
    <row r="911">
      <c r="A911" s="50"/>
      <c r="B911" s="42"/>
      <c r="C911" s="42"/>
      <c r="D911" s="42"/>
      <c r="E911" s="42"/>
      <c r="F911" s="42"/>
      <c r="G911" s="42"/>
      <c r="H911" s="42"/>
      <c r="I911" s="48"/>
      <c r="J911" s="50"/>
      <c r="K911" s="42"/>
      <c r="L911" s="42"/>
      <c r="M911" s="42"/>
      <c r="N911" s="42"/>
      <c r="O911" s="42"/>
      <c r="P911" s="42"/>
      <c r="Q911" s="42"/>
    </row>
    <row r="912">
      <c r="A912" s="50"/>
      <c r="B912" s="42"/>
      <c r="C912" s="42"/>
      <c r="D912" s="42"/>
      <c r="E912" s="42"/>
      <c r="F912" s="42"/>
      <c r="G912" s="42"/>
      <c r="H912" s="42"/>
      <c r="I912" s="48"/>
      <c r="J912" s="50"/>
      <c r="K912" s="42"/>
      <c r="L912" s="42"/>
      <c r="M912" s="42"/>
      <c r="N912" s="42"/>
      <c r="O912" s="42"/>
      <c r="P912" s="42"/>
      <c r="Q912" s="42"/>
    </row>
    <row r="913">
      <c r="A913" s="50"/>
      <c r="B913" s="42"/>
      <c r="C913" s="42"/>
      <c r="D913" s="42"/>
      <c r="E913" s="42"/>
      <c r="F913" s="42"/>
      <c r="G913" s="42"/>
      <c r="H913" s="42"/>
      <c r="I913" s="48"/>
      <c r="J913" s="50"/>
      <c r="K913" s="42"/>
      <c r="L913" s="42"/>
      <c r="M913" s="42"/>
      <c r="N913" s="42"/>
      <c r="O913" s="42"/>
      <c r="P913" s="42"/>
      <c r="Q913" s="42"/>
    </row>
    <row r="914">
      <c r="A914" s="50"/>
      <c r="B914" s="42"/>
      <c r="C914" s="42"/>
      <c r="D914" s="42"/>
      <c r="E914" s="42"/>
      <c r="F914" s="42"/>
      <c r="G914" s="42"/>
      <c r="H914" s="42"/>
      <c r="I914" s="48"/>
      <c r="J914" s="50"/>
      <c r="K914" s="42"/>
      <c r="L914" s="42"/>
      <c r="M914" s="42"/>
      <c r="N914" s="42"/>
      <c r="O914" s="42"/>
      <c r="P914" s="42"/>
      <c r="Q914" s="42"/>
    </row>
    <row r="915">
      <c r="A915" s="50"/>
      <c r="B915" s="42"/>
      <c r="C915" s="42"/>
      <c r="D915" s="42"/>
      <c r="E915" s="42"/>
      <c r="F915" s="42"/>
      <c r="G915" s="42"/>
      <c r="H915" s="42"/>
      <c r="I915" s="48"/>
      <c r="J915" s="50"/>
      <c r="K915" s="42"/>
      <c r="L915" s="42"/>
      <c r="M915" s="42"/>
      <c r="N915" s="42"/>
      <c r="O915" s="42"/>
      <c r="P915" s="42"/>
      <c r="Q915" s="42"/>
    </row>
    <row r="916">
      <c r="A916" s="50"/>
      <c r="B916" s="42"/>
      <c r="C916" s="42"/>
      <c r="D916" s="42"/>
      <c r="E916" s="42"/>
      <c r="F916" s="42"/>
      <c r="G916" s="42"/>
      <c r="H916" s="42"/>
      <c r="I916" s="48"/>
      <c r="J916" s="50"/>
      <c r="K916" s="42"/>
      <c r="L916" s="42"/>
      <c r="M916" s="42"/>
      <c r="N916" s="42"/>
      <c r="O916" s="42"/>
      <c r="P916" s="42"/>
      <c r="Q916" s="42"/>
    </row>
    <row r="917">
      <c r="A917" s="50"/>
      <c r="B917" s="42"/>
      <c r="C917" s="42"/>
      <c r="D917" s="42"/>
      <c r="E917" s="42"/>
      <c r="F917" s="42"/>
      <c r="G917" s="42"/>
      <c r="H917" s="42"/>
      <c r="I917" s="48"/>
      <c r="J917" s="50"/>
      <c r="K917" s="42"/>
      <c r="L917" s="42"/>
      <c r="M917" s="42"/>
      <c r="N917" s="42"/>
      <c r="O917" s="42"/>
      <c r="P917" s="42"/>
      <c r="Q917" s="42"/>
    </row>
    <row r="918">
      <c r="A918" s="50"/>
      <c r="B918" s="42"/>
      <c r="C918" s="42"/>
      <c r="D918" s="42"/>
      <c r="E918" s="42"/>
      <c r="F918" s="42"/>
      <c r="G918" s="42"/>
      <c r="H918" s="42"/>
      <c r="I918" s="48"/>
      <c r="J918" s="50"/>
      <c r="K918" s="42"/>
      <c r="L918" s="42"/>
      <c r="M918" s="42"/>
      <c r="N918" s="42"/>
      <c r="O918" s="42"/>
      <c r="P918" s="42"/>
      <c r="Q918" s="42"/>
    </row>
    <row r="919">
      <c r="A919" s="50"/>
      <c r="B919" s="42"/>
      <c r="C919" s="42"/>
      <c r="D919" s="42"/>
      <c r="E919" s="42"/>
      <c r="F919" s="42"/>
      <c r="G919" s="42"/>
      <c r="H919" s="42"/>
      <c r="I919" s="48"/>
      <c r="J919" s="50"/>
      <c r="K919" s="42"/>
      <c r="L919" s="42"/>
      <c r="M919" s="42"/>
      <c r="N919" s="42"/>
      <c r="O919" s="42"/>
      <c r="P919" s="42"/>
      <c r="Q919" s="42"/>
    </row>
    <row r="920">
      <c r="A920" s="50"/>
      <c r="B920" s="42"/>
      <c r="C920" s="42"/>
      <c r="D920" s="42"/>
      <c r="E920" s="42"/>
      <c r="F920" s="42"/>
      <c r="G920" s="42"/>
      <c r="H920" s="42"/>
      <c r="I920" s="48"/>
      <c r="J920" s="50"/>
      <c r="K920" s="42"/>
      <c r="L920" s="42"/>
      <c r="M920" s="42"/>
      <c r="N920" s="42"/>
      <c r="O920" s="42"/>
      <c r="P920" s="42"/>
      <c r="Q920" s="42"/>
    </row>
    <row r="921">
      <c r="A921" s="50"/>
      <c r="B921" s="42"/>
      <c r="C921" s="42"/>
      <c r="D921" s="42"/>
      <c r="E921" s="42"/>
      <c r="F921" s="42"/>
      <c r="G921" s="42"/>
      <c r="H921" s="42"/>
      <c r="I921" s="48"/>
      <c r="J921" s="50"/>
      <c r="K921" s="42"/>
      <c r="L921" s="42"/>
      <c r="M921" s="42"/>
      <c r="N921" s="42"/>
      <c r="O921" s="42"/>
      <c r="P921" s="42"/>
      <c r="Q921" s="42"/>
    </row>
    <row r="922">
      <c r="A922" s="50"/>
      <c r="B922" s="42"/>
      <c r="C922" s="42"/>
      <c r="D922" s="42"/>
      <c r="E922" s="42"/>
      <c r="F922" s="42"/>
      <c r="G922" s="42"/>
      <c r="H922" s="42"/>
      <c r="I922" s="48"/>
      <c r="J922" s="50"/>
      <c r="K922" s="42"/>
      <c r="L922" s="42"/>
      <c r="M922" s="42"/>
      <c r="N922" s="42"/>
      <c r="O922" s="42"/>
      <c r="P922" s="42"/>
      <c r="Q922" s="42"/>
    </row>
    <row r="923">
      <c r="A923" s="50"/>
      <c r="B923" s="42"/>
      <c r="C923" s="42"/>
      <c r="D923" s="42"/>
      <c r="E923" s="42"/>
      <c r="F923" s="42"/>
      <c r="G923" s="42"/>
      <c r="H923" s="42"/>
      <c r="I923" s="48"/>
      <c r="J923" s="50"/>
      <c r="K923" s="42"/>
      <c r="L923" s="42"/>
      <c r="M923" s="42"/>
      <c r="N923" s="42"/>
      <c r="O923" s="42"/>
      <c r="P923" s="42"/>
      <c r="Q923" s="42"/>
    </row>
    <row r="924">
      <c r="A924" s="50"/>
      <c r="B924" s="42"/>
      <c r="C924" s="42"/>
      <c r="D924" s="42"/>
      <c r="E924" s="42"/>
      <c r="F924" s="42"/>
      <c r="G924" s="42"/>
      <c r="H924" s="42"/>
      <c r="I924" s="48"/>
      <c r="J924" s="50"/>
      <c r="K924" s="42"/>
      <c r="L924" s="42"/>
      <c r="M924" s="42"/>
      <c r="N924" s="42"/>
      <c r="O924" s="42"/>
      <c r="P924" s="42"/>
      <c r="Q924" s="42"/>
    </row>
    <row r="925">
      <c r="A925" s="50"/>
      <c r="B925" s="42"/>
      <c r="C925" s="42"/>
      <c r="D925" s="42"/>
      <c r="E925" s="42"/>
      <c r="F925" s="42"/>
      <c r="G925" s="42"/>
      <c r="H925" s="42"/>
      <c r="I925" s="48"/>
      <c r="J925" s="50"/>
      <c r="K925" s="42"/>
      <c r="L925" s="42"/>
      <c r="M925" s="42"/>
      <c r="N925" s="42"/>
      <c r="O925" s="42"/>
      <c r="P925" s="42"/>
      <c r="Q925" s="42"/>
    </row>
    <row r="926">
      <c r="A926" s="50"/>
      <c r="B926" s="42"/>
      <c r="C926" s="42"/>
      <c r="D926" s="42"/>
      <c r="E926" s="42"/>
      <c r="F926" s="42"/>
      <c r="G926" s="42"/>
      <c r="H926" s="42"/>
      <c r="I926" s="48"/>
      <c r="J926" s="50"/>
      <c r="K926" s="42"/>
      <c r="L926" s="42"/>
      <c r="M926" s="42"/>
      <c r="N926" s="42"/>
      <c r="O926" s="42"/>
      <c r="P926" s="42"/>
      <c r="Q926" s="42"/>
    </row>
    <row r="927">
      <c r="A927" s="50"/>
      <c r="B927" s="42"/>
      <c r="C927" s="42"/>
      <c r="D927" s="42"/>
      <c r="E927" s="42"/>
      <c r="F927" s="42"/>
      <c r="G927" s="42"/>
      <c r="H927" s="42"/>
      <c r="I927" s="48"/>
      <c r="J927" s="50"/>
      <c r="K927" s="42"/>
      <c r="L927" s="42"/>
      <c r="M927" s="42"/>
      <c r="N927" s="42"/>
      <c r="O927" s="42"/>
      <c r="P927" s="42"/>
      <c r="Q927" s="42"/>
    </row>
    <row r="928">
      <c r="A928" s="50"/>
      <c r="B928" s="42"/>
      <c r="C928" s="42"/>
      <c r="D928" s="42"/>
      <c r="E928" s="42"/>
      <c r="F928" s="42"/>
      <c r="G928" s="42"/>
      <c r="H928" s="42"/>
      <c r="I928" s="48"/>
      <c r="J928" s="50"/>
      <c r="K928" s="42"/>
      <c r="L928" s="42"/>
      <c r="M928" s="42"/>
      <c r="N928" s="42"/>
      <c r="O928" s="42"/>
      <c r="P928" s="42"/>
      <c r="Q928" s="42"/>
    </row>
    <row r="929">
      <c r="A929" s="50"/>
      <c r="B929" s="42"/>
      <c r="C929" s="42"/>
      <c r="D929" s="42"/>
      <c r="E929" s="42"/>
      <c r="F929" s="42"/>
      <c r="G929" s="42"/>
      <c r="H929" s="42"/>
      <c r="I929" s="48"/>
      <c r="J929" s="50"/>
      <c r="K929" s="42"/>
      <c r="L929" s="42"/>
      <c r="M929" s="42"/>
      <c r="N929" s="42"/>
      <c r="O929" s="42"/>
      <c r="P929" s="42"/>
      <c r="Q929" s="42"/>
    </row>
    <row r="930">
      <c r="A930" s="50"/>
      <c r="B930" s="42"/>
      <c r="C930" s="42"/>
      <c r="D930" s="42"/>
      <c r="E930" s="42"/>
      <c r="F930" s="42"/>
      <c r="G930" s="42"/>
      <c r="H930" s="42"/>
      <c r="I930" s="48"/>
      <c r="J930" s="50"/>
      <c r="K930" s="42"/>
      <c r="L930" s="42"/>
      <c r="M930" s="42"/>
      <c r="N930" s="42"/>
      <c r="O930" s="42"/>
      <c r="P930" s="42"/>
      <c r="Q930" s="42"/>
    </row>
    <row r="931">
      <c r="A931" s="50"/>
      <c r="B931" s="42"/>
      <c r="C931" s="42"/>
      <c r="D931" s="42"/>
      <c r="E931" s="42"/>
      <c r="F931" s="42"/>
      <c r="G931" s="42"/>
      <c r="H931" s="42"/>
      <c r="I931" s="48"/>
      <c r="J931" s="50"/>
      <c r="K931" s="42"/>
      <c r="L931" s="42"/>
      <c r="M931" s="42"/>
      <c r="N931" s="42"/>
      <c r="O931" s="42"/>
      <c r="P931" s="42"/>
      <c r="Q931" s="42"/>
    </row>
    <row r="932">
      <c r="A932" s="50"/>
      <c r="B932" s="42"/>
      <c r="C932" s="42"/>
      <c r="D932" s="42"/>
      <c r="E932" s="42"/>
      <c r="F932" s="42"/>
      <c r="G932" s="42"/>
      <c r="H932" s="42"/>
      <c r="I932" s="48"/>
      <c r="J932" s="50"/>
      <c r="K932" s="42"/>
      <c r="L932" s="42"/>
      <c r="M932" s="42"/>
      <c r="N932" s="42"/>
      <c r="O932" s="42"/>
      <c r="P932" s="42"/>
      <c r="Q932" s="42"/>
    </row>
    <row r="933">
      <c r="A933" s="50"/>
      <c r="B933" s="42"/>
      <c r="C933" s="42"/>
      <c r="D933" s="42"/>
      <c r="E933" s="42"/>
      <c r="F933" s="42"/>
      <c r="G933" s="42"/>
      <c r="H933" s="42"/>
      <c r="I933" s="48"/>
      <c r="J933" s="50"/>
      <c r="K933" s="42"/>
      <c r="L933" s="42"/>
      <c r="M933" s="42"/>
      <c r="N933" s="42"/>
      <c r="O933" s="42"/>
      <c r="P933" s="42"/>
      <c r="Q933" s="42"/>
    </row>
    <row r="934">
      <c r="A934" s="50"/>
      <c r="B934" s="42"/>
      <c r="C934" s="42"/>
      <c r="D934" s="42"/>
      <c r="E934" s="42"/>
      <c r="F934" s="42"/>
      <c r="G934" s="42"/>
      <c r="H934" s="42"/>
      <c r="I934" s="48"/>
      <c r="J934" s="50"/>
      <c r="K934" s="42"/>
      <c r="L934" s="42"/>
      <c r="M934" s="42"/>
      <c r="N934" s="42"/>
      <c r="O934" s="42"/>
      <c r="P934" s="42"/>
      <c r="Q934" s="42"/>
    </row>
    <row r="935">
      <c r="A935" s="50"/>
      <c r="B935" s="42"/>
      <c r="C935" s="42"/>
      <c r="D935" s="42"/>
      <c r="E935" s="42"/>
      <c r="F935" s="42"/>
      <c r="G935" s="42"/>
      <c r="H935" s="42"/>
      <c r="I935" s="48"/>
      <c r="J935" s="50"/>
      <c r="K935" s="42"/>
      <c r="L935" s="42"/>
      <c r="M935" s="42"/>
      <c r="N935" s="42"/>
      <c r="O935" s="42"/>
      <c r="P935" s="42"/>
      <c r="Q935" s="42"/>
    </row>
    <row r="936">
      <c r="A936" s="50"/>
      <c r="B936" s="42"/>
      <c r="C936" s="42"/>
      <c r="D936" s="42"/>
      <c r="E936" s="42"/>
      <c r="F936" s="42"/>
      <c r="G936" s="42"/>
      <c r="H936" s="42"/>
      <c r="I936" s="48"/>
      <c r="J936" s="50"/>
      <c r="K936" s="42"/>
      <c r="L936" s="42"/>
      <c r="M936" s="42"/>
      <c r="N936" s="42"/>
      <c r="O936" s="42"/>
      <c r="P936" s="42"/>
      <c r="Q936" s="42"/>
    </row>
    <row r="937">
      <c r="A937" s="50"/>
      <c r="B937" s="42"/>
      <c r="C937" s="42"/>
      <c r="D937" s="42"/>
      <c r="E937" s="42"/>
      <c r="F937" s="42"/>
      <c r="G937" s="42"/>
      <c r="H937" s="42"/>
      <c r="I937" s="48"/>
      <c r="J937" s="50"/>
      <c r="K937" s="42"/>
      <c r="L937" s="42"/>
      <c r="M937" s="42"/>
      <c r="N937" s="42"/>
      <c r="O937" s="42"/>
      <c r="P937" s="42"/>
      <c r="Q937" s="42"/>
    </row>
    <row r="938">
      <c r="A938" s="50"/>
      <c r="B938" s="42"/>
      <c r="C938" s="42"/>
      <c r="D938" s="42"/>
      <c r="E938" s="42"/>
      <c r="F938" s="42"/>
      <c r="G938" s="42"/>
      <c r="H938" s="42"/>
      <c r="I938" s="48"/>
      <c r="J938" s="50"/>
      <c r="K938" s="42"/>
      <c r="L938" s="42"/>
      <c r="M938" s="42"/>
      <c r="N938" s="42"/>
      <c r="O938" s="42"/>
      <c r="P938" s="42"/>
      <c r="Q938" s="42"/>
    </row>
    <row r="939">
      <c r="A939" s="50"/>
      <c r="B939" s="42"/>
      <c r="C939" s="42"/>
      <c r="D939" s="42"/>
      <c r="E939" s="42"/>
      <c r="F939" s="42"/>
      <c r="G939" s="42"/>
      <c r="H939" s="42"/>
      <c r="I939" s="48"/>
      <c r="J939" s="50"/>
      <c r="K939" s="42"/>
      <c r="L939" s="42"/>
      <c r="M939" s="42"/>
      <c r="N939" s="42"/>
      <c r="O939" s="42"/>
      <c r="P939" s="42"/>
      <c r="Q939" s="42"/>
    </row>
    <row r="940">
      <c r="A940" s="50"/>
      <c r="B940" s="42"/>
      <c r="C940" s="42"/>
      <c r="D940" s="42"/>
      <c r="E940" s="42"/>
      <c r="F940" s="42"/>
      <c r="G940" s="42"/>
      <c r="H940" s="42"/>
      <c r="I940" s="48"/>
      <c r="J940" s="50"/>
      <c r="K940" s="42"/>
      <c r="L940" s="42"/>
      <c r="M940" s="42"/>
      <c r="N940" s="42"/>
      <c r="O940" s="42"/>
      <c r="P940" s="42"/>
      <c r="Q940" s="42"/>
    </row>
    <row r="941">
      <c r="A941" s="50"/>
      <c r="B941" s="42"/>
      <c r="C941" s="42"/>
      <c r="D941" s="42"/>
      <c r="E941" s="42"/>
      <c r="F941" s="42"/>
      <c r="G941" s="42"/>
      <c r="H941" s="42"/>
      <c r="I941" s="48"/>
      <c r="J941" s="50"/>
      <c r="K941" s="42"/>
      <c r="L941" s="42"/>
      <c r="M941" s="42"/>
      <c r="N941" s="42"/>
      <c r="O941" s="42"/>
      <c r="P941" s="42"/>
      <c r="Q941" s="42"/>
    </row>
    <row r="942">
      <c r="A942" s="50"/>
      <c r="B942" s="42"/>
      <c r="C942" s="42"/>
      <c r="D942" s="42"/>
      <c r="E942" s="42"/>
      <c r="F942" s="42"/>
      <c r="G942" s="42"/>
      <c r="H942" s="42"/>
      <c r="I942" s="48"/>
      <c r="J942" s="50"/>
      <c r="K942" s="42"/>
      <c r="L942" s="42"/>
      <c r="M942" s="42"/>
      <c r="N942" s="42"/>
      <c r="O942" s="42"/>
      <c r="P942" s="42"/>
      <c r="Q942" s="42"/>
    </row>
    <row r="943">
      <c r="A943" s="50"/>
      <c r="B943" s="42"/>
      <c r="C943" s="42"/>
      <c r="D943" s="42"/>
      <c r="E943" s="42"/>
      <c r="F943" s="42"/>
      <c r="G943" s="42"/>
      <c r="H943" s="42"/>
      <c r="I943" s="48"/>
      <c r="J943" s="50"/>
      <c r="K943" s="42"/>
      <c r="L943" s="42"/>
      <c r="M943" s="42"/>
      <c r="N943" s="42"/>
      <c r="O943" s="42"/>
      <c r="P943" s="42"/>
      <c r="Q943" s="42"/>
    </row>
    <row r="944">
      <c r="A944" s="50"/>
      <c r="B944" s="42"/>
      <c r="C944" s="42"/>
      <c r="D944" s="42"/>
      <c r="E944" s="42"/>
      <c r="F944" s="42"/>
      <c r="G944" s="42"/>
      <c r="H944" s="42"/>
      <c r="I944" s="48"/>
      <c r="J944" s="50"/>
      <c r="K944" s="42"/>
      <c r="L944" s="42"/>
      <c r="M944" s="42"/>
      <c r="N944" s="42"/>
      <c r="O944" s="42"/>
      <c r="P944" s="42"/>
      <c r="Q944" s="42"/>
    </row>
    <row r="945">
      <c r="A945" s="50"/>
      <c r="B945" s="42"/>
      <c r="C945" s="42"/>
      <c r="D945" s="42"/>
      <c r="E945" s="42"/>
      <c r="F945" s="42"/>
      <c r="G945" s="42"/>
      <c r="H945" s="42"/>
      <c r="I945" s="48"/>
      <c r="J945" s="50"/>
      <c r="K945" s="42"/>
      <c r="L945" s="42"/>
      <c r="M945" s="42"/>
      <c r="N945" s="42"/>
      <c r="O945" s="42"/>
      <c r="P945" s="42"/>
      <c r="Q945" s="42"/>
    </row>
    <row r="946">
      <c r="A946" s="50"/>
      <c r="B946" s="42"/>
      <c r="C946" s="42"/>
      <c r="D946" s="42"/>
      <c r="E946" s="42"/>
      <c r="F946" s="42"/>
      <c r="G946" s="42"/>
      <c r="H946" s="42"/>
      <c r="I946" s="48"/>
      <c r="J946" s="50"/>
      <c r="K946" s="42"/>
      <c r="L946" s="42"/>
      <c r="M946" s="42"/>
      <c r="N946" s="42"/>
      <c r="O946" s="42"/>
      <c r="P946" s="42"/>
      <c r="Q946" s="42"/>
    </row>
    <row r="947">
      <c r="A947" s="50"/>
      <c r="B947" s="42"/>
      <c r="C947" s="42"/>
      <c r="D947" s="42"/>
      <c r="E947" s="42"/>
      <c r="F947" s="42"/>
      <c r="G947" s="42"/>
      <c r="H947" s="42"/>
      <c r="I947" s="48"/>
      <c r="J947" s="50"/>
      <c r="K947" s="42"/>
      <c r="L947" s="42"/>
      <c r="M947" s="42"/>
      <c r="N947" s="42"/>
      <c r="O947" s="42"/>
      <c r="P947" s="42"/>
      <c r="Q947" s="42"/>
    </row>
    <row r="948">
      <c r="A948" s="50"/>
      <c r="B948" s="42"/>
      <c r="C948" s="42"/>
      <c r="D948" s="42"/>
      <c r="E948" s="42"/>
      <c r="F948" s="42"/>
      <c r="G948" s="42"/>
      <c r="H948" s="42"/>
      <c r="I948" s="48"/>
      <c r="J948" s="50"/>
      <c r="K948" s="42"/>
      <c r="L948" s="42"/>
      <c r="M948" s="42"/>
      <c r="N948" s="42"/>
      <c r="O948" s="42"/>
      <c r="P948" s="42"/>
      <c r="Q948" s="42"/>
    </row>
    <row r="949">
      <c r="A949" s="50"/>
      <c r="B949" s="42"/>
      <c r="C949" s="42"/>
      <c r="D949" s="42"/>
      <c r="E949" s="42"/>
      <c r="F949" s="42"/>
      <c r="G949" s="42"/>
      <c r="H949" s="42"/>
      <c r="I949" s="48"/>
      <c r="J949" s="50"/>
      <c r="K949" s="42"/>
      <c r="L949" s="42"/>
      <c r="M949" s="42"/>
      <c r="N949" s="42"/>
      <c r="O949" s="42"/>
      <c r="P949" s="42"/>
      <c r="Q949" s="42"/>
    </row>
    <row r="950">
      <c r="A950" s="50"/>
      <c r="B950" s="42"/>
      <c r="C950" s="42"/>
      <c r="D950" s="42"/>
      <c r="E950" s="42"/>
      <c r="F950" s="42"/>
      <c r="G950" s="42"/>
      <c r="H950" s="42"/>
      <c r="I950" s="48"/>
      <c r="J950" s="50"/>
      <c r="K950" s="42"/>
      <c r="L950" s="42"/>
      <c r="M950" s="42"/>
      <c r="N950" s="42"/>
      <c r="O950" s="42"/>
      <c r="P950" s="42"/>
      <c r="Q950" s="42"/>
    </row>
    <row r="951">
      <c r="A951" s="50"/>
      <c r="B951" s="42"/>
      <c r="C951" s="42"/>
      <c r="D951" s="42"/>
      <c r="E951" s="42"/>
      <c r="F951" s="42"/>
      <c r="G951" s="42"/>
      <c r="H951" s="42"/>
      <c r="I951" s="48"/>
      <c r="J951" s="50"/>
      <c r="K951" s="42"/>
      <c r="L951" s="42"/>
      <c r="M951" s="42"/>
      <c r="N951" s="42"/>
      <c r="O951" s="42"/>
      <c r="P951" s="42"/>
      <c r="Q951" s="42"/>
    </row>
    <row r="952">
      <c r="A952" s="50"/>
      <c r="B952" s="42"/>
      <c r="C952" s="42"/>
      <c r="D952" s="42"/>
      <c r="E952" s="42"/>
      <c r="F952" s="42"/>
      <c r="G952" s="42"/>
      <c r="H952" s="42"/>
      <c r="I952" s="48"/>
      <c r="J952" s="50"/>
      <c r="K952" s="42"/>
      <c r="L952" s="42"/>
      <c r="M952" s="42"/>
      <c r="N952" s="42"/>
      <c r="O952" s="42"/>
      <c r="P952" s="42"/>
      <c r="Q952" s="42"/>
    </row>
    <row r="953">
      <c r="A953" s="50"/>
      <c r="B953" s="42"/>
      <c r="C953" s="42"/>
      <c r="D953" s="42"/>
      <c r="E953" s="42"/>
      <c r="F953" s="42"/>
      <c r="G953" s="42"/>
      <c r="H953" s="42"/>
      <c r="I953" s="48"/>
      <c r="J953" s="50"/>
      <c r="K953" s="42"/>
      <c r="L953" s="42"/>
      <c r="M953" s="42"/>
      <c r="N953" s="42"/>
      <c r="O953" s="42"/>
      <c r="P953" s="42"/>
      <c r="Q953" s="42"/>
    </row>
    <row r="954">
      <c r="A954" s="50"/>
      <c r="B954" s="42"/>
      <c r="C954" s="42"/>
      <c r="D954" s="42"/>
      <c r="E954" s="42"/>
      <c r="F954" s="42"/>
      <c r="G954" s="42"/>
      <c r="H954" s="42"/>
      <c r="I954" s="48"/>
      <c r="J954" s="50"/>
      <c r="K954" s="42"/>
      <c r="L954" s="42"/>
      <c r="M954" s="42"/>
      <c r="N954" s="42"/>
      <c r="O954" s="42"/>
      <c r="P954" s="42"/>
      <c r="Q954" s="42"/>
    </row>
    <row r="955">
      <c r="A955" s="50"/>
      <c r="B955" s="42"/>
      <c r="C955" s="42"/>
      <c r="D955" s="42"/>
      <c r="E955" s="42"/>
      <c r="F955" s="42"/>
      <c r="G955" s="42"/>
      <c r="H955" s="42"/>
      <c r="I955" s="48"/>
      <c r="J955" s="50"/>
      <c r="K955" s="42"/>
      <c r="L955" s="42"/>
      <c r="M955" s="42"/>
      <c r="N955" s="42"/>
      <c r="O955" s="42"/>
      <c r="P955" s="42"/>
      <c r="Q955" s="42"/>
    </row>
    <row r="956">
      <c r="A956" s="50"/>
      <c r="B956" s="42"/>
      <c r="C956" s="42"/>
      <c r="D956" s="42"/>
      <c r="E956" s="42"/>
      <c r="F956" s="42"/>
      <c r="G956" s="42"/>
      <c r="H956" s="42"/>
      <c r="I956" s="48"/>
      <c r="J956" s="50"/>
      <c r="K956" s="42"/>
      <c r="L956" s="42"/>
      <c r="M956" s="42"/>
      <c r="N956" s="42"/>
      <c r="O956" s="42"/>
      <c r="P956" s="42"/>
      <c r="Q956" s="42"/>
    </row>
    <row r="957">
      <c r="A957" s="50"/>
      <c r="B957" s="42"/>
      <c r="C957" s="42"/>
      <c r="D957" s="42"/>
      <c r="E957" s="42"/>
      <c r="F957" s="42"/>
      <c r="G957" s="42"/>
      <c r="H957" s="42"/>
      <c r="I957" s="48"/>
      <c r="J957" s="50"/>
      <c r="K957" s="42"/>
      <c r="L957" s="42"/>
      <c r="M957" s="42"/>
      <c r="N957" s="42"/>
      <c r="O957" s="42"/>
      <c r="P957" s="42"/>
      <c r="Q957" s="42"/>
    </row>
    <row r="958">
      <c r="A958" s="50"/>
      <c r="B958" s="42"/>
      <c r="C958" s="42"/>
      <c r="D958" s="42"/>
      <c r="E958" s="42"/>
      <c r="F958" s="42"/>
      <c r="G958" s="42"/>
      <c r="H958" s="42"/>
      <c r="I958" s="48"/>
      <c r="J958" s="50"/>
      <c r="K958" s="42"/>
      <c r="L958" s="42"/>
      <c r="M958" s="42"/>
      <c r="N958" s="42"/>
      <c r="O958" s="42"/>
      <c r="P958" s="42"/>
      <c r="Q958" s="42"/>
    </row>
    <row r="959">
      <c r="A959" s="50"/>
      <c r="B959" s="42"/>
      <c r="C959" s="42"/>
      <c r="D959" s="42"/>
      <c r="E959" s="42"/>
      <c r="F959" s="42"/>
      <c r="G959" s="42"/>
      <c r="H959" s="42"/>
      <c r="I959" s="48"/>
      <c r="J959" s="50"/>
      <c r="K959" s="42"/>
      <c r="L959" s="42"/>
      <c r="M959" s="42"/>
      <c r="N959" s="42"/>
      <c r="O959" s="42"/>
      <c r="P959" s="42"/>
      <c r="Q959" s="42"/>
    </row>
    <row r="960">
      <c r="A960" s="50"/>
      <c r="B960" s="42"/>
      <c r="C960" s="42"/>
      <c r="D960" s="42"/>
      <c r="E960" s="42"/>
      <c r="F960" s="42"/>
      <c r="G960" s="42"/>
      <c r="H960" s="42"/>
      <c r="I960" s="48"/>
      <c r="J960" s="50"/>
      <c r="K960" s="42"/>
      <c r="L960" s="42"/>
      <c r="M960" s="42"/>
      <c r="N960" s="42"/>
      <c r="O960" s="42"/>
      <c r="P960" s="42"/>
      <c r="Q960" s="42"/>
    </row>
    <row r="961">
      <c r="A961" s="50"/>
      <c r="B961" s="42"/>
      <c r="C961" s="42"/>
      <c r="D961" s="42"/>
      <c r="E961" s="42"/>
      <c r="F961" s="42"/>
      <c r="G961" s="42"/>
      <c r="H961" s="42"/>
      <c r="I961" s="48"/>
      <c r="J961" s="50"/>
      <c r="K961" s="42"/>
      <c r="L961" s="42"/>
      <c r="M961" s="42"/>
      <c r="N961" s="42"/>
      <c r="O961" s="42"/>
      <c r="P961" s="42"/>
      <c r="Q961" s="42"/>
    </row>
    <row r="962">
      <c r="A962" s="50"/>
      <c r="B962" s="42"/>
      <c r="C962" s="42"/>
      <c r="D962" s="42"/>
      <c r="E962" s="42"/>
      <c r="F962" s="42"/>
      <c r="G962" s="42"/>
      <c r="H962" s="42"/>
      <c r="I962" s="48"/>
      <c r="J962" s="50"/>
      <c r="K962" s="42"/>
      <c r="L962" s="42"/>
      <c r="M962" s="42"/>
      <c r="N962" s="42"/>
      <c r="O962" s="42"/>
      <c r="P962" s="42"/>
      <c r="Q962" s="42"/>
    </row>
    <row r="963">
      <c r="A963" s="50"/>
      <c r="B963" s="42"/>
      <c r="C963" s="42"/>
      <c r="D963" s="42"/>
      <c r="E963" s="42"/>
      <c r="F963" s="42"/>
      <c r="G963" s="42"/>
      <c r="H963" s="42"/>
      <c r="I963" s="48"/>
      <c r="J963" s="50"/>
      <c r="K963" s="42"/>
      <c r="L963" s="42"/>
      <c r="M963" s="42"/>
      <c r="N963" s="42"/>
      <c r="O963" s="42"/>
      <c r="P963" s="42"/>
      <c r="Q963" s="42"/>
    </row>
    <row r="964">
      <c r="A964" s="50"/>
      <c r="B964" s="42"/>
      <c r="C964" s="42"/>
      <c r="D964" s="42"/>
      <c r="E964" s="42"/>
      <c r="F964" s="42"/>
      <c r="G964" s="42"/>
      <c r="H964" s="42"/>
      <c r="I964" s="48"/>
      <c r="J964" s="50"/>
      <c r="K964" s="42"/>
      <c r="L964" s="42"/>
      <c r="M964" s="42"/>
      <c r="N964" s="42"/>
      <c r="O964" s="42"/>
      <c r="P964" s="42"/>
      <c r="Q964" s="42"/>
    </row>
    <row r="965">
      <c r="A965" s="50"/>
      <c r="B965" s="42"/>
      <c r="C965" s="42"/>
      <c r="D965" s="42"/>
      <c r="E965" s="42"/>
      <c r="F965" s="42"/>
      <c r="G965" s="42"/>
      <c r="H965" s="42"/>
      <c r="I965" s="48"/>
      <c r="J965" s="50"/>
      <c r="K965" s="42"/>
      <c r="L965" s="42"/>
      <c r="M965" s="42"/>
      <c r="N965" s="42"/>
      <c r="O965" s="42"/>
      <c r="P965" s="42"/>
      <c r="Q965" s="42"/>
    </row>
    <row r="966">
      <c r="A966" s="50"/>
      <c r="B966" s="42"/>
      <c r="C966" s="42"/>
      <c r="D966" s="42"/>
      <c r="E966" s="42"/>
      <c r="F966" s="42"/>
      <c r="G966" s="42"/>
      <c r="H966" s="42"/>
      <c r="I966" s="48"/>
      <c r="J966" s="50"/>
      <c r="K966" s="42"/>
      <c r="L966" s="42"/>
      <c r="M966" s="42"/>
      <c r="N966" s="42"/>
      <c r="O966" s="42"/>
      <c r="P966" s="42"/>
      <c r="Q966" s="42"/>
    </row>
    <row r="967">
      <c r="A967" s="50"/>
      <c r="B967" s="42"/>
      <c r="C967" s="42"/>
      <c r="D967" s="42"/>
      <c r="E967" s="42"/>
      <c r="F967" s="42"/>
      <c r="G967" s="42"/>
      <c r="H967" s="42"/>
      <c r="I967" s="48"/>
      <c r="J967" s="50"/>
      <c r="K967" s="42"/>
      <c r="L967" s="42"/>
      <c r="M967" s="42"/>
      <c r="N967" s="42"/>
      <c r="O967" s="42"/>
      <c r="P967" s="42"/>
      <c r="Q967" s="42"/>
    </row>
    <row r="968">
      <c r="A968" s="50"/>
      <c r="B968" s="42"/>
      <c r="C968" s="42"/>
      <c r="D968" s="42"/>
      <c r="E968" s="42"/>
      <c r="F968" s="42"/>
      <c r="G968" s="42"/>
      <c r="H968" s="42"/>
      <c r="I968" s="48"/>
      <c r="J968" s="50"/>
      <c r="K968" s="42"/>
      <c r="L968" s="42"/>
      <c r="M968" s="42"/>
      <c r="N968" s="42"/>
      <c r="O968" s="42"/>
      <c r="P968" s="42"/>
      <c r="Q968" s="42"/>
    </row>
    <row r="969">
      <c r="A969" s="50"/>
      <c r="B969" s="42"/>
      <c r="C969" s="42"/>
      <c r="D969" s="42"/>
      <c r="E969" s="42"/>
      <c r="F969" s="42"/>
      <c r="G969" s="42"/>
      <c r="H969" s="42"/>
      <c r="I969" s="48"/>
      <c r="J969" s="50"/>
      <c r="K969" s="42"/>
      <c r="L969" s="42"/>
      <c r="M969" s="42"/>
      <c r="N969" s="42"/>
      <c r="O969" s="42"/>
      <c r="P969" s="42"/>
      <c r="Q969" s="42"/>
    </row>
    <row r="970">
      <c r="A970" s="50"/>
      <c r="B970" s="42"/>
      <c r="C970" s="42"/>
      <c r="D970" s="42"/>
      <c r="E970" s="42"/>
      <c r="F970" s="42"/>
      <c r="G970" s="42"/>
      <c r="H970" s="42"/>
      <c r="I970" s="48"/>
      <c r="J970" s="50"/>
      <c r="K970" s="42"/>
      <c r="L970" s="42"/>
      <c r="M970" s="42"/>
      <c r="N970" s="42"/>
      <c r="O970" s="42"/>
      <c r="P970" s="42"/>
      <c r="Q970" s="42"/>
    </row>
    <row r="971">
      <c r="A971" s="50"/>
      <c r="B971" s="42"/>
      <c r="C971" s="42"/>
      <c r="D971" s="42"/>
      <c r="E971" s="42"/>
      <c r="F971" s="42"/>
      <c r="G971" s="42"/>
      <c r="H971" s="42"/>
      <c r="I971" s="48"/>
      <c r="J971" s="50"/>
      <c r="K971" s="42"/>
      <c r="L971" s="42"/>
      <c r="M971" s="42"/>
      <c r="N971" s="42"/>
      <c r="O971" s="42"/>
      <c r="P971" s="42"/>
      <c r="Q971" s="42"/>
    </row>
    <row r="972">
      <c r="A972" s="50"/>
      <c r="B972" s="42"/>
      <c r="C972" s="42"/>
      <c r="D972" s="42"/>
      <c r="E972" s="42"/>
      <c r="F972" s="42"/>
      <c r="G972" s="42"/>
      <c r="H972" s="42"/>
      <c r="I972" s="48"/>
      <c r="J972" s="50"/>
      <c r="K972" s="42"/>
      <c r="L972" s="42"/>
      <c r="M972" s="42"/>
      <c r="N972" s="42"/>
      <c r="O972" s="42"/>
      <c r="P972" s="42"/>
      <c r="Q972" s="42"/>
    </row>
    <row r="973">
      <c r="A973" s="50"/>
      <c r="B973" s="42"/>
      <c r="C973" s="42"/>
      <c r="D973" s="42"/>
      <c r="E973" s="42"/>
      <c r="F973" s="42"/>
      <c r="G973" s="42"/>
      <c r="H973" s="42"/>
      <c r="I973" s="48"/>
      <c r="J973" s="50"/>
      <c r="K973" s="42"/>
      <c r="L973" s="42"/>
      <c r="M973" s="42"/>
      <c r="N973" s="42"/>
      <c r="O973" s="42"/>
      <c r="P973" s="42"/>
      <c r="Q973" s="42"/>
    </row>
    <row r="974">
      <c r="A974" s="50"/>
      <c r="B974" s="42"/>
      <c r="C974" s="42"/>
      <c r="D974" s="42"/>
      <c r="E974" s="42"/>
      <c r="F974" s="42"/>
      <c r="G974" s="42"/>
      <c r="H974" s="42"/>
      <c r="I974" s="48"/>
      <c r="J974" s="50"/>
      <c r="K974" s="42"/>
      <c r="L974" s="42"/>
      <c r="M974" s="42"/>
      <c r="N974" s="42"/>
      <c r="O974" s="42"/>
      <c r="P974" s="42"/>
      <c r="Q974" s="42"/>
    </row>
    <row r="975">
      <c r="A975" s="50"/>
      <c r="B975" s="42"/>
      <c r="C975" s="42"/>
      <c r="D975" s="42"/>
      <c r="E975" s="42"/>
      <c r="F975" s="42"/>
      <c r="G975" s="42"/>
      <c r="H975" s="42"/>
      <c r="I975" s="48"/>
      <c r="J975" s="50"/>
      <c r="K975" s="42"/>
      <c r="L975" s="42"/>
      <c r="M975" s="42"/>
      <c r="N975" s="42"/>
      <c r="O975" s="42"/>
      <c r="P975" s="42"/>
      <c r="Q975" s="42"/>
    </row>
    <row r="976">
      <c r="A976" s="50"/>
      <c r="B976" s="42"/>
      <c r="C976" s="42"/>
      <c r="D976" s="42"/>
      <c r="E976" s="42"/>
      <c r="F976" s="42"/>
      <c r="G976" s="42"/>
      <c r="H976" s="42"/>
      <c r="I976" s="48"/>
      <c r="J976" s="50"/>
      <c r="K976" s="42"/>
      <c r="L976" s="42"/>
      <c r="M976" s="42"/>
      <c r="N976" s="42"/>
      <c r="O976" s="42"/>
      <c r="P976" s="42"/>
      <c r="Q976" s="42"/>
    </row>
    <row r="977">
      <c r="A977" s="50"/>
      <c r="B977" s="42"/>
      <c r="C977" s="42"/>
      <c r="D977" s="42"/>
      <c r="E977" s="42"/>
      <c r="F977" s="42"/>
      <c r="G977" s="42"/>
      <c r="H977" s="42"/>
      <c r="I977" s="48"/>
      <c r="J977" s="50"/>
      <c r="K977" s="42"/>
      <c r="L977" s="42"/>
      <c r="M977" s="42"/>
      <c r="N977" s="42"/>
      <c r="O977" s="42"/>
      <c r="P977" s="42"/>
      <c r="Q977" s="42"/>
    </row>
    <row r="978">
      <c r="A978" s="50"/>
      <c r="B978" s="42"/>
      <c r="C978" s="42"/>
      <c r="D978" s="42"/>
      <c r="E978" s="42"/>
      <c r="F978" s="42"/>
      <c r="G978" s="42"/>
      <c r="H978" s="42"/>
      <c r="I978" s="48"/>
      <c r="J978" s="50"/>
      <c r="K978" s="42"/>
      <c r="L978" s="42"/>
      <c r="M978" s="42"/>
      <c r="N978" s="42"/>
      <c r="O978" s="42"/>
      <c r="P978" s="42"/>
      <c r="Q978" s="42"/>
    </row>
    <row r="979">
      <c r="A979" s="50"/>
      <c r="B979" s="42"/>
      <c r="C979" s="42"/>
      <c r="D979" s="42"/>
      <c r="E979" s="42"/>
      <c r="F979" s="42"/>
      <c r="G979" s="42"/>
      <c r="H979" s="42"/>
      <c r="I979" s="48"/>
      <c r="J979" s="50"/>
      <c r="K979" s="42"/>
      <c r="L979" s="42"/>
      <c r="M979" s="42"/>
      <c r="N979" s="42"/>
      <c r="O979" s="42"/>
      <c r="P979" s="42"/>
      <c r="Q979" s="42"/>
    </row>
    <row r="980">
      <c r="A980" s="50"/>
      <c r="B980" s="42"/>
      <c r="C980" s="42"/>
      <c r="D980" s="42"/>
      <c r="E980" s="42"/>
      <c r="F980" s="42"/>
      <c r="G980" s="42"/>
      <c r="H980" s="42"/>
      <c r="I980" s="48"/>
      <c r="J980" s="50"/>
      <c r="K980" s="42"/>
      <c r="L980" s="42"/>
      <c r="M980" s="42"/>
      <c r="N980" s="42"/>
      <c r="O980" s="42"/>
      <c r="P980" s="42"/>
      <c r="Q980" s="42"/>
    </row>
    <row r="981">
      <c r="A981" s="50"/>
      <c r="B981" s="42"/>
      <c r="C981" s="42"/>
      <c r="D981" s="42"/>
      <c r="E981" s="42"/>
      <c r="F981" s="42"/>
      <c r="G981" s="42"/>
      <c r="H981" s="42"/>
      <c r="I981" s="48"/>
      <c r="J981" s="50"/>
      <c r="K981" s="42"/>
      <c r="L981" s="42"/>
      <c r="M981" s="42"/>
      <c r="N981" s="42"/>
      <c r="O981" s="42"/>
      <c r="P981" s="42"/>
      <c r="Q981" s="42"/>
    </row>
    <row r="982">
      <c r="A982" s="50"/>
      <c r="B982" s="42"/>
      <c r="C982" s="42"/>
      <c r="D982" s="42"/>
      <c r="E982" s="42"/>
      <c r="F982" s="42"/>
      <c r="G982" s="42"/>
      <c r="H982" s="42"/>
      <c r="I982" s="48"/>
      <c r="J982" s="50"/>
      <c r="K982" s="42"/>
      <c r="L982" s="42"/>
      <c r="M982" s="42"/>
      <c r="N982" s="42"/>
      <c r="O982" s="42"/>
      <c r="P982" s="42"/>
      <c r="Q982" s="42"/>
    </row>
    <row r="983">
      <c r="A983" s="50"/>
      <c r="B983" s="42"/>
      <c r="C983" s="42"/>
      <c r="D983" s="42"/>
      <c r="E983" s="42"/>
      <c r="F983" s="42"/>
      <c r="G983" s="42"/>
      <c r="H983" s="42"/>
      <c r="I983" s="48"/>
      <c r="J983" s="50"/>
      <c r="K983" s="42"/>
      <c r="L983" s="42"/>
      <c r="M983" s="42"/>
      <c r="N983" s="42"/>
      <c r="O983" s="42"/>
      <c r="P983" s="42"/>
      <c r="Q983" s="42"/>
    </row>
    <row r="984">
      <c r="A984" s="50"/>
      <c r="B984" s="42"/>
      <c r="C984" s="42"/>
      <c r="D984" s="42"/>
      <c r="E984" s="42"/>
      <c r="F984" s="42"/>
      <c r="G984" s="42"/>
      <c r="H984" s="42"/>
      <c r="I984" s="48"/>
      <c r="J984" s="50"/>
      <c r="K984" s="42"/>
      <c r="L984" s="42"/>
      <c r="M984" s="42"/>
      <c r="N984" s="42"/>
      <c r="O984" s="42"/>
      <c r="P984" s="42"/>
      <c r="Q984" s="42"/>
    </row>
    <row r="985">
      <c r="A985" s="50"/>
      <c r="B985" s="42"/>
      <c r="C985" s="42"/>
      <c r="D985" s="42"/>
      <c r="E985" s="42"/>
      <c r="F985" s="42"/>
      <c r="G985" s="42"/>
      <c r="H985" s="42"/>
      <c r="I985" s="48"/>
      <c r="J985" s="50"/>
      <c r="K985" s="42"/>
      <c r="L985" s="42"/>
      <c r="M985" s="42"/>
      <c r="N985" s="42"/>
      <c r="O985" s="42"/>
      <c r="P985" s="42"/>
      <c r="Q985" s="42"/>
    </row>
    <row r="986">
      <c r="A986" s="50"/>
      <c r="B986" s="42"/>
      <c r="C986" s="42"/>
      <c r="D986" s="42"/>
      <c r="E986" s="42"/>
      <c r="F986" s="42"/>
      <c r="G986" s="42"/>
      <c r="H986" s="42"/>
      <c r="I986" s="48"/>
      <c r="J986" s="50"/>
      <c r="K986" s="42"/>
      <c r="L986" s="42"/>
      <c r="M986" s="42"/>
      <c r="N986" s="42"/>
      <c r="O986" s="42"/>
      <c r="P986" s="42"/>
      <c r="Q986" s="42"/>
    </row>
    <row r="987">
      <c r="A987" s="50"/>
      <c r="B987" s="42"/>
      <c r="C987" s="42"/>
      <c r="D987" s="42"/>
      <c r="E987" s="42"/>
      <c r="F987" s="42"/>
      <c r="G987" s="42"/>
      <c r="H987" s="42"/>
      <c r="I987" s="48"/>
      <c r="J987" s="50"/>
      <c r="K987" s="42"/>
      <c r="L987" s="42"/>
      <c r="M987" s="42"/>
      <c r="N987" s="42"/>
      <c r="O987" s="42"/>
      <c r="P987" s="42"/>
      <c r="Q987" s="42"/>
    </row>
    <row r="988">
      <c r="A988" s="50"/>
      <c r="B988" s="42"/>
      <c r="C988" s="42"/>
      <c r="D988" s="42"/>
      <c r="E988" s="42"/>
      <c r="F988" s="42"/>
      <c r="G988" s="42"/>
      <c r="H988" s="42"/>
      <c r="I988" s="48"/>
      <c r="J988" s="50"/>
      <c r="K988" s="42"/>
      <c r="L988" s="42"/>
      <c r="M988" s="42"/>
      <c r="N988" s="42"/>
      <c r="O988" s="42"/>
      <c r="P988" s="42"/>
      <c r="Q988" s="42"/>
    </row>
    <row r="989">
      <c r="A989" s="50"/>
      <c r="B989" s="42"/>
      <c r="C989" s="42"/>
      <c r="D989" s="42"/>
      <c r="E989" s="42"/>
      <c r="F989" s="42"/>
      <c r="G989" s="42"/>
      <c r="H989" s="42"/>
      <c r="I989" s="48"/>
      <c r="J989" s="50"/>
      <c r="K989" s="42"/>
      <c r="L989" s="42"/>
      <c r="M989" s="42"/>
      <c r="N989" s="42"/>
      <c r="O989" s="42"/>
      <c r="P989" s="42"/>
      <c r="Q989" s="42"/>
    </row>
    <row r="990">
      <c r="A990" s="50"/>
      <c r="B990" s="42"/>
      <c r="C990" s="42"/>
      <c r="D990" s="42"/>
      <c r="E990" s="42"/>
      <c r="F990" s="42"/>
      <c r="G990" s="42"/>
      <c r="H990" s="42"/>
      <c r="I990" s="48"/>
      <c r="J990" s="50"/>
      <c r="K990" s="42"/>
      <c r="L990" s="42"/>
      <c r="M990" s="42"/>
      <c r="N990" s="42"/>
      <c r="O990" s="42"/>
      <c r="P990" s="42"/>
      <c r="Q990" s="42"/>
    </row>
    <row r="991">
      <c r="A991" s="50"/>
      <c r="B991" s="42"/>
      <c r="C991" s="42"/>
      <c r="D991" s="42"/>
      <c r="E991" s="42"/>
      <c r="F991" s="42"/>
      <c r="G991" s="42"/>
      <c r="H991" s="42"/>
      <c r="I991" s="48"/>
      <c r="J991" s="50"/>
      <c r="K991" s="42"/>
      <c r="L991" s="42"/>
      <c r="M991" s="42"/>
      <c r="N991" s="42"/>
      <c r="O991" s="42"/>
      <c r="P991" s="42"/>
      <c r="Q991" s="42"/>
    </row>
    <row r="992">
      <c r="A992" s="50"/>
      <c r="B992" s="42"/>
      <c r="C992" s="42"/>
      <c r="D992" s="42"/>
      <c r="E992" s="42"/>
      <c r="F992" s="42"/>
      <c r="G992" s="42"/>
      <c r="H992" s="42"/>
      <c r="I992" s="48"/>
      <c r="J992" s="50"/>
      <c r="K992" s="42"/>
      <c r="L992" s="42"/>
      <c r="M992" s="42"/>
      <c r="N992" s="42"/>
      <c r="O992" s="42"/>
      <c r="P992" s="42"/>
      <c r="Q992" s="42"/>
    </row>
    <row r="993">
      <c r="A993" s="50"/>
      <c r="B993" s="42"/>
      <c r="C993" s="42"/>
      <c r="D993" s="42"/>
      <c r="E993" s="42"/>
      <c r="F993" s="42"/>
      <c r="G993" s="42"/>
      <c r="H993" s="42"/>
      <c r="I993" s="48"/>
      <c r="J993" s="50"/>
      <c r="K993" s="42"/>
      <c r="L993" s="42"/>
      <c r="M993" s="42"/>
      <c r="N993" s="42"/>
      <c r="O993" s="42"/>
      <c r="P993" s="42"/>
      <c r="Q993" s="42"/>
    </row>
    <row r="994">
      <c r="A994" s="50"/>
      <c r="B994" s="42"/>
      <c r="C994" s="42"/>
      <c r="D994" s="42"/>
      <c r="E994" s="42"/>
      <c r="F994" s="42"/>
      <c r="G994" s="42"/>
      <c r="H994" s="42"/>
      <c r="I994" s="48"/>
      <c r="J994" s="50"/>
      <c r="K994" s="42"/>
      <c r="L994" s="42"/>
      <c r="M994" s="42"/>
      <c r="N994" s="42"/>
      <c r="O994" s="42"/>
      <c r="P994" s="42"/>
      <c r="Q994" s="42"/>
    </row>
    <row r="995">
      <c r="A995" s="50"/>
      <c r="B995" s="42"/>
      <c r="C995" s="42"/>
      <c r="D995" s="42"/>
      <c r="E995" s="42"/>
      <c r="F995" s="42"/>
      <c r="G995" s="42"/>
      <c r="H995" s="42"/>
      <c r="I995" s="48"/>
      <c r="J995" s="50"/>
      <c r="K995" s="42"/>
      <c r="L995" s="42"/>
      <c r="M995" s="42"/>
      <c r="N995" s="42"/>
      <c r="O995" s="42"/>
      <c r="P995" s="42"/>
      <c r="Q995" s="42"/>
    </row>
    <row r="996">
      <c r="A996" s="50"/>
      <c r="B996" s="42"/>
      <c r="C996" s="42"/>
      <c r="D996" s="42"/>
      <c r="E996" s="42"/>
      <c r="F996" s="42"/>
      <c r="G996" s="42"/>
      <c r="H996" s="42"/>
      <c r="I996" s="48"/>
      <c r="J996" s="50"/>
      <c r="K996" s="42"/>
      <c r="L996" s="42"/>
      <c r="M996" s="42"/>
      <c r="N996" s="42"/>
      <c r="O996" s="42"/>
      <c r="P996" s="42"/>
      <c r="Q996" s="42"/>
    </row>
    <row r="997">
      <c r="A997" s="50"/>
      <c r="B997" s="42"/>
      <c r="C997" s="42"/>
      <c r="D997" s="42"/>
      <c r="E997" s="42"/>
      <c r="F997" s="42"/>
      <c r="G997" s="42"/>
      <c r="H997" s="42"/>
      <c r="I997" s="48"/>
      <c r="J997" s="50"/>
      <c r="K997" s="42"/>
      <c r="L997" s="42"/>
      <c r="M997" s="42"/>
      <c r="N997" s="42"/>
      <c r="O997" s="42"/>
      <c r="P997" s="42"/>
      <c r="Q997" s="42"/>
    </row>
    <row r="998">
      <c r="A998" s="50"/>
      <c r="B998" s="42"/>
      <c r="C998" s="42"/>
      <c r="D998" s="42"/>
      <c r="E998" s="42"/>
      <c r="F998" s="42"/>
      <c r="G998" s="42"/>
      <c r="H998" s="42"/>
      <c r="I998" s="48"/>
      <c r="J998" s="50"/>
      <c r="K998" s="42"/>
      <c r="L998" s="42"/>
      <c r="M998" s="42"/>
      <c r="N998" s="42"/>
      <c r="O998" s="42"/>
      <c r="P998" s="42"/>
      <c r="Q998" s="42"/>
    </row>
    <row r="999">
      <c r="A999" s="50"/>
      <c r="B999" s="42"/>
      <c r="C999" s="42"/>
      <c r="D999" s="42"/>
      <c r="E999" s="42"/>
      <c r="F999" s="42"/>
      <c r="G999" s="42"/>
      <c r="H999" s="42"/>
      <c r="I999" s="48"/>
      <c r="J999" s="50"/>
      <c r="K999" s="42"/>
      <c r="L999" s="42"/>
      <c r="M999" s="42"/>
      <c r="N999" s="42"/>
      <c r="O999" s="42"/>
      <c r="P999" s="42"/>
      <c r="Q999" s="42"/>
    </row>
    <row r="1000">
      <c r="A1000" s="50"/>
      <c r="B1000" s="42"/>
      <c r="C1000" s="42"/>
      <c r="D1000" s="42"/>
      <c r="E1000" s="42"/>
      <c r="F1000" s="42"/>
      <c r="G1000" s="42"/>
      <c r="H1000" s="42"/>
      <c r="I1000" s="48"/>
      <c r="J1000" s="50"/>
      <c r="K1000" s="42"/>
      <c r="L1000" s="42"/>
      <c r="M1000" s="42"/>
      <c r="N1000" s="42"/>
      <c r="O1000" s="42"/>
      <c r="P1000" s="42"/>
      <c r="Q1000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75"/>
    <col customWidth="1" min="7" max="7" width="16.88"/>
    <col customWidth="1" min="8" max="8" width="16.63"/>
    <col customWidth="1" min="9" max="9" width="18.0"/>
    <col customWidth="1" min="10" max="10" width="32.13"/>
  </cols>
  <sheetData>
    <row r="1">
      <c r="A1" s="51" t="s">
        <v>0</v>
      </c>
      <c r="B1" s="51" t="s">
        <v>1683</v>
      </c>
      <c r="C1" s="52" t="s">
        <v>1684</v>
      </c>
      <c r="D1" s="52" t="s">
        <v>15</v>
      </c>
      <c r="E1" s="52" t="s">
        <v>17</v>
      </c>
      <c r="F1" s="53" t="s">
        <v>1685</v>
      </c>
      <c r="G1" s="54" t="s">
        <v>1686</v>
      </c>
      <c r="H1" s="55" t="s">
        <v>1687</v>
      </c>
      <c r="I1" s="56" t="s">
        <v>1688</v>
      </c>
      <c r="J1" s="57" t="s">
        <v>1689</v>
      </c>
      <c r="K1" s="52" t="s">
        <v>1690</v>
      </c>
      <c r="L1" s="58"/>
      <c r="M1" s="58"/>
      <c r="N1" s="58"/>
      <c r="O1" s="58"/>
      <c r="P1" s="58"/>
      <c r="Q1" s="58"/>
      <c r="R1" s="58"/>
      <c r="S1" s="58"/>
    </row>
    <row r="2">
      <c r="A2" s="59" t="s">
        <v>24</v>
      </c>
      <c r="B2" s="60">
        <v>2201.7</v>
      </c>
      <c r="C2" s="61">
        <v>11618.21</v>
      </c>
      <c r="D2" s="61">
        <v>2228.94</v>
      </c>
      <c r="E2" s="61">
        <v>58243.7</v>
      </c>
      <c r="F2" s="62">
        <f t="shared" ref="F2:F200" si="1">C2*B2</f>
        <v>25579812.96</v>
      </c>
      <c r="G2" s="63">
        <f t="shared" ref="G2:G200" si="2">B2*D2</f>
        <v>4907457.198</v>
      </c>
      <c r="H2" s="64">
        <f t="shared" ref="H2:H200" si="3">B2*E2</f>
        <v>128235154.3</v>
      </c>
      <c r="I2" s="65" t="str">
        <f t="shared" ref="I2:I200" si="4">TEXT(ROUND(C2,0),"#,##0") &amp; " (" &amp; TEXT(ROUND(D2,0),"#,##0") &amp; "-" &amp; TEXT(ROUND(E2,0),"#,##0") &amp; ")"</f>
        <v>11,618 (2,229-58,244)</v>
      </c>
      <c r="J2" s="66" t="str">
        <f t="shared" ref="J2:J200" si="5">TEXT(ROUND(F2,0),"#,##0") &amp; " (" &amp; TEXT(ROUND(G2,0),"#,##0") &amp; "-" &amp; TEXT(ROUND(H2,0),"#,##0") &amp; ")"</f>
        <v>25,579,813 (4,907,457-128,235,154)</v>
      </c>
      <c r="K2" s="61" t="s">
        <v>1691</v>
      </c>
      <c r="L2" s="62"/>
      <c r="M2" s="62"/>
      <c r="N2" s="62"/>
      <c r="O2" s="62"/>
      <c r="P2" s="62"/>
      <c r="Q2" s="62"/>
      <c r="R2" s="62"/>
      <c r="S2" s="62"/>
    </row>
    <row r="3">
      <c r="A3" s="59" t="s">
        <v>139</v>
      </c>
      <c r="B3" s="60">
        <v>23487.99</v>
      </c>
      <c r="C3" s="61">
        <v>54.83</v>
      </c>
      <c r="D3" s="61">
        <v>33.16</v>
      </c>
      <c r="E3" s="61">
        <v>77.99</v>
      </c>
      <c r="F3" s="62">
        <f t="shared" si="1"/>
        <v>1287846.492</v>
      </c>
      <c r="G3" s="63">
        <f t="shared" si="2"/>
        <v>778861.7484</v>
      </c>
      <c r="H3" s="64">
        <f t="shared" si="3"/>
        <v>1831828.34</v>
      </c>
      <c r="I3" s="65" t="str">
        <f t="shared" si="4"/>
        <v>55 (33-78)</v>
      </c>
      <c r="J3" s="66" t="str">
        <f t="shared" si="5"/>
        <v>1,287,846 (778,862-1,831,828)</v>
      </c>
      <c r="K3" s="62"/>
      <c r="L3" s="62"/>
      <c r="M3" s="62"/>
      <c r="N3" s="62"/>
      <c r="O3" s="62"/>
      <c r="P3" s="62"/>
      <c r="Q3" s="62"/>
      <c r="R3" s="62"/>
      <c r="S3" s="62"/>
    </row>
    <row r="4">
      <c r="A4" s="59" t="s">
        <v>30</v>
      </c>
      <c r="B4" s="60">
        <v>17552.77</v>
      </c>
      <c r="C4" s="61">
        <v>3232.18</v>
      </c>
      <c r="D4" s="61">
        <v>2228.84</v>
      </c>
      <c r="E4" s="61">
        <v>4739.11</v>
      </c>
      <c r="F4" s="62">
        <f t="shared" si="1"/>
        <v>56733712.14</v>
      </c>
      <c r="G4" s="63">
        <f t="shared" si="2"/>
        <v>39122315.89</v>
      </c>
      <c r="H4" s="64">
        <f t="shared" si="3"/>
        <v>83184507.83</v>
      </c>
      <c r="I4" s="65" t="str">
        <f t="shared" si="4"/>
        <v>3,232 (2,229-4,739)</v>
      </c>
      <c r="J4" s="66" t="str">
        <f t="shared" si="5"/>
        <v>56,733,712 (39,122,316-83,184,508)</v>
      </c>
      <c r="K4" s="62"/>
      <c r="L4" s="62"/>
      <c r="M4" s="62"/>
      <c r="N4" s="62"/>
      <c r="O4" s="62"/>
      <c r="P4" s="62"/>
      <c r="Q4" s="62"/>
      <c r="R4" s="62"/>
      <c r="S4" s="62"/>
    </row>
    <row r="5">
      <c r="A5" s="59" t="s">
        <v>56</v>
      </c>
      <c r="B5" s="60">
        <v>18017.46</v>
      </c>
      <c r="C5" s="61">
        <v>1.38</v>
      </c>
      <c r="D5" s="61">
        <v>0.73</v>
      </c>
      <c r="E5" s="61">
        <v>2.42</v>
      </c>
      <c r="F5" s="62">
        <f t="shared" si="1"/>
        <v>24864.0948</v>
      </c>
      <c r="G5" s="63">
        <f t="shared" si="2"/>
        <v>13152.7458</v>
      </c>
      <c r="H5" s="64">
        <f t="shared" si="3"/>
        <v>43602.2532</v>
      </c>
      <c r="I5" s="65" t="str">
        <f t="shared" si="4"/>
        <v>1 (1-2)</v>
      </c>
      <c r="J5" s="66" t="str">
        <f t="shared" si="5"/>
        <v>24,864 (13,153-43,602)</v>
      </c>
      <c r="K5" s="62"/>
      <c r="L5" s="62"/>
      <c r="M5" s="62"/>
      <c r="N5" s="62"/>
      <c r="O5" s="62"/>
      <c r="P5" s="62"/>
      <c r="Q5" s="62"/>
      <c r="R5" s="62"/>
      <c r="S5" s="62"/>
    </row>
    <row r="6">
      <c r="A6" s="59" t="s">
        <v>171</v>
      </c>
      <c r="B6" s="60">
        <v>74939.47</v>
      </c>
      <c r="C6" s="61">
        <v>1.31</v>
      </c>
      <c r="D6" s="61">
        <v>0.78</v>
      </c>
      <c r="E6" s="61">
        <v>2.04</v>
      </c>
      <c r="F6" s="62">
        <f t="shared" si="1"/>
        <v>98170.7057</v>
      </c>
      <c r="G6" s="63">
        <f t="shared" si="2"/>
        <v>58452.7866</v>
      </c>
      <c r="H6" s="64">
        <f t="shared" si="3"/>
        <v>152876.5188</v>
      </c>
      <c r="I6" s="65" t="str">
        <f t="shared" si="4"/>
        <v>1 (1-2)</v>
      </c>
      <c r="J6" s="66" t="str">
        <f t="shared" si="5"/>
        <v>98,171 (58,453-152,877)</v>
      </c>
      <c r="K6" s="62"/>
      <c r="L6" s="62"/>
      <c r="M6" s="62"/>
      <c r="N6" s="62"/>
      <c r="O6" s="62"/>
      <c r="P6" s="62"/>
      <c r="Q6" s="62"/>
      <c r="R6" s="62"/>
      <c r="S6" s="62"/>
    </row>
    <row r="7">
      <c r="A7" s="59" t="s">
        <v>84</v>
      </c>
      <c r="B7" s="60">
        <v>8347.953</v>
      </c>
      <c r="C7" s="61">
        <v>2354.67</v>
      </c>
      <c r="D7" s="61">
        <v>1028.88</v>
      </c>
      <c r="E7" s="61">
        <v>5505.18</v>
      </c>
      <c r="F7" s="62">
        <f t="shared" si="1"/>
        <v>19656674.49</v>
      </c>
      <c r="G7" s="63">
        <f t="shared" si="2"/>
        <v>8589041.883</v>
      </c>
      <c r="H7" s="64">
        <f t="shared" si="3"/>
        <v>45956983.9</v>
      </c>
      <c r="I7" s="65" t="str">
        <f t="shared" si="4"/>
        <v>2,355 (1,029-5,505)</v>
      </c>
      <c r="J7" s="66" t="str">
        <f t="shared" si="5"/>
        <v>19,656,674 (8,589,042-45,956,984)</v>
      </c>
      <c r="K7" s="62"/>
      <c r="L7" s="62"/>
      <c r="M7" s="62"/>
      <c r="N7" s="62"/>
      <c r="O7" s="62"/>
      <c r="P7" s="62"/>
      <c r="Q7" s="62"/>
      <c r="R7" s="62"/>
      <c r="S7" s="62"/>
    </row>
    <row r="8">
      <c r="A8" s="59" t="s">
        <v>198</v>
      </c>
      <c r="B8" s="60">
        <v>33602.35</v>
      </c>
      <c r="C8" s="61">
        <v>2.97</v>
      </c>
      <c r="D8" s="61">
        <v>1.86</v>
      </c>
      <c r="E8" s="61">
        <v>4.33</v>
      </c>
      <c r="F8" s="62">
        <f t="shared" si="1"/>
        <v>99798.9795</v>
      </c>
      <c r="G8" s="63">
        <f t="shared" si="2"/>
        <v>62500.371</v>
      </c>
      <c r="H8" s="64">
        <f t="shared" si="3"/>
        <v>145498.1755</v>
      </c>
      <c r="I8" s="65" t="str">
        <f t="shared" si="4"/>
        <v>3 (2-4)</v>
      </c>
      <c r="J8" s="66" t="str">
        <f t="shared" si="5"/>
        <v>99,799 (62,500-145,498)</v>
      </c>
      <c r="K8" s="62"/>
      <c r="L8" s="62"/>
      <c r="M8" s="62"/>
      <c r="N8" s="62"/>
      <c r="O8" s="62"/>
      <c r="P8" s="62"/>
      <c r="Q8" s="62"/>
      <c r="R8" s="62"/>
      <c r="S8" s="62"/>
    </row>
    <row r="9">
      <c r="A9" s="59" t="s">
        <v>168</v>
      </c>
      <c r="B9" s="60">
        <v>30175.54</v>
      </c>
      <c r="C9" s="61">
        <v>806.61</v>
      </c>
      <c r="D9" s="61">
        <v>517.88</v>
      </c>
      <c r="E9" s="61">
        <v>1232.44</v>
      </c>
      <c r="F9" s="62">
        <f t="shared" si="1"/>
        <v>24339892.32</v>
      </c>
      <c r="G9" s="63">
        <f t="shared" si="2"/>
        <v>15627308.66</v>
      </c>
      <c r="H9" s="64">
        <f t="shared" si="3"/>
        <v>37189542.52</v>
      </c>
      <c r="I9" s="65" t="str">
        <f t="shared" si="4"/>
        <v>807 (518-1,232)</v>
      </c>
      <c r="J9" s="66" t="str">
        <f t="shared" si="5"/>
        <v>24,339,892 (15,627,309-37,189,543)</v>
      </c>
      <c r="K9" s="62"/>
      <c r="L9" s="62"/>
      <c r="M9" s="62"/>
      <c r="N9" s="62"/>
      <c r="O9" s="62"/>
      <c r="P9" s="62"/>
      <c r="Q9" s="62"/>
      <c r="R9" s="62"/>
      <c r="S9" s="62"/>
    </row>
    <row r="10">
      <c r="A10" s="59" t="s">
        <v>130</v>
      </c>
      <c r="B10" s="60">
        <v>22823.18</v>
      </c>
      <c r="C10" s="61">
        <v>192.61</v>
      </c>
      <c r="D10" s="61">
        <v>132.75</v>
      </c>
      <c r="E10" s="61">
        <v>276.52</v>
      </c>
      <c r="F10" s="62">
        <f t="shared" si="1"/>
        <v>4395972.7</v>
      </c>
      <c r="G10" s="63">
        <f t="shared" si="2"/>
        <v>3029777.145</v>
      </c>
      <c r="H10" s="64">
        <f t="shared" si="3"/>
        <v>6311065.734</v>
      </c>
      <c r="I10" s="65" t="str">
        <f t="shared" si="4"/>
        <v>193 (133-277)</v>
      </c>
      <c r="J10" s="66" t="str">
        <f t="shared" si="5"/>
        <v>4,395,973 (3,029,777-6,311,066)</v>
      </c>
      <c r="K10" s="62"/>
      <c r="L10" s="62"/>
      <c r="M10" s="62"/>
      <c r="N10" s="62"/>
      <c r="O10" s="62"/>
      <c r="P10" s="62"/>
      <c r="Q10" s="62"/>
      <c r="R10" s="62"/>
      <c r="S10" s="62"/>
    </row>
    <row r="11">
      <c r="A11" s="59" t="s">
        <v>159</v>
      </c>
      <c r="B11" s="60">
        <v>71193.22</v>
      </c>
      <c r="C11" s="61">
        <v>460.11</v>
      </c>
      <c r="D11" s="61">
        <v>291.63</v>
      </c>
      <c r="E11" s="61">
        <v>697.88</v>
      </c>
      <c r="F11" s="62">
        <f t="shared" si="1"/>
        <v>32756712.45</v>
      </c>
      <c r="G11" s="63">
        <f t="shared" si="2"/>
        <v>20762078.75</v>
      </c>
      <c r="H11" s="64">
        <f t="shared" si="3"/>
        <v>49684324.37</v>
      </c>
      <c r="I11" s="65" t="str">
        <f t="shared" si="4"/>
        <v>460 (292-698)</v>
      </c>
      <c r="J11" s="66" t="str">
        <f t="shared" si="5"/>
        <v>32,756,712 (20,762,079-49,684,324)</v>
      </c>
      <c r="K11" s="62"/>
      <c r="L11" s="62"/>
      <c r="M11" s="62"/>
      <c r="N11" s="62"/>
      <c r="O11" s="62"/>
      <c r="P11" s="62"/>
      <c r="Q11" s="62"/>
      <c r="R11" s="62"/>
      <c r="S11" s="62"/>
    </row>
    <row r="12">
      <c r="A12" s="59" t="s">
        <v>172</v>
      </c>
      <c r="B12" s="60">
        <v>71617.9</v>
      </c>
      <c r="C12" s="61">
        <v>129.62</v>
      </c>
      <c r="D12" s="61">
        <v>198.14</v>
      </c>
      <c r="E12" s="61">
        <v>79.57</v>
      </c>
      <c r="F12" s="62">
        <f t="shared" si="1"/>
        <v>9283112.198</v>
      </c>
      <c r="G12" s="63">
        <f t="shared" si="2"/>
        <v>14190370.71</v>
      </c>
      <c r="H12" s="64">
        <f t="shared" si="3"/>
        <v>5698636.303</v>
      </c>
      <c r="I12" s="65" t="str">
        <f t="shared" si="4"/>
        <v>130 (198-80)</v>
      </c>
      <c r="J12" s="66" t="str">
        <f t="shared" si="5"/>
        <v>9,283,112 (14,190,371-5,698,636)</v>
      </c>
      <c r="K12" s="62"/>
      <c r="L12" s="62"/>
      <c r="M12" s="62"/>
      <c r="N12" s="62"/>
      <c r="O12" s="62"/>
      <c r="P12" s="62"/>
      <c r="Q12" s="62"/>
      <c r="R12" s="62"/>
      <c r="S12" s="62"/>
    </row>
    <row r="13">
      <c r="A13" s="59" t="s">
        <v>131</v>
      </c>
      <c r="B13" s="60">
        <v>25088.95</v>
      </c>
      <c r="C13" s="61">
        <v>534.24</v>
      </c>
      <c r="D13" s="61">
        <v>338.07</v>
      </c>
      <c r="E13" s="61">
        <v>793.84</v>
      </c>
      <c r="F13" s="62">
        <f t="shared" si="1"/>
        <v>13403520.65</v>
      </c>
      <c r="G13" s="63">
        <f t="shared" si="2"/>
        <v>8481821.327</v>
      </c>
      <c r="H13" s="64">
        <f t="shared" si="3"/>
        <v>19916612.07</v>
      </c>
      <c r="I13" s="65" t="str">
        <f t="shared" si="4"/>
        <v>534 (338-794)</v>
      </c>
      <c r="J13" s="66" t="str">
        <f t="shared" si="5"/>
        <v>13,403,521 (8,481,821-19,916,612)</v>
      </c>
      <c r="K13" s="62"/>
      <c r="L13" s="62"/>
      <c r="M13" s="62"/>
      <c r="N13" s="62"/>
      <c r="O13" s="62"/>
      <c r="P13" s="62"/>
      <c r="Q13" s="62"/>
      <c r="R13" s="62"/>
      <c r="S13" s="62"/>
    </row>
    <row r="14">
      <c r="A14" s="59" t="s">
        <v>199</v>
      </c>
      <c r="B14" s="60">
        <v>41197.9</v>
      </c>
      <c r="C14" s="61">
        <v>11.14</v>
      </c>
      <c r="D14" s="61">
        <v>6.6</v>
      </c>
      <c r="E14" s="61">
        <v>17.06</v>
      </c>
      <c r="F14" s="62">
        <f t="shared" si="1"/>
        <v>458944.606</v>
      </c>
      <c r="G14" s="63">
        <f t="shared" si="2"/>
        <v>271906.14</v>
      </c>
      <c r="H14" s="64">
        <f t="shared" si="3"/>
        <v>702836.174</v>
      </c>
      <c r="I14" s="65" t="str">
        <f t="shared" si="4"/>
        <v>11 (7-17)</v>
      </c>
      <c r="J14" s="66" t="str">
        <f t="shared" si="5"/>
        <v>458,945 (271,906-702,836)</v>
      </c>
      <c r="K14" s="62"/>
      <c r="L14" s="62"/>
      <c r="M14" s="62"/>
      <c r="N14" s="62"/>
      <c r="O14" s="62"/>
      <c r="P14" s="62"/>
      <c r="Q14" s="62"/>
      <c r="R14" s="62"/>
      <c r="S14" s="62"/>
    </row>
    <row r="15">
      <c r="A15" s="59" t="s">
        <v>31</v>
      </c>
      <c r="B15" s="60">
        <v>67210.99</v>
      </c>
      <c r="C15" s="61">
        <v>84.39</v>
      </c>
      <c r="D15" s="61">
        <v>52.25</v>
      </c>
      <c r="E15" s="61">
        <v>125.8</v>
      </c>
      <c r="F15" s="62">
        <f t="shared" si="1"/>
        <v>5671935.446</v>
      </c>
      <c r="G15" s="63">
        <f t="shared" si="2"/>
        <v>3511774.228</v>
      </c>
      <c r="H15" s="64">
        <f t="shared" si="3"/>
        <v>8455142.542</v>
      </c>
      <c r="I15" s="65" t="str">
        <f t="shared" si="4"/>
        <v>84 (52-126)</v>
      </c>
      <c r="J15" s="66" t="str">
        <f t="shared" si="5"/>
        <v>5,671,935 (3,511,774-8,455,143)</v>
      </c>
      <c r="K15" s="62"/>
      <c r="L15" s="62"/>
      <c r="M15" s="62"/>
      <c r="N15" s="62"/>
      <c r="O15" s="62"/>
      <c r="P15" s="62"/>
      <c r="Q15" s="62"/>
      <c r="R15" s="62"/>
      <c r="S15" s="62"/>
    </row>
    <row r="16">
      <c r="A16" s="59" t="s">
        <v>49</v>
      </c>
      <c r="B16" s="60">
        <v>9646.77</v>
      </c>
      <c r="C16" s="61">
        <v>13126.88</v>
      </c>
      <c r="D16" s="61">
        <v>8205.71</v>
      </c>
      <c r="E16" s="61">
        <v>20421.52</v>
      </c>
      <c r="F16" s="62">
        <f t="shared" si="1"/>
        <v>126631992.2</v>
      </c>
      <c r="G16" s="63">
        <f t="shared" si="2"/>
        <v>79158597.06</v>
      </c>
      <c r="H16" s="64">
        <f t="shared" si="3"/>
        <v>197001706.5</v>
      </c>
      <c r="I16" s="65" t="str">
        <f t="shared" si="4"/>
        <v>13,127 (8,206-20,422)</v>
      </c>
      <c r="J16" s="66" t="str">
        <f t="shared" si="5"/>
        <v>126,631,992 (79,158,597-197,001,706)</v>
      </c>
      <c r="K16" s="62"/>
      <c r="L16" s="62"/>
      <c r="M16" s="62"/>
      <c r="N16" s="62"/>
      <c r="O16" s="62"/>
      <c r="P16" s="62"/>
      <c r="Q16" s="62"/>
      <c r="R16" s="62"/>
      <c r="S16" s="62"/>
    </row>
    <row r="17">
      <c r="A17" s="59" t="s">
        <v>200</v>
      </c>
      <c r="B17" s="60">
        <v>22671.95</v>
      </c>
      <c r="C17" s="61">
        <v>8.1</v>
      </c>
      <c r="D17" s="61">
        <v>4.91</v>
      </c>
      <c r="E17" s="61">
        <v>12.81</v>
      </c>
      <c r="F17" s="62">
        <f t="shared" si="1"/>
        <v>183642.795</v>
      </c>
      <c r="G17" s="63">
        <f t="shared" si="2"/>
        <v>111319.2745</v>
      </c>
      <c r="H17" s="64">
        <f t="shared" si="3"/>
        <v>290427.6795</v>
      </c>
      <c r="I17" s="65" t="str">
        <f t="shared" si="4"/>
        <v>8 (5-13)</v>
      </c>
      <c r="J17" s="66" t="str">
        <f t="shared" si="5"/>
        <v>183,643 (111,319-290,428)</v>
      </c>
      <c r="K17" s="62"/>
      <c r="L17" s="62"/>
      <c r="M17" s="62"/>
      <c r="N17" s="62"/>
      <c r="O17" s="62"/>
      <c r="P17" s="62"/>
      <c r="Q17" s="62"/>
      <c r="R17" s="62"/>
      <c r="S17" s="62"/>
    </row>
    <row r="18">
      <c r="A18" s="59" t="s">
        <v>152</v>
      </c>
      <c r="B18" s="60">
        <v>33006.42</v>
      </c>
      <c r="C18" s="61">
        <v>166.44</v>
      </c>
      <c r="D18" s="61">
        <v>98.92</v>
      </c>
      <c r="E18" s="61">
        <v>259.06</v>
      </c>
      <c r="F18" s="62">
        <f t="shared" si="1"/>
        <v>5493588.545</v>
      </c>
      <c r="G18" s="63">
        <f t="shared" si="2"/>
        <v>3264995.066</v>
      </c>
      <c r="H18" s="64">
        <f t="shared" si="3"/>
        <v>8550643.165</v>
      </c>
      <c r="I18" s="65" t="str">
        <f t="shared" si="4"/>
        <v>166 (99-259)</v>
      </c>
      <c r="J18" s="66" t="str">
        <f t="shared" si="5"/>
        <v>5,493,589 (3,264,995-8,550,643)</v>
      </c>
      <c r="K18" s="62"/>
      <c r="L18" s="62"/>
      <c r="M18" s="62"/>
      <c r="N18" s="62"/>
      <c r="O18" s="62"/>
      <c r="P18" s="62"/>
      <c r="Q18" s="62"/>
      <c r="R18" s="62"/>
      <c r="S18" s="62"/>
    </row>
    <row r="19">
      <c r="A19" s="59" t="s">
        <v>173</v>
      </c>
      <c r="B19" s="60">
        <v>72126.0</v>
      </c>
      <c r="C19" s="61">
        <v>150.53</v>
      </c>
      <c r="D19" s="61">
        <v>92.56</v>
      </c>
      <c r="E19" s="61">
        <v>228.96</v>
      </c>
      <c r="F19" s="62">
        <f t="shared" si="1"/>
        <v>10857126.78</v>
      </c>
      <c r="G19" s="63">
        <f t="shared" si="2"/>
        <v>6675982.56</v>
      </c>
      <c r="H19" s="64">
        <f t="shared" si="3"/>
        <v>16513968.96</v>
      </c>
      <c r="I19" s="65" t="str">
        <f t="shared" si="4"/>
        <v>151 (93-229)</v>
      </c>
      <c r="J19" s="66" t="str">
        <f t="shared" si="5"/>
        <v>10,857,127 (6,675,983-16,513,969)</v>
      </c>
      <c r="K19" s="62"/>
      <c r="L19" s="62"/>
      <c r="M19" s="62"/>
      <c r="N19" s="62"/>
      <c r="O19" s="62"/>
      <c r="P19" s="62"/>
      <c r="Q19" s="62"/>
      <c r="R19" s="62"/>
      <c r="S19" s="62"/>
    </row>
    <row r="20">
      <c r="A20" s="59" t="s">
        <v>201</v>
      </c>
      <c r="B20" s="60">
        <v>15092.78</v>
      </c>
      <c r="C20" s="61">
        <v>13.74</v>
      </c>
      <c r="D20" s="61">
        <v>8.75</v>
      </c>
      <c r="E20" s="61">
        <v>20.06</v>
      </c>
      <c r="F20" s="62">
        <f t="shared" si="1"/>
        <v>207374.7972</v>
      </c>
      <c r="G20" s="63">
        <f t="shared" si="2"/>
        <v>132061.825</v>
      </c>
      <c r="H20" s="64">
        <f t="shared" si="3"/>
        <v>302761.1668</v>
      </c>
      <c r="I20" s="65" t="str">
        <f t="shared" si="4"/>
        <v>14 (9-20)</v>
      </c>
      <c r="J20" s="66" t="str">
        <f t="shared" si="5"/>
        <v>207,375 (132,062-302,761)</v>
      </c>
      <c r="K20" s="62"/>
      <c r="L20" s="62"/>
      <c r="M20" s="62"/>
      <c r="N20" s="62"/>
      <c r="O20" s="62"/>
      <c r="P20" s="62"/>
      <c r="Q20" s="62"/>
      <c r="R20" s="62"/>
      <c r="S20" s="62"/>
    </row>
    <row r="21">
      <c r="A21" s="59" t="s">
        <v>111</v>
      </c>
      <c r="B21" s="60">
        <v>4434.564</v>
      </c>
      <c r="C21" s="61">
        <v>1326.08</v>
      </c>
      <c r="D21" s="61">
        <v>477.43</v>
      </c>
      <c r="E21" s="61">
        <v>4579.66</v>
      </c>
      <c r="F21" s="62">
        <f t="shared" si="1"/>
        <v>5880586.629</v>
      </c>
      <c r="G21" s="63">
        <f t="shared" si="2"/>
        <v>2117193.891</v>
      </c>
      <c r="H21" s="64">
        <f t="shared" si="3"/>
        <v>20308795.37</v>
      </c>
      <c r="I21" s="65" t="str">
        <f t="shared" si="4"/>
        <v>1,326 (477-4,580)</v>
      </c>
      <c r="J21" s="66" t="str">
        <f t="shared" si="5"/>
        <v>5,880,587 (2,117,194-20,308,795)</v>
      </c>
      <c r="K21" s="62"/>
      <c r="L21" s="62"/>
      <c r="M21" s="62"/>
      <c r="N21" s="62"/>
      <c r="O21" s="62"/>
      <c r="P21" s="62"/>
      <c r="Q21" s="62"/>
      <c r="R21" s="62"/>
      <c r="S21" s="62"/>
    </row>
    <row r="22">
      <c r="A22" s="59" t="s">
        <v>202</v>
      </c>
      <c r="B22" s="60">
        <v>119718.6</v>
      </c>
      <c r="C22" s="61">
        <v>1.71</v>
      </c>
      <c r="D22" s="61">
        <v>1.05</v>
      </c>
      <c r="E22" s="61">
        <v>2.65</v>
      </c>
      <c r="F22" s="62">
        <f t="shared" si="1"/>
        <v>204718.806</v>
      </c>
      <c r="G22" s="63">
        <f t="shared" si="2"/>
        <v>125704.53</v>
      </c>
      <c r="H22" s="64">
        <f t="shared" si="3"/>
        <v>317254.29</v>
      </c>
      <c r="I22" s="65" t="str">
        <f t="shared" si="4"/>
        <v>2 (1-3)</v>
      </c>
      <c r="J22" s="66" t="str">
        <f t="shared" si="5"/>
        <v>204,719 (125,705-317,254)</v>
      </c>
      <c r="K22" s="62"/>
      <c r="L22" s="62"/>
      <c r="M22" s="62"/>
      <c r="N22" s="62"/>
      <c r="O22" s="62"/>
      <c r="P22" s="62"/>
      <c r="Q22" s="62"/>
      <c r="R22" s="62"/>
      <c r="S22" s="62"/>
    </row>
    <row r="23">
      <c r="A23" s="59" t="s">
        <v>50</v>
      </c>
      <c r="B23" s="60">
        <v>16254.0</v>
      </c>
      <c r="C23" s="61">
        <v>59.24</v>
      </c>
      <c r="D23" s="61">
        <v>35.31</v>
      </c>
      <c r="E23" s="61">
        <v>97.33</v>
      </c>
      <c r="F23" s="62">
        <f t="shared" si="1"/>
        <v>962886.96</v>
      </c>
      <c r="G23" s="63">
        <f t="shared" si="2"/>
        <v>573928.74</v>
      </c>
      <c r="H23" s="64">
        <f t="shared" si="3"/>
        <v>1582001.82</v>
      </c>
      <c r="I23" s="65" t="str">
        <f t="shared" si="4"/>
        <v>59 (35-97)</v>
      </c>
      <c r="J23" s="66" t="str">
        <f t="shared" si="5"/>
        <v>962,887 (573,929-1,582,002)</v>
      </c>
      <c r="K23" s="62"/>
      <c r="L23" s="62"/>
      <c r="M23" s="62"/>
      <c r="N23" s="62"/>
      <c r="O23" s="62"/>
      <c r="P23" s="62"/>
      <c r="Q23" s="62"/>
      <c r="R23" s="62"/>
      <c r="S23" s="62"/>
    </row>
    <row r="24">
      <c r="A24" s="59" t="s">
        <v>195</v>
      </c>
      <c r="B24" s="60">
        <v>11189.81</v>
      </c>
      <c r="C24" s="61">
        <v>836.56</v>
      </c>
      <c r="D24" s="61">
        <v>517.95</v>
      </c>
      <c r="E24" s="61">
        <v>1333.88</v>
      </c>
      <c r="F24" s="62">
        <f t="shared" si="1"/>
        <v>9360947.454</v>
      </c>
      <c r="G24" s="63">
        <f t="shared" si="2"/>
        <v>5795762.09</v>
      </c>
      <c r="H24" s="64">
        <f t="shared" si="3"/>
        <v>14925863.76</v>
      </c>
      <c r="I24" s="65" t="str">
        <f t="shared" si="4"/>
        <v>837 (518-1,334)</v>
      </c>
      <c r="J24" s="66" t="str">
        <f t="shared" si="5"/>
        <v>9,360,947 (5,795,762-14,925,864)</v>
      </c>
      <c r="K24" s="62"/>
      <c r="L24" s="62"/>
      <c r="M24" s="62"/>
      <c r="N24" s="62"/>
      <c r="O24" s="62"/>
      <c r="P24" s="62"/>
      <c r="Q24" s="62"/>
      <c r="R24" s="62"/>
      <c r="S24" s="62"/>
    </row>
    <row r="25">
      <c r="A25" s="59" t="s">
        <v>140</v>
      </c>
      <c r="B25" s="60">
        <v>21971.05</v>
      </c>
      <c r="C25" s="61">
        <v>56.42</v>
      </c>
      <c r="D25" s="61">
        <v>34.05</v>
      </c>
      <c r="E25" s="61">
        <v>87.31</v>
      </c>
      <c r="F25" s="62">
        <f t="shared" si="1"/>
        <v>1239606.641</v>
      </c>
      <c r="G25" s="63">
        <f t="shared" si="2"/>
        <v>748114.2525</v>
      </c>
      <c r="H25" s="64">
        <f t="shared" si="3"/>
        <v>1918292.376</v>
      </c>
      <c r="I25" s="65" t="str">
        <f t="shared" si="4"/>
        <v>56 (34-87)</v>
      </c>
      <c r="J25" s="66" t="str">
        <f t="shared" si="5"/>
        <v>1,239,607 (748,114-1,918,292)</v>
      </c>
      <c r="K25" s="62"/>
      <c r="L25" s="62"/>
      <c r="M25" s="62"/>
      <c r="N25" s="62"/>
      <c r="O25" s="62"/>
      <c r="P25" s="62"/>
      <c r="Q25" s="62"/>
      <c r="R25" s="62"/>
      <c r="S25" s="62"/>
    </row>
    <row r="26">
      <c r="A26" s="59" t="s">
        <v>105</v>
      </c>
      <c r="B26" s="60">
        <v>20538.13</v>
      </c>
      <c r="C26" s="61">
        <v>173.39</v>
      </c>
      <c r="D26" s="61">
        <v>104.77</v>
      </c>
      <c r="E26" s="61">
        <v>276.55</v>
      </c>
      <c r="F26" s="62">
        <f t="shared" si="1"/>
        <v>3561106.361</v>
      </c>
      <c r="G26" s="63">
        <f t="shared" si="2"/>
        <v>2151779.88</v>
      </c>
      <c r="H26" s="64">
        <f t="shared" si="3"/>
        <v>5679819.852</v>
      </c>
      <c r="I26" s="65" t="str">
        <f t="shared" si="4"/>
        <v>173 (105-277)</v>
      </c>
      <c r="J26" s="66" t="str">
        <f t="shared" si="5"/>
        <v>3,561,106 (2,151,780-5,679,820)</v>
      </c>
      <c r="K26" s="62"/>
      <c r="L26" s="62"/>
      <c r="M26" s="62"/>
      <c r="N26" s="62"/>
      <c r="O26" s="62"/>
      <c r="P26" s="62"/>
      <c r="Q26" s="62"/>
      <c r="R26" s="62"/>
      <c r="S26" s="62"/>
    </row>
    <row r="27">
      <c r="A27" s="59" t="s">
        <v>226</v>
      </c>
      <c r="B27" s="60">
        <v>22333.41</v>
      </c>
      <c r="C27" s="61">
        <v>4827.18</v>
      </c>
      <c r="D27" s="61">
        <v>3496.03</v>
      </c>
      <c r="E27" s="61">
        <v>6798.35</v>
      </c>
      <c r="F27" s="62">
        <f t="shared" si="1"/>
        <v>107807390.1</v>
      </c>
      <c r="G27" s="63">
        <f t="shared" si="2"/>
        <v>78078271.36</v>
      </c>
      <c r="H27" s="64">
        <f t="shared" si="3"/>
        <v>151830337.9</v>
      </c>
      <c r="I27" s="65" t="str">
        <f t="shared" si="4"/>
        <v>4,827 (3,496-6,798)</v>
      </c>
      <c r="J27" s="66" t="str">
        <f t="shared" si="5"/>
        <v>107,807,390 (78,078,271-151,830,338)</v>
      </c>
      <c r="K27" s="62"/>
      <c r="L27" s="62"/>
      <c r="M27" s="62"/>
      <c r="N27" s="62"/>
      <c r="O27" s="62"/>
      <c r="P27" s="62"/>
      <c r="Q27" s="62"/>
      <c r="R27" s="62"/>
      <c r="S27" s="62"/>
    </row>
    <row r="28">
      <c r="A28" s="59" t="s">
        <v>161</v>
      </c>
      <c r="B28" s="60">
        <v>90007.08</v>
      </c>
      <c r="C28" s="61">
        <v>11.38</v>
      </c>
      <c r="D28" s="61">
        <v>6.9</v>
      </c>
      <c r="E28" s="61">
        <v>17.84</v>
      </c>
      <c r="F28" s="62">
        <f t="shared" si="1"/>
        <v>1024280.57</v>
      </c>
      <c r="G28" s="63">
        <f t="shared" si="2"/>
        <v>621048.852</v>
      </c>
      <c r="H28" s="64">
        <f t="shared" si="3"/>
        <v>1605726.307</v>
      </c>
      <c r="I28" s="65" t="str">
        <f t="shared" si="4"/>
        <v>11 (7-18)</v>
      </c>
      <c r="J28" s="66" t="str">
        <f t="shared" si="5"/>
        <v>1,024,281 (621,049-1,605,726)</v>
      </c>
      <c r="K28" s="62"/>
      <c r="L28" s="62"/>
      <c r="M28" s="62"/>
      <c r="N28" s="62"/>
      <c r="O28" s="62"/>
      <c r="P28" s="62"/>
      <c r="Q28" s="62"/>
      <c r="R28" s="62"/>
      <c r="S28" s="62"/>
    </row>
    <row r="29">
      <c r="A29" s="59" t="s">
        <v>141</v>
      </c>
      <c r="B29" s="60">
        <v>41086.12</v>
      </c>
      <c r="C29" s="61">
        <v>187.92</v>
      </c>
      <c r="D29" s="61">
        <v>115.18</v>
      </c>
      <c r="E29" s="61">
        <v>301.42</v>
      </c>
      <c r="F29" s="62">
        <f t="shared" si="1"/>
        <v>7720903.67</v>
      </c>
      <c r="G29" s="63">
        <f t="shared" si="2"/>
        <v>4732299.302</v>
      </c>
      <c r="H29" s="64">
        <f t="shared" si="3"/>
        <v>12384178.29</v>
      </c>
      <c r="I29" s="65" t="str">
        <f t="shared" si="4"/>
        <v>188 (115-301)</v>
      </c>
      <c r="J29" s="66" t="str">
        <f t="shared" si="5"/>
        <v>7,720,904 (4,732,299-12,384,178)</v>
      </c>
      <c r="K29" s="62"/>
      <c r="L29" s="62"/>
      <c r="M29" s="62"/>
      <c r="N29" s="62"/>
      <c r="O29" s="62"/>
      <c r="P29" s="62"/>
      <c r="Q29" s="62"/>
      <c r="R29" s="62"/>
      <c r="S29" s="62"/>
    </row>
    <row r="30">
      <c r="A30" s="59" t="s">
        <v>112</v>
      </c>
      <c r="B30" s="60">
        <v>2896.187</v>
      </c>
      <c r="C30" s="61">
        <v>5800.13</v>
      </c>
      <c r="D30" s="61">
        <v>879.34</v>
      </c>
      <c r="E30" s="61">
        <v>24350.05</v>
      </c>
      <c r="F30" s="62">
        <f t="shared" si="1"/>
        <v>16798261.1</v>
      </c>
      <c r="G30" s="63">
        <f t="shared" si="2"/>
        <v>2546733.077</v>
      </c>
      <c r="H30" s="64">
        <f t="shared" si="3"/>
        <v>70522298.26</v>
      </c>
      <c r="I30" s="65" t="str">
        <f t="shared" si="4"/>
        <v>5,800 (879-24,350)</v>
      </c>
      <c r="J30" s="66" t="str">
        <f t="shared" si="5"/>
        <v>16,798,261 (2,546,733-70,522,298)</v>
      </c>
      <c r="K30" s="62"/>
      <c r="L30" s="62"/>
      <c r="M30" s="62"/>
      <c r="N30" s="62"/>
      <c r="O30" s="62"/>
      <c r="P30" s="62"/>
      <c r="Q30" s="62"/>
      <c r="R30" s="62"/>
      <c r="S30" s="62"/>
    </row>
    <row r="31">
      <c r="A31" s="59" t="s">
        <v>90</v>
      </c>
      <c r="B31" s="60">
        <v>949.8346</v>
      </c>
      <c r="C31" s="61">
        <v>859.01</v>
      </c>
      <c r="D31" s="61">
        <v>339.28</v>
      </c>
      <c r="E31" s="61">
        <v>3111.08</v>
      </c>
      <c r="F31" s="62">
        <f t="shared" si="1"/>
        <v>815917.4197</v>
      </c>
      <c r="G31" s="63">
        <f t="shared" si="2"/>
        <v>322259.8831</v>
      </c>
      <c r="H31" s="64">
        <f t="shared" si="3"/>
        <v>2955011.427</v>
      </c>
      <c r="I31" s="65" t="str">
        <f t="shared" si="4"/>
        <v>859 (339-3,111)</v>
      </c>
      <c r="J31" s="66" t="str">
        <f t="shared" si="5"/>
        <v>815,917 (322,260-2,955,011)</v>
      </c>
      <c r="K31" s="62"/>
      <c r="L31" s="62"/>
      <c r="M31" s="62"/>
      <c r="N31" s="62"/>
      <c r="O31" s="62"/>
      <c r="P31" s="62"/>
      <c r="Q31" s="62"/>
      <c r="R31" s="62"/>
      <c r="S31" s="62"/>
    </row>
    <row r="32">
      <c r="A32" s="59" t="s">
        <v>113</v>
      </c>
      <c r="B32" s="60">
        <v>11261.77</v>
      </c>
      <c r="C32" s="61">
        <v>18.56</v>
      </c>
      <c r="D32" s="61">
        <v>10.87</v>
      </c>
      <c r="E32" s="61">
        <v>30.19</v>
      </c>
      <c r="F32" s="62">
        <f t="shared" si="1"/>
        <v>209018.4512</v>
      </c>
      <c r="G32" s="63">
        <f t="shared" si="2"/>
        <v>122415.4399</v>
      </c>
      <c r="H32" s="64">
        <f t="shared" si="3"/>
        <v>339992.8363</v>
      </c>
      <c r="I32" s="65" t="str">
        <f t="shared" si="4"/>
        <v>19 (11-30)</v>
      </c>
      <c r="J32" s="66" t="str">
        <f t="shared" si="5"/>
        <v>209,018 (122,415-339,993)</v>
      </c>
      <c r="K32" s="62"/>
      <c r="L32" s="62"/>
      <c r="M32" s="62"/>
      <c r="N32" s="62"/>
      <c r="O32" s="62"/>
      <c r="P32" s="62"/>
      <c r="Q32" s="62"/>
      <c r="R32" s="62"/>
      <c r="S32" s="62"/>
    </row>
    <row r="33">
      <c r="A33" s="59" t="s">
        <v>71</v>
      </c>
      <c r="B33" s="60">
        <v>7969.934</v>
      </c>
      <c r="C33" s="61">
        <v>3237.68</v>
      </c>
      <c r="D33" s="61">
        <v>832.06</v>
      </c>
      <c r="E33" s="61">
        <v>13193.12</v>
      </c>
      <c r="F33" s="62">
        <f t="shared" si="1"/>
        <v>25804095.91</v>
      </c>
      <c r="G33" s="63">
        <f t="shared" si="2"/>
        <v>6631463.284</v>
      </c>
      <c r="H33" s="64">
        <f t="shared" si="3"/>
        <v>105148295.7</v>
      </c>
      <c r="I33" s="65" t="str">
        <f t="shared" si="4"/>
        <v>3,238 (832-13,193)</v>
      </c>
      <c r="J33" s="66" t="str">
        <f t="shared" si="5"/>
        <v>25,804,096 (6,631,463-105,148,296)</v>
      </c>
      <c r="K33" s="62"/>
      <c r="L33" s="62"/>
      <c r="M33" s="62"/>
      <c r="N33" s="62"/>
      <c r="O33" s="62"/>
      <c r="P33" s="62"/>
      <c r="Q33" s="62"/>
      <c r="R33" s="62"/>
      <c r="S33" s="62"/>
    </row>
    <row r="34">
      <c r="A34" s="59" t="s">
        <v>114</v>
      </c>
      <c r="B34" s="60">
        <v>5591.496</v>
      </c>
      <c r="C34" s="61">
        <v>1872.73</v>
      </c>
      <c r="D34" s="61">
        <v>899.58</v>
      </c>
      <c r="E34" s="61">
        <v>4355.38</v>
      </c>
      <c r="F34" s="62">
        <f t="shared" si="1"/>
        <v>10471362.3</v>
      </c>
      <c r="G34" s="63">
        <f t="shared" si="2"/>
        <v>5029997.972</v>
      </c>
      <c r="H34" s="64">
        <f t="shared" si="3"/>
        <v>24353089.85</v>
      </c>
      <c r="I34" s="65" t="str">
        <f t="shared" si="4"/>
        <v>1,873 (900-4,355)</v>
      </c>
      <c r="J34" s="66" t="str">
        <f t="shared" si="5"/>
        <v>10,471,362 (5,029,998-24,353,090)</v>
      </c>
      <c r="K34" s="62"/>
      <c r="L34" s="62"/>
      <c r="M34" s="62"/>
      <c r="N34" s="62"/>
      <c r="O34" s="62"/>
      <c r="P34" s="62"/>
      <c r="Q34" s="62"/>
      <c r="R34" s="62"/>
      <c r="S34" s="62"/>
    </row>
    <row r="35">
      <c r="A35" s="59" t="s">
        <v>165</v>
      </c>
      <c r="B35" s="60">
        <v>65463.1</v>
      </c>
      <c r="C35" s="61">
        <v>207.92</v>
      </c>
      <c r="D35" s="61">
        <v>128.23</v>
      </c>
      <c r="E35" s="61">
        <v>324.09</v>
      </c>
      <c r="F35" s="62">
        <f t="shared" si="1"/>
        <v>13611087.75</v>
      </c>
      <c r="G35" s="63">
        <f t="shared" si="2"/>
        <v>8394333.313</v>
      </c>
      <c r="H35" s="64">
        <f t="shared" si="3"/>
        <v>21215936.08</v>
      </c>
      <c r="I35" s="65" t="str">
        <f t="shared" si="4"/>
        <v>208 (128-324)</v>
      </c>
      <c r="J35" s="66" t="str">
        <f t="shared" si="5"/>
        <v>13,611,088 (8,394,333-21,215,936)</v>
      </c>
      <c r="K35" s="62"/>
      <c r="L35" s="62"/>
      <c r="M35" s="62"/>
      <c r="N35" s="62"/>
      <c r="O35" s="62"/>
      <c r="P35" s="62"/>
      <c r="Q35" s="62"/>
      <c r="R35" s="62"/>
      <c r="S35" s="62"/>
    </row>
    <row r="36">
      <c r="A36" s="59" t="s">
        <v>85</v>
      </c>
      <c r="B36" s="60">
        <v>1263.596</v>
      </c>
      <c r="C36" s="61">
        <v>735.13</v>
      </c>
      <c r="D36" s="61">
        <v>184.16</v>
      </c>
      <c r="E36" s="61">
        <v>2519.38</v>
      </c>
      <c r="F36" s="62">
        <f t="shared" si="1"/>
        <v>928907.3275</v>
      </c>
      <c r="G36" s="63">
        <f t="shared" si="2"/>
        <v>232703.8394</v>
      </c>
      <c r="H36" s="64">
        <f t="shared" si="3"/>
        <v>3183478.49</v>
      </c>
      <c r="I36" s="65" t="str">
        <f t="shared" si="4"/>
        <v>735 (184-2,519)</v>
      </c>
      <c r="J36" s="66" t="str">
        <f t="shared" si="5"/>
        <v>928,907 (232,704-3,183,478)</v>
      </c>
      <c r="K36" s="62"/>
      <c r="L36" s="62"/>
      <c r="M36" s="62"/>
      <c r="N36" s="62"/>
      <c r="O36" s="62"/>
      <c r="P36" s="62"/>
      <c r="Q36" s="62"/>
      <c r="R36" s="62"/>
      <c r="S36" s="62"/>
    </row>
    <row r="37">
      <c r="A37" s="59" t="s">
        <v>115</v>
      </c>
      <c r="B37" s="60">
        <v>2961.932</v>
      </c>
      <c r="C37" s="61">
        <v>4425.1</v>
      </c>
      <c r="D37" s="61">
        <v>769.09</v>
      </c>
      <c r="E37" s="61">
        <v>16672.53</v>
      </c>
      <c r="F37" s="62">
        <f t="shared" si="1"/>
        <v>13106845.29</v>
      </c>
      <c r="G37" s="63">
        <f t="shared" si="2"/>
        <v>2277992.282</v>
      </c>
      <c r="H37" s="64">
        <f t="shared" si="3"/>
        <v>49382900.13</v>
      </c>
      <c r="I37" s="65" t="str">
        <f t="shared" si="4"/>
        <v>4,425 (769-16,673)</v>
      </c>
      <c r="J37" s="66" t="str">
        <f t="shared" si="5"/>
        <v>13,106,845 (2,277,992-49,382,900)</v>
      </c>
      <c r="K37" s="62"/>
      <c r="L37" s="62"/>
      <c r="M37" s="62"/>
      <c r="N37" s="62"/>
      <c r="O37" s="62"/>
      <c r="P37" s="62"/>
      <c r="Q37" s="62"/>
      <c r="R37" s="62"/>
      <c r="S37" s="62"/>
    </row>
    <row r="38">
      <c r="A38" s="59" t="s">
        <v>169</v>
      </c>
      <c r="B38" s="60">
        <v>34637.12</v>
      </c>
      <c r="C38" s="61">
        <v>275.41</v>
      </c>
      <c r="D38" s="61">
        <v>172.57</v>
      </c>
      <c r="E38" s="61">
        <v>424.1</v>
      </c>
      <c r="F38" s="62">
        <f t="shared" si="1"/>
        <v>9539409.219</v>
      </c>
      <c r="G38" s="63">
        <f t="shared" si="2"/>
        <v>5977327.798</v>
      </c>
      <c r="H38" s="64">
        <f t="shared" si="3"/>
        <v>14689602.59</v>
      </c>
      <c r="I38" s="65" t="str">
        <f t="shared" si="4"/>
        <v>275 (173-424)</v>
      </c>
      <c r="J38" s="66" t="str">
        <f t="shared" si="5"/>
        <v>9,539,409 (5,977,328-14,689,603)</v>
      </c>
      <c r="K38" s="62"/>
      <c r="L38" s="62"/>
      <c r="M38" s="62"/>
      <c r="N38" s="62"/>
      <c r="O38" s="62"/>
      <c r="P38" s="62"/>
      <c r="Q38" s="62"/>
      <c r="R38" s="62"/>
      <c r="S38" s="62"/>
    </row>
    <row r="39">
      <c r="A39" s="59" t="s">
        <v>54</v>
      </c>
      <c r="B39" s="60">
        <v>27104.87</v>
      </c>
      <c r="C39" s="61">
        <v>34629.06</v>
      </c>
      <c r="D39" s="61">
        <v>23632.36</v>
      </c>
      <c r="E39" s="61">
        <v>50415.64</v>
      </c>
      <c r="F39" s="62">
        <f t="shared" si="1"/>
        <v>938616169.5</v>
      </c>
      <c r="G39" s="63">
        <f t="shared" si="2"/>
        <v>640552045.6</v>
      </c>
      <c r="H39" s="64">
        <f t="shared" si="3"/>
        <v>1366509368</v>
      </c>
      <c r="I39" s="65" t="str">
        <f t="shared" si="4"/>
        <v>34,629 (23,632-50,416)</v>
      </c>
      <c r="J39" s="66" t="str">
        <f t="shared" si="5"/>
        <v>938,616,170 (640,552,046-1,366,509,368)</v>
      </c>
      <c r="K39" s="62"/>
      <c r="L39" s="62"/>
      <c r="M39" s="62"/>
      <c r="N39" s="62"/>
      <c r="O39" s="62"/>
      <c r="P39" s="62"/>
      <c r="Q39" s="62"/>
      <c r="R39" s="62"/>
      <c r="S39" s="62"/>
    </row>
    <row r="40">
      <c r="A40" s="59" t="s">
        <v>217</v>
      </c>
      <c r="B40" s="60">
        <v>21494.6</v>
      </c>
      <c r="C40" s="61">
        <v>1108.27</v>
      </c>
      <c r="D40" s="61">
        <v>736.65</v>
      </c>
      <c r="E40" s="61">
        <v>1623.69</v>
      </c>
      <c r="F40" s="62">
        <f t="shared" si="1"/>
        <v>23821820.34</v>
      </c>
      <c r="G40" s="63">
        <f t="shared" si="2"/>
        <v>15833997.09</v>
      </c>
      <c r="H40" s="64">
        <f t="shared" si="3"/>
        <v>34900567.07</v>
      </c>
      <c r="I40" s="65" t="str">
        <f t="shared" si="4"/>
        <v>1,108 (737-1,624)</v>
      </c>
      <c r="J40" s="66" t="str">
        <f t="shared" si="5"/>
        <v>23,821,820 (15,833,997-34,900,567)</v>
      </c>
      <c r="K40" s="62"/>
      <c r="L40" s="62"/>
      <c r="M40" s="62"/>
      <c r="N40" s="62"/>
      <c r="O40" s="62"/>
      <c r="P40" s="62"/>
      <c r="Q40" s="62"/>
      <c r="R40" s="62"/>
      <c r="S40" s="62"/>
    </row>
    <row r="41">
      <c r="A41" s="59" t="s">
        <v>91</v>
      </c>
      <c r="B41" s="60">
        <v>4055.126</v>
      </c>
      <c r="C41" s="61">
        <v>32.22</v>
      </c>
      <c r="D41" s="61">
        <v>17.23</v>
      </c>
      <c r="E41" s="61">
        <v>62.24</v>
      </c>
      <c r="F41" s="62">
        <f t="shared" si="1"/>
        <v>130656.1597</v>
      </c>
      <c r="G41" s="63">
        <f t="shared" si="2"/>
        <v>69869.82098</v>
      </c>
      <c r="H41" s="64">
        <f t="shared" si="3"/>
        <v>252391.0422</v>
      </c>
      <c r="I41" s="65" t="str">
        <f t="shared" si="4"/>
        <v>32 (17-62)</v>
      </c>
      <c r="J41" s="66" t="str">
        <f t="shared" si="5"/>
        <v>130,656 (69,870-252,391)</v>
      </c>
      <c r="K41" s="62"/>
      <c r="L41" s="62"/>
      <c r="M41" s="62"/>
      <c r="N41" s="62"/>
      <c r="O41" s="62"/>
      <c r="P41" s="62"/>
      <c r="Q41" s="62"/>
      <c r="R41" s="62"/>
      <c r="S41" s="62"/>
    </row>
    <row r="42">
      <c r="A42" s="59" t="s">
        <v>87</v>
      </c>
      <c r="B42" s="60">
        <v>1709.7</v>
      </c>
      <c r="C42" s="61">
        <v>5243.46</v>
      </c>
      <c r="D42" s="61">
        <v>2077.36</v>
      </c>
      <c r="E42" s="61">
        <v>16801.7</v>
      </c>
      <c r="F42" s="62">
        <f t="shared" si="1"/>
        <v>8964743.562</v>
      </c>
      <c r="G42" s="63">
        <f t="shared" si="2"/>
        <v>3551662.392</v>
      </c>
      <c r="H42" s="64">
        <f t="shared" si="3"/>
        <v>28725866.49</v>
      </c>
      <c r="I42" s="65" t="str">
        <f t="shared" si="4"/>
        <v>5,243 (2,077-16,802)</v>
      </c>
      <c r="J42" s="66" t="str">
        <f t="shared" si="5"/>
        <v>8,964,744 (3,551,662-28,725,866)</v>
      </c>
      <c r="K42" s="62"/>
      <c r="L42" s="62"/>
      <c r="M42" s="62"/>
      <c r="N42" s="62"/>
      <c r="O42" s="62"/>
      <c r="P42" s="62"/>
      <c r="Q42" s="62"/>
      <c r="R42" s="62"/>
      <c r="S42" s="62"/>
    </row>
    <row r="43">
      <c r="A43" s="59" t="s">
        <v>86</v>
      </c>
      <c r="B43" s="60">
        <v>7026.4</v>
      </c>
      <c r="C43" s="61">
        <v>206.28</v>
      </c>
      <c r="D43" s="61">
        <v>113.37</v>
      </c>
      <c r="E43" s="61">
        <v>397.27</v>
      </c>
      <c r="F43" s="62">
        <f t="shared" si="1"/>
        <v>1449405.792</v>
      </c>
      <c r="G43" s="63">
        <f t="shared" si="2"/>
        <v>796582.968</v>
      </c>
      <c r="H43" s="64">
        <f t="shared" si="3"/>
        <v>2791377.928</v>
      </c>
      <c r="I43" s="65" t="str">
        <f t="shared" si="4"/>
        <v>206 (113-397)</v>
      </c>
      <c r="J43" s="66" t="str">
        <f t="shared" si="5"/>
        <v>1,449,406 (796,583-2,791,378)</v>
      </c>
      <c r="K43" s="62"/>
      <c r="L43" s="62"/>
      <c r="M43" s="62"/>
      <c r="N43" s="62"/>
      <c r="O43" s="62"/>
      <c r="P43" s="62"/>
      <c r="Q43" s="62"/>
      <c r="R43" s="62"/>
      <c r="S43" s="62"/>
    </row>
    <row r="44">
      <c r="A44" s="59" t="s">
        <v>218</v>
      </c>
      <c r="B44" s="60">
        <v>30062.85</v>
      </c>
      <c r="C44" s="61">
        <v>67.59</v>
      </c>
      <c r="D44" s="61">
        <v>42.89</v>
      </c>
      <c r="E44" s="61">
        <v>103.2</v>
      </c>
      <c r="F44" s="62">
        <f t="shared" si="1"/>
        <v>2031948.032</v>
      </c>
      <c r="G44" s="63">
        <f t="shared" si="2"/>
        <v>1289395.637</v>
      </c>
      <c r="H44" s="64">
        <f t="shared" si="3"/>
        <v>3102486.12</v>
      </c>
      <c r="I44" s="65" t="str">
        <f t="shared" si="4"/>
        <v>68 (43-103)</v>
      </c>
      <c r="J44" s="66" t="str">
        <f t="shared" si="5"/>
        <v>2,031,948 (1,289,396-3,102,486)</v>
      </c>
      <c r="K44" s="62"/>
      <c r="L44" s="62"/>
      <c r="M44" s="62"/>
      <c r="N44" s="62"/>
      <c r="O44" s="62"/>
      <c r="P44" s="62"/>
      <c r="Q44" s="62"/>
      <c r="R44" s="62"/>
      <c r="S44" s="62"/>
    </row>
    <row r="45">
      <c r="A45" s="59" t="s">
        <v>116</v>
      </c>
      <c r="B45" s="60">
        <v>7653.45</v>
      </c>
      <c r="C45" s="61">
        <v>2482.86</v>
      </c>
      <c r="D45" s="61">
        <v>1087.44</v>
      </c>
      <c r="E45" s="61">
        <v>6822.52</v>
      </c>
      <c r="F45" s="62">
        <f t="shared" si="1"/>
        <v>19002444.87</v>
      </c>
      <c r="G45" s="63">
        <f t="shared" si="2"/>
        <v>8322667.668</v>
      </c>
      <c r="H45" s="64">
        <f t="shared" si="3"/>
        <v>52215815.69</v>
      </c>
      <c r="I45" s="65" t="str">
        <f t="shared" si="4"/>
        <v>2,483 (1,087-6,823)</v>
      </c>
      <c r="J45" s="66" t="str">
        <f t="shared" si="5"/>
        <v>19,002,445 (8,322,668-52,215,816)</v>
      </c>
      <c r="K45" s="62"/>
      <c r="L45" s="62"/>
      <c r="M45" s="62"/>
      <c r="N45" s="62"/>
      <c r="O45" s="62"/>
      <c r="P45" s="62"/>
      <c r="Q45" s="62"/>
      <c r="R45" s="62"/>
      <c r="S45" s="62"/>
    </row>
    <row r="46">
      <c r="A46" s="59" t="s">
        <v>142</v>
      </c>
      <c r="B46" s="60">
        <v>48575.21</v>
      </c>
      <c r="C46" s="61">
        <v>62.97</v>
      </c>
      <c r="D46" s="61">
        <v>37.68</v>
      </c>
      <c r="E46" s="61">
        <v>97.77</v>
      </c>
      <c r="F46" s="62">
        <f t="shared" si="1"/>
        <v>3058780.974</v>
      </c>
      <c r="G46" s="63">
        <f t="shared" si="2"/>
        <v>1830313.913</v>
      </c>
      <c r="H46" s="64">
        <f t="shared" si="3"/>
        <v>4749198.282</v>
      </c>
      <c r="I46" s="65" t="str">
        <f t="shared" si="4"/>
        <v>63 (38-98)</v>
      </c>
      <c r="J46" s="66" t="str">
        <f t="shared" si="5"/>
        <v>3,058,781 (1,830,314-4,749,198)</v>
      </c>
      <c r="K46" s="62"/>
      <c r="L46" s="62"/>
      <c r="M46" s="62"/>
      <c r="N46" s="62"/>
      <c r="O46" s="62"/>
      <c r="P46" s="62"/>
      <c r="Q46" s="62"/>
      <c r="R46" s="62"/>
      <c r="S46" s="62"/>
    </row>
    <row r="47">
      <c r="A47" s="59" t="s">
        <v>203</v>
      </c>
      <c r="B47" s="60">
        <v>9605.3</v>
      </c>
      <c r="C47" s="61">
        <v>247.25</v>
      </c>
      <c r="D47" s="61">
        <v>146.37</v>
      </c>
      <c r="E47" s="61">
        <v>389.07</v>
      </c>
      <c r="F47" s="62">
        <f t="shared" si="1"/>
        <v>2374910.425</v>
      </c>
      <c r="G47" s="63">
        <f t="shared" si="2"/>
        <v>1405927.761</v>
      </c>
      <c r="H47" s="64">
        <f t="shared" si="3"/>
        <v>3737134.071</v>
      </c>
      <c r="I47" s="65" t="str">
        <f t="shared" si="4"/>
        <v>247 (146-389)</v>
      </c>
      <c r="J47" s="66" t="str">
        <f t="shared" si="5"/>
        <v>2,374,910 (1,405,928-3,737,134)</v>
      </c>
      <c r="K47" s="62"/>
      <c r="L47" s="62"/>
      <c r="M47" s="62"/>
      <c r="N47" s="62"/>
      <c r="O47" s="62"/>
      <c r="P47" s="62"/>
      <c r="Q47" s="62"/>
      <c r="R47" s="62"/>
      <c r="S47" s="62"/>
    </row>
    <row r="48">
      <c r="A48" s="59" t="s">
        <v>174</v>
      </c>
      <c r="B48" s="60">
        <v>61239.66</v>
      </c>
      <c r="C48" s="61">
        <v>36.93</v>
      </c>
      <c r="D48" s="61">
        <v>23.93</v>
      </c>
      <c r="E48" s="61">
        <v>54.74</v>
      </c>
      <c r="F48" s="62">
        <f t="shared" si="1"/>
        <v>2261580.644</v>
      </c>
      <c r="G48" s="63">
        <f t="shared" si="2"/>
        <v>1465465.064</v>
      </c>
      <c r="H48" s="64">
        <f t="shared" si="3"/>
        <v>3352258.988</v>
      </c>
      <c r="I48" s="65" t="str">
        <f t="shared" si="4"/>
        <v>37 (24-55)</v>
      </c>
      <c r="J48" s="66" t="str">
        <f t="shared" si="5"/>
        <v>2,261,581 (1,465,465-3,352,259)</v>
      </c>
      <c r="K48" s="62"/>
      <c r="L48" s="62"/>
      <c r="M48" s="62"/>
      <c r="N48" s="62"/>
      <c r="O48" s="62"/>
      <c r="P48" s="62"/>
      <c r="Q48" s="62"/>
      <c r="R48" s="62"/>
      <c r="S48" s="62"/>
    </row>
    <row r="49">
      <c r="A49" s="59" t="s">
        <v>143</v>
      </c>
      <c r="B49" s="60">
        <v>56805.65</v>
      </c>
      <c r="C49" s="61">
        <v>177.98</v>
      </c>
      <c r="D49" s="61">
        <v>108.7</v>
      </c>
      <c r="E49" s="61">
        <v>272.98</v>
      </c>
      <c r="F49" s="62">
        <f t="shared" si="1"/>
        <v>10110269.59</v>
      </c>
      <c r="G49" s="63">
        <f t="shared" si="2"/>
        <v>6174774.155</v>
      </c>
      <c r="H49" s="64">
        <f t="shared" si="3"/>
        <v>15506806.34</v>
      </c>
      <c r="I49" s="65" t="str">
        <f t="shared" si="4"/>
        <v>178 (109-273)</v>
      </c>
      <c r="J49" s="66" t="str">
        <f t="shared" si="5"/>
        <v>10,110,270 (6,174,774-15,506,806)</v>
      </c>
      <c r="K49" s="62"/>
      <c r="L49" s="62"/>
      <c r="M49" s="62"/>
      <c r="N49" s="62"/>
      <c r="O49" s="62"/>
      <c r="P49" s="62"/>
      <c r="Q49" s="62"/>
      <c r="R49" s="62"/>
      <c r="S49" s="62"/>
    </row>
    <row r="50">
      <c r="A50" s="59" t="s">
        <v>175</v>
      </c>
      <c r="B50" s="60">
        <v>79514.29</v>
      </c>
      <c r="C50" s="61">
        <v>101.36</v>
      </c>
      <c r="D50" s="61">
        <v>63.7</v>
      </c>
      <c r="E50" s="61">
        <v>158.58</v>
      </c>
      <c r="F50" s="62">
        <f t="shared" si="1"/>
        <v>8059568.434</v>
      </c>
      <c r="G50" s="63">
        <f t="shared" si="2"/>
        <v>5065060.273</v>
      </c>
      <c r="H50" s="64">
        <f t="shared" si="3"/>
        <v>12609376.11</v>
      </c>
      <c r="I50" s="65" t="str">
        <f t="shared" si="4"/>
        <v>101 (64-159)</v>
      </c>
      <c r="J50" s="66" t="str">
        <f t="shared" si="5"/>
        <v>8,059,568 (5,065,060-12,609,376)</v>
      </c>
      <c r="K50" s="62"/>
      <c r="L50" s="62"/>
      <c r="M50" s="62"/>
      <c r="N50" s="62"/>
      <c r="O50" s="62"/>
      <c r="P50" s="62"/>
      <c r="Q50" s="62"/>
      <c r="R50" s="62"/>
      <c r="S50" s="62"/>
    </row>
    <row r="51">
      <c r="A51" s="59" t="s">
        <v>92</v>
      </c>
      <c r="B51" s="60">
        <v>7776.226</v>
      </c>
      <c r="C51" s="61">
        <v>72.47</v>
      </c>
      <c r="D51" s="61">
        <v>36.71</v>
      </c>
      <c r="E51" s="61">
        <v>160.39</v>
      </c>
      <c r="F51" s="62">
        <f t="shared" si="1"/>
        <v>563543.0982</v>
      </c>
      <c r="G51" s="63">
        <f t="shared" si="2"/>
        <v>285465.2565</v>
      </c>
      <c r="H51" s="64">
        <f t="shared" si="3"/>
        <v>1247228.888</v>
      </c>
      <c r="I51" s="65" t="str">
        <f t="shared" si="4"/>
        <v>72 (37-160)</v>
      </c>
      <c r="J51" s="66" t="str">
        <f t="shared" si="5"/>
        <v>563,543 (285,465-1,247,229)</v>
      </c>
      <c r="K51" s="62"/>
      <c r="L51" s="62"/>
      <c r="M51" s="62"/>
      <c r="N51" s="62"/>
      <c r="O51" s="62"/>
      <c r="P51" s="62"/>
      <c r="Q51" s="62"/>
      <c r="R51" s="62"/>
      <c r="S51" s="62"/>
    </row>
    <row r="52">
      <c r="A52" s="59" t="s">
        <v>204</v>
      </c>
      <c r="B52" s="60">
        <v>21300.68</v>
      </c>
      <c r="C52" s="61">
        <v>3.57</v>
      </c>
      <c r="D52" s="61">
        <v>2.26</v>
      </c>
      <c r="E52" s="61">
        <v>5.65</v>
      </c>
      <c r="F52" s="62">
        <f t="shared" si="1"/>
        <v>76043.4276</v>
      </c>
      <c r="G52" s="63">
        <f t="shared" si="2"/>
        <v>48139.5368</v>
      </c>
      <c r="H52" s="64">
        <f t="shared" si="3"/>
        <v>120348.842</v>
      </c>
      <c r="I52" s="65" t="str">
        <f t="shared" si="4"/>
        <v>4 (2-6)</v>
      </c>
      <c r="J52" s="66" t="str">
        <f t="shared" si="5"/>
        <v>76,043 (48,140-120,349)</v>
      </c>
      <c r="K52" s="62"/>
      <c r="L52" s="62"/>
      <c r="M52" s="62"/>
      <c r="N52" s="62"/>
      <c r="O52" s="62"/>
      <c r="P52" s="62"/>
      <c r="Q52" s="62"/>
      <c r="R52" s="62"/>
      <c r="S52" s="62"/>
    </row>
    <row r="53">
      <c r="A53" s="59" t="s">
        <v>205</v>
      </c>
      <c r="B53" s="60">
        <v>27541.18</v>
      </c>
      <c r="C53" s="61">
        <v>361.42</v>
      </c>
      <c r="D53" s="61">
        <v>235.26</v>
      </c>
      <c r="E53" s="61">
        <v>547.73</v>
      </c>
      <c r="F53" s="62">
        <f t="shared" si="1"/>
        <v>9953933.276</v>
      </c>
      <c r="G53" s="63">
        <f t="shared" si="2"/>
        <v>6479338.007</v>
      </c>
      <c r="H53" s="64">
        <f t="shared" si="3"/>
        <v>15085130.52</v>
      </c>
      <c r="I53" s="65" t="str">
        <f t="shared" si="4"/>
        <v>361 (235-548)</v>
      </c>
      <c r="J53" s="66" t="str">
        <f t="shared" si="5"/>
        <v>9,953,933 (6,479,338-15,085,131)</v>
      </c>
      <c r="K53" s="62"/>
      <c r="L53" s="62"/>
      <c r="M53" s="62"/>
      <c r="N53" s="62"/>
      <c r="O53" s="62"/>
      <c r="P53" s="62"/>
      <c r="Q53" s="62"/>
      <c r="R53" s="62"/>
      <c r="S53" s="62"/>
    </row>
    <row r="54">
      <c r="A54" s="59" t="s">
        <v>196</v>
      </c>
      <c r="B54" s="60">
        <v>15840.27</v>
      </c>
      <c r="C54" s="61">
        <v>420.68</v>
      </c>
      <c r="D54" s="61">
        <v>281.42</v>
      </c>
      <c r="E54" s="61">
        <v>631.03</v>
      </c>
      <c r="F54" s="62">
        <f t="shared" si="1"/>
        <v>6663684.784</v>
      </c>
      <c r="G54" s="63">
        <f t="shared" si="2"/>
        <v>4457768.783</v>
      </c>
      <c r="H54" s="64">
        <f t="shared" si="3"/>
        <v>9995685.578</v>
      </c>
      <c r="I54" s="65" t="str">
        <f t="shared" si="4"/>
        <v>421 (281-631)</v>
      </c>
      <c r="J54" s="66" t="str">
        <f t="shared" si="5"/>
        <v>6,663,685 (4,457,769-9,995,686)</v>
      </c>
      <c r="K54" s="62"/>
      <c r="L54" s="62"/>
      <c r="M54" s="62"/>
      <c r="N54" s="62"/>
      <c r="O54" s="62"/>
      <c r="P54" s="62"/>
      <c r="Q54" s="62"/>
      <c r="R54" s="62"/>
      <c r="S54" s="62"/>
    </row>
    <row r="55">
      <c r="A55" s="59" t="s">
        <v>32</v>
      </c>
      <c r="B55" s="60">
        <v>15840.3</v>
      </c>
      <c r="C55" s="61">
        <v>8300.86</v>
      </c>
      <c r="D55" s="61">
        <v>5576.72</v>
      </c>
      <c r="E55" s="61">
        <v>11778.57</v>
      </c>
      <c r="F55" s="62">
        <f t="shared" si="1"/>
        <v>131488112.7</v>
      </c>
      <c r="G55" s="63">
        <f t="shared" si="2"/>
        <v>88336917.82</v>
      </c>
      <c r="H55" s="64">
        <f t="shared" si="3"/>
        <v>186576082.4</v>
      </c>
      <c r="I55" s="65" t="str">
        <f t="shared" si="4"/>
        <v>8,301 (5,577-11,779)</v>
      </c>
      <c r="J55" s="66" t="str">
        <f t="shared" si="5"/>
        <v>131,488,113 (88,336,918-186,576,082)</v>
      </c>
      <c r="K55" s="62"/>
      <c r="L55" s="62"/>
      <c r="M55" s="62"/>
      <c r="N55" s="62"/>
      <c r="O55" s="62"/>
      <c r="P55" s="62"/>
      <c r="Q55" s="62"/>
      <c r="R55" s="62"/>
      <c r="S55" s="62"/>
    </row>
    <row r="56">
      <c r="A56" s="59" t="s">
        <v>219</v>
      </c>
      <c r="B56" s="60">
        <v>13264.03</v>
      </c>
      <c r="C56" s="61">
        <v>160.16</v>
      </c>
      <c r="D56" s="61">
        <v>100.91</v>
      </c>
      <c r="E56" s="61">
        <v>240.34</v>
      </c>
      <c r="F56" s="62">
        <f t="shared" si="1"/>
        <v>2124367.045</v>
      </c>
      <c r="G56" s="63">
        <f t="shared" si="2"/>
        <v>1338473.267</v>
      </c>
      <c r="H56" s="64">
        <f t="shared" si="3"/>
        <v>3187876.97</v>
      </c>
      <c r="I56" s="65" t="str">
        <f t="shared" si="4"/>
        <v>160 (101-240)</v>
      </c>
      <c r="J56" s="66" t="str">
        <f t="shared" si="5"/>
        <v>2,124,367 (1,338,473-3,187,877)</v>
      </c>
      <c r="K56" s="62"/>
      <c r="L56" s="62"/>
      <c r="M56" s="62"/>
      <c r="N56" s="62"/>
      <c r="O56" s="62"/>
      <c r="P56" s="62"/>
      <c r="Q56" s="62"/>
      <c r="R56" s="62"/>
      <c r="S56" s="62"/>
    </row>
    <row r="57">
      <c r="A57" s="59" t="s">
        <v>88</v>
      </c>
      <c r="B57" s="60">
        <v>17566.76</v>
      </c>
      <c r="C57" s="61">
        <v>49.81</v>
      </c>
      <c r="D57" s="61">
        <v>28.17</v>
      </c>
      <c r="E57" s="61">
        <v>98.34</v>
      </c>
      <c r="F57" s="62">
        <f t="shared" si="1"/>
        <v>875000.3156</v>
      </c>
      <c r="G57" s="63">
        <f t="shared" si="2"/>
        <v>494855.6292</v>
      </c>
      <c r="H57" s="64">
        <f t="shared" si="3"/>
        <v>1727515.178</v>
      </c>
      <c r="I57" s="65" t="str">
        <f t="shared" si="4"/>
        <v>50 (28-98)</v>
      </c>
      <c r="J57" s="66" t="str">
        <f t="shared" si="5"/>
        <v>875,000 (494,856-1,727,515)</v>
      </c>
      <c r="K57" s="62"/>
      <c r="L57" s="62"/>
      <c r="M57" s="62"/>
      <c r="N57" s="62"/>
      <c r="O57" s="62"/>
      <c r="P57" s="62"/>
      <c r="Q57" s="62"/>
      <c r="R57" s="62"/>
      <c r="S57" s="62"/>
    </row>
    <row r="58">
      <c r="A58" s="59" t="s">
        <v>93</v>
      </c>
      <c r="B58" s="60">
        <v>1742.3</v>
      </c>
      <c r="C58" s="61">
        <v>435.5</v>
      </c>
      <c r="D58" s="61">
        <v>183.04</v>
      </c>
      <c r="E58" s="61">
        <v>1161.57</v>
      </c>
      <c r="F58" s="62">
        <f t="shared" si="1"/>
        <v>758771.65</v>
      </c>
      <c r="G58" s="63">
        <f t="shared" si="2"/>
        <v>318910.592</v>
      </c>
      <c r="H58" s="64">
        <f t="shared" si="3"/>
        <v>2023803.411</v>
      </c>
      <c r="I58" s="65" t="str">
        <f t="shared" si="4"/>
        <v>436 (183-1,162)</v>
      </c>
      <c r="J58" s="66" t="str">
        <f t="shared" si="5"/>
        <v>758,772 (318,911-2,023,803)</v>
      </c>
      <c r="K58" s="62"/>
      <c r="L58" s="62"/>
      <c r="M58" s="62"/>
      <c r="N58" s="62"/>
      <c r="O58" s="62"/>
      <c r="P58" s="62"/>
      <c r="Q58" s="62"/>
      <c r="R58" s="62"/>
      <c r="S58" s="62"/>
    </row>
    <row r="59">
      <c r="A59" s="59" t="s">
        <v>153</v>
      </c>
      <c r="B59" s="60">
        <v>49333.81</v>
      </c>
      <c r="C59" s="61">
        <v>25.07</v>
      </c>
      <c r="D59" s="61">
        <v>15.6</v>
      </c>
      <c r="E59" s="61">
        <v>37.76</v>
      </c>
      <c r="F59" s="62">
        <f t="shared" si="1"/>
        <v>1236798.617</v>
      </c>
      <c r="G59" s="63">
        <f t="shared" si="2"/>
        <v>769607.436</v>
      </c>
      <c r="H59" s="64">
        <f t="shared" si="3"/>
        <v>1862844.666</v>
      </c>
      <c r="I59" s="65" t="str">
        <f t="shared" si="4"/>
        <v>25 (16-38)</v>
      </c>
      <c r="J59" s="66" t="str">
        <f t="shared" si="5"/>
        <v>1,236,799 (769,607-1,862,845)</v>
      </c>
      <c r="K59" s="62"/>
      <c r="L59" s="62"/>
      <c r="M59" s="62"/>
      <c r="N59" s="62"/>
      <c r="O59" s="62"/>
      <c r="P59" s="62"/>
      <c r="Q59" s="62"/>
      <c r="R59" s="62"/>
      <c r="S59" s="62"/>
    </row>
    <row r="60">
      <c r="A60" s="59" t="s">
        <v>106</v>
      </c>
      <c r="B60" s="60">
        <v>11784.28</v>
      </c>
      <c r="C60" s="61">
        <v>73.28</v>
      </c>
      <c r="D60" s="61">
        <v>43.87</v>
      </c>
      <c r="E60" s="61">
        <v>122.92</v>
      </c>
      <c r="F60" s="62">
        <f t="shared" si="1"/>
        <v>863552.0384</v>
      </c>
      <c r="G60" s="63">
        <f t="shared" si="2"/>
        <v>516976.3636</v>
      </c>
      <c r="H60" s="64">
        <f t="shared" si="3"/>
        <v>1448523.698</v>
      </c>
      <c r="I60" s="65" t="str">
        <f t="shared" si="4"/>
        <v>73 (44-123)</v>
      </c>
      <c r="J60" s="66" t="str">
        <f t="shared" si="5"/>
        <v>863,552 (516,976-1,448,524)</v>
      </c>
      <c r="K60" s="62"/>
      <c r="L60" s="62"/>
      <c r="M60" s="62"/>
      <c r="N60" s="62"/>
      <c r="O60" s="62"/>
      <c r="P60" s="62"/>
      <c r="Q60" s="62"/>
      <c r="R60" s="62"/>
      <c r="S60" s="62"/>
    </row>
    <row r="61">
      <c r="A61" s="59" t="s">
        <v>94</v>
      </c>
      <c r="B61" s="60">
        <v>3278.49</v>
      </c>
      <c r="C61" s="61">
        <v>9254.77</v>
      </c>
      <c r="D61" s="61">
        <v>3458.08</v>
      </c>
      <c r="E61" s="61">
        <v>28308.1</v>
      </c>
      <c r="F61" s="62">
        <f t="shared" si="1"/>
        <v>30341670.9</v>
      </c>
      <c r="G61" s="63">
        <f t="shared" si="2"/>
        <v>11337280.7</v>
      </c>
      <c r="H61" s="64">
        <f t="shared" si="3"/>
        <v>92807822.77</v>
      </c>
      <c r="I61" s="65" t="str">
        <f t="shared" si="4"/>
        <v>9,255 (3,458-28,308)</v>
      </c>
      <c r="J61" s="66" t="str">
        <f t="shared" si="5"/>
        <v>30,341,671 (11,337,281-92,807,823)</v>
      </c>
      <c r="K61" s="62"/>
      <c r="L61" s="62"/>
      <c r="M61" s="62"/>
      <c r="N61" s="62"/>
      <c r="O61" s="62"/>
      <c r="P61" s="62"/>
      <c r="Q61" s="62"/>
      <c r="R61" s="62"/>
      <c r="S61" s="62"/>
    </row>
    <row r="62">
      <c r="A62" s="59" t="s">
        <v>57</v>
      </c>
      <c r="B62" s="60">
        <v>16032.26</v>
      </c>
      <c r="C62" s="61">
        <v>35.09</v>
      </c>
      <c r="D62" s="61">
        <v>19.02</v>
      </c>
      <c r="E62" s="61">
        <v>73.05</v>
      </c>
      <c r="F62" s="62">
        <f t="shared" si="1"/>
        <v>562572.0034</v>
      </c>
      <c r="G62" s="63">
        <f t="shared" si="2"/>
        <v>304933.5852</v>
      </c>
      <c r="H62" s="64">
        <f t="shared" si="3"/>
        <v>1171156.593</v>
      </c>
      <c r="I62" s="65" t="str">
        <f t="shared" si="4"/>
        <v>35 (19-73)</v>
      </c>
      <c r="J62" s="66" t="str">
        <f t="shared" si="5"/>
        <v>562,572 (304,934-1,171,157)</v>
      </c>
      <c r="K62" s="62"/>
      <c r="L62" s="62"/>
      <c r="M62" s="62"/>
      <c r="N62" s="62"/>
      <c r="O62" s="62"/>
      <c r="P62" s="62"/>
      <c r="Q62" s="62"/>
      <c r="R62" s="62"/>
      <c r="S62" s="62"/>
    </row>
    <row r="63">
      <c r="A63" s="59" t="s">
        <v>176</v>
      </c>
      <c r="B63" s="60">
        <v>64091.23</v>
      </c>
      <c r="C63" s="61">
        <v>112.16</v>
      </c>
      <c r="D63" s="61">
        <v>67.12</v>
      </c>
      <c r="E63" s="61">
        <v>175.83</v>
      </c>
      <c r="F63" s="62">
        <f t="shared" si="1"/>
        <v>7188472.357</v>
      </c>
      <c r="G63" s="63">
        <f t="shared" si="2"/>
        <v>4301803.358</v>
      </c>
      <c r="H63" s="64">
        <f t="shared" si="3"/>
        <v>11269160.97</v>
      </c>
      <c r="I63" s="65" t="str">
        <f t="shared" si="4"/>
        <v>112 (67-176)</v>
      </c>
      <c r="J63" s="66" t="str">
        <f t="shared" si="5"/>
        <v>7,188,472 (4,301,803-11,269,161)</v>
      </c>
      <c r="K63" s="62"/>
      <c r="L63" s="62"/>
      <c r="M63" s="62"/>
      <c r="N63" s="62"/>
      <c r="O63" s="62"/>
      <c r="P63" s="62"/>
      <c r="Q63" s="62"/>
      <c r="R63" s="62"/>
      <c r="S63" s="62"/>
    </row>
    <row r="64">
      <c r="A64" s="59" t="s">
        <v>177</v>
      </c>
      <c r="B64" s="60">
        <v>61321.69</v>
      </c>
      <c r="C64" s="61">
        <v>825.38</v>
      </c>
      <c r="D64" s="61">
        <v>518.85</v>
      </c>
      <c r="E64" s="61">
        <v>1248.55</v>
      </c>
      <c r="F64" s="62">
        <f t="shared" si="1"/>
        <v>50613696.49</v>
      </c>
      <c r="G64" s="63">
        <f t="shared" si="2"/>
        <v>31816758.86</v>
      </c>
      <c r="H64" s="64">
        <f t="shared" si="3"/>
        <v>76563196.05</v>
      </c>
      <c r="I64" s="65" t="str">
        <f t="shared" si="4"/>
        <v>825 (519-1,249)</v>
      </c>
      <c r="J64" s="66" t="str">
        <f t="shared" si="5"/>
        <v>50,613,696 (31,816,759-76,563,196)</v>
      </c>
      <c r="K64" s="62"/>
      <c r="L64" s="62"/>
      <c r="M64" s="62"/>
      <c r="N64" s="62"/>
      <c r="O64" s="62"/>
      <c r="P64" s="62"/>
      <c r="Q64" s="62"/>
      <c r="R64" s="62"/>
      <c r="S64" s="62"/>
    </row>
    <row r="65">
      <c r="A65" s="59" t="s">
        <v>89</v>
      </c>
      <c r="B65" s="60">
        <v>21509.52</v>
      </c>
      <c r="C65" s="61">
        <v>52.99</v>
      </c>
      <c r="D65" s="61">
        <v>30.2</v>
      </c>
      <c r="E65" s="61">
        <v>88.61</v>
      </c>
      <c r="F65" s="62">
        <f t="shared" si="1"/>
        <v>1139789.465</v>
      </c>
      <c r="G65" s="63">
        <f t="shared" si="2"/>
        <v>649587.504</v>
      </c>
      <c r="H65" s="64">
        <f t="shared" si="3"/>
        <v>1905958.567</v>
      </c>
      <c r="I65" s="65" t="str">
        <f t="shared" si="4"/>
        <v>53 (30-89)</v>
      </c>
      <c r="J65" s="66" t="str">
        <f t="shared" si="5"/>
        <v>1,139,789 (649,588-1,905,959)</v>
      </c>
      <c r="K65" s="62"/>
      <c r="L65" s="62"/>
      <c r="M65" s="62"/>
      <c r="N65" s="62"/>
      <c r="O65" s="62"/>
      <c r="P65" s="62"/>
      <c r="Q65" s="62"/>
      <c r="R65" s="62"/>
      <c r="S65" s="62"/>
    </row>
    <row r="66">
      <c r="A66" s="59" t="s">
        <v>117</v>
      </c>
      <c r="B66" s="60">
        <v>3445.3</v>
      </c>
      <c r="C66" s="61">
        <v>179.39</v>
      </c>
      <c r="D66" s="61">
        <v>75.48</v>
      </c>
      <c r="E66" s="61">
        <v>490.92</v>
      </c>
      <c r="F66" s="62">
        <f t="shared" si="1"/>
        <v>618052.367</v>
      </c>
      <c r="G66" s="63">
        <f t="shared" si="2"/>
        <v>260051.244</v>
      </c>
      <c r="H66" s="64">
        <f t="shared" si="3"/>
        <v>1691366.676</v>
      </c>
      <c r="I66" s="65" t="str">
        <f t="shared" si="4"/>
        <v>179 (75-491)</v>
      </c>
      <c r="J66" s="66" t="str">
        <f t="shared" si="5"/>
        <v>618,052 (260,051-1,691,367)</v>
      </c>
      <c r="K66" s="62"/>
      <c r="L66" s="62"/>
      <c r="M66" s="62"/>
      <c r="N66" s="62"/>
      <c r="O66" s="62"/>
      <c r="P66" s="62"/>
      <c r="Q66" s="62"/>
      <c r="R66" s="62"/>
      <c r="S66" s="62"/>
    </row>
    <row r="67">
      <c r="A67" s="59" t="s">
        <v>132</v>
      </c>
      <c r="B67" s="60">
        <v>28417.75</v>
      </c>
      <c r="C67" s="61">
        <v>144.19</v>
      </c>
      <c r="D67" s="61">
        <v>91.11</v>
      </c>
      <c r="E67" s="61">
        <v>214.96</v>
      </c>
      <c r="F67" s="62">
        <f t="shared" si="1"/>
        <v>4097555.373</v>
      </c>
      <c r="G67" s="63">
        <f t="shared" si="2"/>
        <v>2589141.203</v>
      </c>
      <c r="H67" s="64">
        <f t="shared" si="3"/>
        <v>6108679.54</v>
      </c>
      <c r="I67" s="65" t="str">
        <f t="shared" si="4"/>
        <v>144 (91-215)</v>
      </c>
      <c r="J67" s="66" t="str">
        <f t="shared" si="5"/>
        <v>4,097,555 (2,589,141-6,108,680)</v>
      </c>
      <c r="K67" s="62"/>
      <c r="L67" s="62"/>
      <c r="M67" s="62"/>
      <c r="N67" s="62"/>
      <c r="O67" s="62"/>
      <c r="P67" s="62"/>
      <c r="Q67" s="62"/>
      <c r="R67" s="62"/>
      <c r="S67" s="62"/>
    </row>
    <row r="68">
      <c r="A68" s="59" t="s">
        <v>178</v>
      </c>
      <c r="B68" s="60">
        <v>72300.12</v>
      </c>
      <c r="C68" s="61">
        <v>1478.23</v>
      </c>
      <c r="D68" s="61">
        <v>900.83</v>
      </c>
      <c r="E68" s="61">
        <v>2308.35</v>
      </c>
      <c r="F68" s="62">
        <f t="shared" si="1"/>
        <v>106876206.4</v>
      </c>
      <c r="G68" s="63">
        <f t="shared" si="2"/>
        <v>65130117.1</v>
      </c>
      <c r="H68" s="64">
        <f t="shared" si="3"/>
        <v>166893982</v>
      </c>
      <c r="I68" s="65" t="str">
        <f t="shared" si="4"/>
        <v>1,478 (901-2,308)</v>
      </c>
      <c r="J68" s="66" t="str">
        <f t="shared" si="5"/>
        <v>106,876,206 (65,130,117-166,893,982)</v>
      </c>
      <c r="K68" s="62"/>
      <c r="L68" s="62"/>
      <c r="M68" s="62"/>
      <c r="N68" s="62"/>
      <c r="O68" s="62"/>
      <c r="P68" s="62"/>
      <c r="Q68" s="62"/>
      <c r="R68" s="62"/>
      <c r="S68" s="62"/>
    </row>
    <row r="69">
      <c r="A69" s="59" t="s">
        <v>118</v>
      </c>
      <c r="B69" s="60">
        <v>8027.168</v>
      </c>
      <c r="C69" s="61">
        <v>1199.18</v>
      </c>
      <c r="D69" s="61">
        <v>731.83</v>
      </c>
      <c r="E69" s="61">
        <v>1934.75</v>
      </c>
      <c r="F69" s="62">
        <f t="shared" si="1"/>
        <v>9626019.322</v>
      </c>
      <c r="G69" s="63">
        <f t="shared" si="2"/>
        <v>5874522.357</v>
      </c>
      <c r="H69" s="64">
        <f t="shared" si="3"/>
        <v>15530563.29</v>
      </c>
      <c r="I69" s="65" t="str">
        <f t="shared" si="4"/>
        <v>1,199 (732-1,935)</v>
      </c>
      <c r="J69" s="66" t="str">
        <f t="shared" si="5"/>
        <v>9,626,019 (5,874,522-15,530,563)</v>
      </c>
      <c r="K69" s="62"/>
      <c r="L69" s="62"/>
      <c r="M69" s="62"/>
      <c r="N69" s="62"/>
      <c r="O69" s="62"/>
      <c r="P69" s="62"/>
      <c r="Q69" s="62"/>
      <c r="R69" s="62"/>
      <c r="S69" s="62"/>
    </row>
    <row r="70">
      <c r="A70" s="59" t="s">
        <v>179</v>
      </c>
      <c r="B70" s="60">
        <v>44074.3</v>
      </c>
      <c r="C70" s="61">
        <v>238.22</v>
      </c>
      <c r="D70" s="61">
        <v>144.9</v>
      </c>
      <c r="E70" s="61">
        <v>369.16</v>
      </c>
      <c r="F70" s="62">
        <f t="shared" si="1"/>
        <v>10499379.75</v>
      </c>
      <c r="G70" s="63">
        <f t="shared" si="2"/>
        <v>6386366.07</v>
      </c>
      <c r="H70" s="64">
        <f t="shared" si="3"/>
        <v>16270468.59</v>
      </c>
      <c r="I70" s="65" t="str">
        <f t="shared" si="4"/>
        <v>238 (145-369)</v>
      </c>
      <c r="J70" s="66" t="str">
        <f t="shared" si="5"/>
        <v>10,499,380 (6,386,366-16,270,469)</v>
      </c>
      <c r="K70" s="62"/>
      <c r="L70" s="62"/>
      <c r="M70" s="62"/>
      <c r="N70" s="62"/>
      <c r="O70" s="62"/>
      <c r="P70" s="62"/>
      <c r="Q70" s="62"/>
      <c r="R70" s="62"/>
      <c r="S70" s="62"/>
    </row>
    <row r="71">
      <c r="A71" s="59" t="s">
        <v>166</v>
      </c>
      <c r="B71" s="60">
        <v>78840.0</v>
      </c>
      <c r="C71" s="61">
        <v>0.51</v>
      </c>
      <c r="D71" s="61">
        <v>0.32</v>
      </c>
      <c r="E71" s="61">
        <v>0.76</v>
      </c>
      <c r="F71" s="62">
        <f t="shared" si="1"/>
        <v>40208.4</v>
      </c>
      <c r="G71" s="63">
        <f t="shared" si="2"/>
        <v>25228.8</v>
      </c>
      <c r="H71" s="64">
        <f t="shared" si="3"/>
        <v>59918.4</v>
      </c>
      <c r="I71" s="65" t="str">
        <f t="shared" si="4"/>
        <v>1 (0-1)</v>
      </c>
      <c r="J71" s="66" t="str">
        <f t="shared" si="5"/>
        <v>40,208 (25,229-59,918)</v>
      </c>
      <c r="K71" s="62"/>
      <c r="L71" s="62"/>
      <c r="M71" s="62"/>
      <c r="N71" s="62"/>
      <c r="O71" s="62"/>
      <c r="P71" s="62"/>
      <c r="Q71" s="62"/>
      <c r="R71" s="62"/>
      <c r="S71" s="62"/>
    </row>
    <row r="72">
      <c r="A72" s="59" t="s">
        <v>206</v>
      </c>
      <c r="B72" s="60">
        <v>20167.2</v>
      </c>
      <c r="C72" s="61">
        <v>2.87</v>
      </c>
      <c r="D72" s="61">
        <v>1.69</v>
      </c>
      <c r="E72" s="61">
        <v>4.43</v>
      </c>
      <c r="F72" s="62">
        <f t="shared" si="1"/>
        <v>57879.864</v>
      </c>
      <c r="G72" s="63">
        <f t="shared" si="2"/>
        <v>34082.568</v>
      </c>
      <c r="H72" s="64">
        <f t="shared" si="3"/>
        <v>89340.696</v>
      </c>
      <c r="I72" s="65" t="str">
        <f t="shared" si="4"/>
        <v>3 (2-4)</v>
      </c>
      <c r="J72" s="66" t="str">
        <f t="shared" si="5"/>
        <v>57,880 (34,083-89,341)</v>
      </c>
      <c r="K72" s="62"/>
      <c r="L72" s="62"/>
      <c r="M72" s="62"/>
      <c r="N72" s="62"/>
      <c r="O72" s="62"/>
      <c r="P72" s="62"/>
      <c r="Q72" s="62"/>
      <c r="R72" s="62"/>
      <c r="S72" s="62"/>
    </row>
    <row r="73">
      <c r="A73" s="59" t="s">
        <v>58</v>
      </c>
      <c r="B73" s="60">
        <v>41833.15</v>
      </c>
      <c r="C73" s="61">
        <v>4.33</v>
      </c>
      <c r="D73" s="61">
        <v>2.5</v>
      </c>
      <c r="E73" s="61">
        <v>8.01</v>
      </c>
      <c r="F73" s="62">
        <f t="shared" si="1"/>
        <v>181137.5395</v>
      </c>
      <c r="G73" s="63">
        <f t="shared" si="2"/>
        <v>104582.875</v>
      </c>
      <c r="H73" s="64">
        <f t="shared" si="3"/>
        <v>335083.5315</v>
      </c>
      <c r="I73" s="65" t="str">
        <f t="shared" si="4"/>
        <v>4 (3-8)</v>
      </c>
      <c r="J73" s="66" t="str">
        <f t="shared" si="5"/>
        <v>181,138 (104,583-335,084)</v>
      </c>
      <c r="K73" s="62"/>
      <c r="L73" s="62"/>
      <c r="M73" s="62"/>
      <c r="N73" s="62"/>
      <c r="O73" s="62"/>
      <c r="P73" s="62"/>
      <c r="Q73" s="62"/>
      <c r="R73" s="62"/>
      <c r="S73" s="62"/>
    </row>
    <row r="74">
      <c r="A74" s="59" t="s">
        <v>220</v>
      </c>
      <c r="B74" s="60">
        <v>14368.66</v>
      </c>
      <c r="C74" s="61">
        <v>1076.01</v>
      </c>
      <c r="D74" s="61">
        <v>680.3</v>
      </c>
      <c r="E74" s="61">
        <v>1633.91</v>
      </c>
      <c r="F74" s="62">
        <f t="shared" si="1"/>
        <v>15460821.85</v>
      </c>
      <c r="G74" s="63">
        <f t="shared" si="2"/>
        <v>9774999.398</v>
      </c>
      <c r="H74" s="64">
        <f t="shared" si="3"/>
        <v>23477097.26</v>
      </c>
      <c r="I74" s="65" t="str">
        <f t="shared" si="4"/>
        <v>1,076 (680-1,634)</v>
      </c>
      <c r="J74" s="66" t="str">
        <f t="shared" si="5"/>
        <v>15,460,822 (9,774,999-23,477,097)</v>
      </c>
      <c r="K74" s="62"/>
      <c r="L74" s="62"/>
      <c r="M74" s="62"/>
      <c r="N74" s="62"/>
      <c r="O74" s="62"/>
      <c r="P74" s="62"/>
      <c r="Q74" s="62"/>
      <c r="R74" s="62"/>
      <c r="S74" s="62"/>
    </row>
    <row r="75">
      <c r="A75" s="59" t="s">
        <v>119</v>
      </c>
      <c r="B75" s="60">
        <v>4579.102</v>
      </c>
      <c r="C75" s="61">
        <v>1225.9</v>
      </c>
      <c r="D75" s="61">
        <v>406.51</v>
      </c>
      <c r="E75" s="61">
        <v>4879.43</v>
      </c>
      <c r="F75" s="62">
        <f t="shared" si="1"/>
        <v>5613521.142</v>
      </c>
      <c r="G75" s="63">
        <f t="shared" si="2"/>
        <v>1861450.754</v>
      </c>
      <c r="H75" s="64">
        <f t="shared" si="3"/>
        <v>22343407.67</v>
      </c>
      <c r="I75" s="65" t="str">
        <f t="shared" si="4"/>
        <v>1,226 (407-4,879)</v>
      </c>
      <c r="J75" s="66" t="str">
        <f t="shared" si="5"/>
        <v>5,613,521 (1,861,451-22,343,408)</v>
      </c>
      <c r="K75" s="62"/>
      <c r="L75" s="62"/>
      <c r="M75" s="62"/>
      <c r="N75" s="62"/>
      <c r="O75" s="62"/>
      <c r="P75" s="62"/>
      <c r="Q75" s="62"/>
      <c r="R75" s="62"/>
      <c r="S75" s="62"/>
    </row>
    <row r="76">
      <c r="A76" s="59" t="s">
        <v>120</v>
      </c>
      <c r="B76" s="60">
        <v>3052.691</v>
      </c>
      <c r="C76" s="61">
        <v>180.02</v>
      </c>
      <c r="D76" s="61">
        <v>61.78</v>
      </c>
      <c r="E76" s="61">
        <v>600.16</v>
      </c>
      <c r="F76" s="62">
        <f t="shared" si="1"/>
        <v>549545.4338</v>
      </c>
      <c r="G76" s="63">
        <f t="shared" si="2"/>
        <v>188595.25</v>
      </c>
      <c r="H76" s="64">
        <f t="shared" si="3"/>
        <v>1832103.031</v>
      </c>
      <c r="I76" s="65" t="str">
        <f t="shared" si="4"/>
        <v>180 (62-600)</v>
      </c>
      <c r="J76" s="66" t="str">
        <f t="shared" si="5"/>
        <v>549,545 (188,595-1,832,103)</v>
      </c>
      <c r="K76" s="62"/>
      <c r="L76" s="62"/>
      <c r="M76" s="62"/>
      <c r="N76" s="62"/>
      <c r="O76" s="62"/>
      <c r="P76" s="62"/>
      <c r="Q76" s="62"/>
      <c r="R76" s="62"/>
      <c r="S76" s="62"/>
    </row>
    <row r="77">
      <c r="A77" s="59" t="s">
        <v>207</v>
      </c>
      <c r="B77" s="60">
        <v>79905.74</v>
      </c>
      <c r="C77" s="61">
        <v>28.59</v>
      </c>
      <c r="D77" s="61">
        <v>18.27</v>
      </c>
      <c r="E77" s="61">
        <v>44.47</v>
      </c>
      <c r="F77" s="62">
        <f t="shared" si="1"/>
        <v>2284505.107</v>
      </c>
      <c r="G77" s="63">
        <f t="shared" si="2"/>
        <v>1459877.87</v>
      </c>
      <c r="H77" s="64">
        <f t="shared" si="3"/>
        <v>3553408.258</v>
      </c>
      <c r="I77" s="65" t="str">
        <f t="shared" si="4"/>
        <v>29 (18-44)</v>
      </c>
      <c r="J77" s="66" t="str">
        <f t="shared" si="5"/>
        <v>2,284,505 (1,459,878-3,553,408)</v>
      </c>
      <c r="K77" s="62"/>
      <c r="L77" s="62"/>
      <c r="M77" s="62"/>
      <c r="N77" s="62"/>
      <c r="O77" s="62"/>
      <c r="P77" s="62"/>
      <c r="Q77" s="62"/>
      <c r="R77" s="62"/>
      <c r="S77" s="62"/>
    </row>
    <row r="78">
      <c r="A78" s="59" t="s">
        <v>208</v>
      </c>
      <c r="B78" s="60">
        <v>3183.459</v>
      </c>
      <c r="C78" s="61">
        <v>1010.66</v>
      </c>
      <c r="D78" s="61">
        <v>443.16</v>
      </c>
      <c r="E78" s="61">
        <v>2075.71</v>
      </c>
      <c r="F78" s="62">
        <f t="shared" si="1"/>
        <v>3217394.673</v>
      </c>
      <c r="G78" s="63">
        <f t="shared" si="2"/>
        <v>1410781.69</v>
      </c>
      <c r="H78" s="64">
        <f t="shared" si="3"/>
        <v>6607937.681</v>
      </c>
      <c r="I78" s="65" t="str">
        <f t="shared" si="4"/>
        <v>1,011 (443-2,076)</v>
      </c>
      <c r="J78" s="66" t="str">
        <f t="shared" si="5"/>
        <v>3,217,395 (1,410,782-6,607,938)</v>
      </c>
      <c r="K78" s="62"/>
      <c r="L78" s="62"/>
      <c r="M78" s="62"/>
      <c r="N78" s="62"/>
      <c r="O78" s="62"/>
      <c r="P78" s="62"/>
      <c r="Q78" s="62"/>
      <c r="R78" s="62"/>
      <c r="S78" s="62"/>
    </row>
    <row r="79">
      <c r="A79" s="59" t="s">
        <v>221</v>
      </c>
      <c r="B79" s="60">
        <v>7486.019</v>
      </c>
      <c r="C79" s="61">
        <v>493.4</v>
      </c>
      <c r="D79" s="61">
        <v>284.11</v>
      </c>
      <c r="E79" s="61">
        <v>784.86</v>
      </c>
      <c r="F79" s="62">
        <f t="shared" si="1"/>
        <v>3693601.775</v>
      </c>
      <c r="G79" s="63">
        <f t="shared" si="2"/>
        <v>2126852.858</v>
      </c>
      <c r="H79" s="64">
        <f t="shared" si="3"/>
        <v>5875476.872</v>
      </c>
      <c r="I79" s="65" t="str">
        <f t="shared" si="4"/>
        <v>493 (284-785)</v>
      </c>
      <c r="J79" s="66" t="str">
        <f t="shared" si="5"/>
        <v>3,693,602 (2,126,853-5,875,477)</v>
      </c>
      <c r="K79" s="62"/>
      <c r="L79" s="62"/>
      <c r="M79" s="62"/>
      <c r="N79" s="62"/>
      <c r="O79" s="62"/>
      <c r="P79" s="62"/>
      <c r="Q79" s="62"/>
      <c r="R79" s="62"/>
      <c r="S79" s="62"/>
    </row>
    <row r="80">
      <c r="A80" s="59" t="s">
        <v>144</v>
      </c>
      <c r="B80" s="60">
        <v>47635.9</v>
      </c>
      <c r="C80" s="61">
        <v>110.89</v>
      </c>
      <c r="D80" s="61">
        <v>66.71</v>
      </c>
      <c r="E80" s="61">
        <v>169.47</v>
      </c>
      <c r="F80" s="62">
        <f t="shared" si="1"/>
        <v>5282344.951</v>
      </c>
      <c r="G80" s="63">
        <f t="shared" si="2"/>
        <v>3177790.889</v>
      </c>
      <c r="H80" s="64">
        <f t="shared" si="3"/>
        <v>8072855.973</v>
      </c>
      <c r="I80" s="65" t="str">
        <f t="shared" si="4"/>
        <v>111 (67-169)</v>
      </c>
      <c r="J80" s="66" t="str">
        <f t="shared" si="5"/>
        <v>5,282,345 (3,177,791-8,072,856)</v>
      </c>
      <c r="K80" s="62"/>
      <c r="L80" s="62"/>
      <c r="M80" s="62"/>
      <c r="N80" s="62"/>
      <c r="O80" s="62"/>
      <c r="P80" s="62"/>
      <c r="Q80" s="62"/>
      <c r="R80" s="62"/>
      <c r="S80" s="62"/>
    </row>
    <row r="81">
      <c r="A81" s="59" t="s">
        <v>180</v>
      </c>
      <c r="B81" s="60">
        <v>78258.76</v>
      </c>
      <c r="C81" s="61">
        <v>5.81</v>
      </c>
      <c r="D81" s="61">
        <v>3.64</v>
      </c>
      <c r="E81" s="61">
        <v>8.95</v>
      </c>
      <c r="F81" s="62">
        <f t="shared" si="1"/>
        <v>454683.3956</v>
      </c>
      <c r="G81" s="63">
        <f t="shared" si="2"/>
        <v>284861.8864</v>
      </c>
      <c r="H81" s="64">
        <f t="shared" si="3"/>
        <v>700415.902</v>
      </c>
      <c r="I81" s="65" t="str">
        <f t="shared" si="4"/>
        <v>6 (4-9)</v>
      </c>
      <c r="J81" s="66" t="str">
        <f t="shared" si="5"/>
        <v>454,683 (284,862-700,416)</v>
      </c>
      <c r="K81" s="62"/>
      <c r="L81" s="62"/>
      <c r="M81" s="62"/>
      <c r="N81" s="62"/>
      <c r="O81" s="62"/>
      <c r="P81" s="62"/>
      <c r="Q81" s="62"/>
      <c r="R81" s="62"/>
      <c r="S81" s="62"/>
    </row>
    <row r="82">
      <c r="A82" s="59" t="s">
        <v>51</v>
      </c>
      <c r="B82" s="60">
        <v>11158.88</v>
      </c>
      <c r="C82" s="61">
        <v>80916.94</v>
      </c>
      <c r="D82" s="61">
        <v>50169.67</v>
      </c>
      <c r="E82" s="61">
        <v>127938.58</v>
      </c>
      <c r="F82" s="62">
        <f t="shared" si="1"/>
        <v>902942423.4</v>
      </c>
      <c r="G82" s="63">
        <f t="shared" si="2"/>
        <v>559837327.2</v>
      </c>
      <c r="H82" s="64">
        <f t="shared" si="3"/>
        <v>1427651262</v>
      </c>
      <c r="I82" s="65" t="str">
        <f t="shared" si="4"/>
        <v>80,917 (50,170-127,939)</v>
      </c>
      <c r="J82" s="66" t="str">
        <f t="shared" si="5"/>
        <v>902,942,423 (559,837,327-1,427,651,262)</v>
      </c>
      <c r="K82" s="62"/>
      <c r="L82" s="62"/>
      <c r="M82" s="62"/>
      <c r="N82" s="62"/>
      <c r="O82" s="62"/>
      <c r="P82" s="62"/>
      <c r="Q82" s="62"/>
      <c r="R82" s="62"/>
      <c r="S82" s="62"/>
    </row>
    <row r="83">
      <c r="A83" s="59" t="s">
        <v>72</v>
      </c>
      <c r="B83" s="60">
        <v>16448.28</v>
      </c>
      <c r="C83" s="61">
        <v>10680.61</v>
      </c>
      <c r="D83" s="61">
        <v>6329.16</v>
      </c>
      <c r="E83" s="61">
        <v>16609.52</v>
      </c>
      <c r="F83" s="62">
        <f t="shared" si="1"/>
        <v>175677663.9</v>
      </c>
      <c r="G83" s="63">
        <f t="shared" si="2"/>
        <v>104103795.8</v>
      </c>
      <c r="H83" s="64">
        <f t="shared" si="3"/>
        <v>273198035.6</v>
      </c>
      <c r="I83" s="65" t="str">
        <f t="shared" si="4"/>
        <v>10,681 (6,329-16,610)</v>
      </c>
      <c r="J83" s="66" t="str">
        <f t="shared" si="5"/>
        <v>175,677,664 (104,103,796-273,198,036)</v>
      </c>
      <c r="K83" s="62"/>
      <c r="L83" s="62"/>
      <c r="M83" s="62"/>
      <c r="N83" s="62"/>
      <c r="O83" s="62"/>
      <c r="P83" s="62"/>
      <c r="Q83" s="62"/>
      <c r="R83" s="62"/>
      <c r="S83" s="62"/>
    </row>
    <row r="84">
      <c r="A84" s="59" t="s">
        <v>33</v>
      </c>
      <c r="B84" s="60">
        <v>18441.6</v>
      </c>
      <c r="C84" s="61">
        <v>4489.54</v>
      </c>
      <c r="D84" s="61">
        <v>2986.35</v>
      </c>
      <c r="E84" s="61">
        <v>6447.29</v>
      </c>
      <c r="F84" s="62">
        <f t="shared" si="1"/>
        <v>82794300.86</v>
      </c>
      <c r="G84" s="63">
        <f t="shared" si="2"/>
        <v>55073072.16</v>
      </c>
      <c r="H84" s="64">
        <f t="shared" si="3"/>
        <v>118898343.3</v>
      </c>
      <c r="I84" s="65" t="str">
        <f t="shared" si="4"/>
        <v>4,490 (2,986-6,447)</v>
      </c>
      <c r="J84" s="66" t="str">
        <f t="shared" si="5"/>
        <v>82,794,301 (55,073,072-118,898,343)</v>
      </c>
      <c r="K84" s="62"/>
      <c r="L84" s="62"/>
      <c r="M84" s="62"/>
      <c r="N84" s="62"/>
      <c r="O84" s="62"/>
      <c r="P84" s="62"/>
      <c r="Q84" s="62"/>
      <c r="R84" s="62"/>
      <c r="S84" s="62"/>
    </row>
    <row r="85">
      <c r="A85" s="59" t="s">
        <v>34</v>
      </c>
      <c r="B85" s="60">
        <v>14464.32</v>
      </c>
      <c r="C85" s="61">
        <v>2714.09</v>
      </c>
      <c r="D85" s="61">
        <v>1791.75</v>
      </c>
      <c r="E85" s="61">
        <v>3957.32</v>
      </c>
      <c r="F85" s="62">
        <f t="shared" si="1"/>
        <v>39257466.27</v>
      </c>
      <c r="G85" s="63">
        <f t="shared" si="2"/>
        <v>25916445.36</v>
      </c>
      <c r="H85" s="64">
        <f t="shared" si="3"/>
        <v>57239942.82</v>
      </c>
      <c r="I85" s="65" t="str">
        <f t="shared" si="4"/>
        <v>2,714 (1,792-3,957)</v>
      </c>
      <c r="J85" s="66" t="str">
        <f t="shared" si="5"/>
        <v>39,257,466 (25,916,445-57,239,943)</v>
      </c>
      <c r="K85" s="62"/>
      <c r="L85" s="62"/>
      <c r="M85" s="62"/>
      <c r="N85" s="62"/>
      <c r="O85" s="62"/>
      <c r="P85" s="62"/>
      <c r="Q85" s="62"/>
      <c r="R85" s="62"/>
      <c r="S85" s="62"/>
    </row>
    <row r="86">
      <c r="A86" s="59" t="s">
        <v>181</v>
      </c>
      <c r="B86" s="60">
        <v>131175.1</v>
      </c>
      <c r="C86" s="61">
        <v>66.48</v>
      </c>
      <c r="D86" s="61">
        <v>41.04</v>
      </c>
      <c r="E86" s="61">
        <v>103.53</v>
      </c>
      <c r="F86" s="62">
        <f t="shared" si="1"/>
        <v>8720520.648</v>
      </c>
      <c r="G86" s="63">
        <f t="shared" si="2"/>
        <v>5383426.104</v>
      </c>
      <c r="H86" s="64">
        <f t="shared" si="3"/>
        <v>13580558.1</v>
      </c>
      <c r="I86" s="65" t="str">
        <f t="shared" si="4"/>
        <v>66 (41-104)</v>
      </c>
      <c r="J86" s="66" t="str">
        <f t="shared" si="5"/>
        <v>8,720,521 (5,383,426-13,580,558)</v>
      </c>
      <c r="K86" s="62"/>
      <c r="L86" s="62"/>
      <c r="M86" s="62"/>
      <c r="N86" s="62"/>
      <c r="O86" s="62"/>
      <c r="P86" s="62"/>
      <c r="Q86" s="62"/>
      <c r="R86" s="62"/>
      <c r="S86" s="62"/>
    </row>
    <row r="87">
      <c r="A87" s="59" t="s">
        <v>182</v>
      </c>
      <c r="B87" s="60">
        <v>55690.74</v>
      </c>
      <c r="C87" s="61">
        <v>98.4</v>
      </c>
      <c r="D87" s="61">
        <v>60.85</v>
      </c>
      <c r="E87" s="61">
        <v>150.18</v>
      </c>
      <c r="F87" s="62">
        <f t="shared" si="1"/>
        <v>5479968.816</v>
      </c>
      <c r="G87" s="63">
        <f t="shared" si="2"/>
        <v>3388781.529</v>
      </c>
      <c r="H87" s="64">
        <f t="shared" si="3"/>
        <v>8363635.333</v>
      </c>
      <c r="I87" s="65" t="str">
        <f t="shared" si="4"/>
        <v>98 (61-150)</v>
      </c>
      <c r="J87" s="66" t="str">
        <f t="shared" si="5"/>
        <v>5,479,969 (3,388,782-8,363,635)</v>
      </c>
      <c r="K87" s="62"/>
      <c r="L87" s="62"/>
      <c r="M87" s="62"/>
      <c r="N87" s="62"/>
      <c r="O87" s="62"/>
      <c r="P87" s="62"/>
      <c r="Q87" s="62"/>
      <c r="R87" s="62"/>
      <c r="S87" s="62"/>
    </row>
    <row r="88">
      <c r="A88" s="59" t="s">
        <v>183</v>
      </c>
      <c r="B88" s="60">
        <v>60846.98</v>
      </c>
      <c r="C88" s="61">
        <v>710.81</v>
      </c>
      <c r="D88" s="61">
        <v>432.2</v>
      </c>
      <c r="E88" s="61">
        <v>1073.52</v>
      </c>
      <c r="F88" s="62">
        <f t="shared" si="1"/>
        <v>43250641.85</v>
      </c>
      <c r="G88" s="63">
        <f t="shared" si="2"/>
        <v>26298064.76</v>
      </c>
      <c r="H88" s="64">
        <f t="shared" si="3"/>
        <v>65320449.97</v>
      </c>
      <c r="I88" s="65" t="str">
        <f t="shared" si="4"/>
        <v>711 (432-1,074)</v>
      </c>
      <c r="J88" s="66" t="str">
        <f t="shared" si="5"/>
        <v>43,250,642 (26,298,065-65,320,450)</v>
      </c>
      <c r="K88" s="62"/>
      <c r="L88" s="62"/>
      <c r="M88" s="62"/>
      <c r="N88" s="62"/>
      <c r="O88" s="62"/>
      <c r="P88" s="62"/>
      <c r="Q88" s="62"/>
      <c r="R88" s="62"/>
      <c r="S88" s="62"/>
    </row>
    <row r="89">
      <c r="A89" s="59" t="s">
        <v>209</v>
      </c>
      <c r="B89" s="60">
        <v>11662.34</v>
      </c>
      <c r="C89" s="61">
        <v>93.44</v>
      </c>
      <c r="D89" s="61">
        <v>60.03</v>
      </c>
      <c r="E89" s="61">
        <v>143.08</v>
      </c>
      <c r="F89" s="62">
        <f t="shared" si="1"/>
        <v>1089729.05</v>
      </c>
      <c r="G89" s="63">
        <f t="shared" si="2"/>
        <v>700090.2702</v>
      </c>
      <c r="H89" s="64">
        <f t="shared" si="3"/>
        <v>1668647.607</v>
      </c>
      <c r="I89" s="65" t="str">
        <f t="shared" si="4"/>
        <v>93 (60-143)</v>
      </c>
      <c r="J89" s="66" t="str">
        <f t="shared" si="5"/>
        <v>1,089,729 (700,090-1,668,648)</v>
      </c>
      <c r="K89" s="62"/>
      <c r="L89" s="62"/>
      <c r="M89" s="62"/>
      <c r="N89" s="62"/>
      <c r="O89" s="62"/>
      <c r="P89" s="62"/>
      <c r="Q89" s="62"/>
      <c r="R89" s="62"/>
      <c r="S89" s="62"/>
    </row>
    <row r="90">
      <c r="A90" s="59" t="s">
        <v>162</v>
      </c>
      <c r="B90" s="60">
        <v>51685.04</v>
      </c>
      <c r="C90" s="61">
        <v>3785.05</v>
      </c>
      <c r="D90" s="61">
        <v>2335.14</v>
      </c>
      <c r="E90" s="61">
        <v>5766.05</v>
      </c>
      <c r="F90" s="62">
        <f t="shared" si="1"/>
        <v>195630460.7</v>
      </c>
      <c r="G90" s="63">
        <f t="shared" si="2"/>
        <v>120691804.3</v>
      </c>
      <c r="H90" s="64">
        <f t="shared" si="3"/>
        <v>298018524.9</v>
      </c>
      <c r="I90" s="65" t="str">
        <f t="shared" si="4"/>
        <v>3,785 (2,335-5,766)</v>
      </c>
      <c r="J90" s="66" t="str">
        <f t="shared" si="5"/>
        <v>195,630,461 (120,691,804-298,018,525)</v>
      </c>
      <c r="K90" s="62"/>
      <c r="L90" s="62"/>
      <c r="M90" s="62"/>
      <c r="N90" s="62"/>
      <c r="O90" s="62"/>
      <c r="P90" s="62"/>
      <c r="Q90" s="62"/>
      <c r="R90" s="62"/>
      <c r="S90" s="62"/>
    </row>
    <row r="91">
      <c r="A91" s="59" t="s">
        <v>35</v>
      </c>
      <c r="B91" s="60">
        <v>10821.49</v>
      </c>
      <c r="C91" s="61">
        <v>859.87</v>
      </c>
      <c r="D91" s="61">
        <v>553.31</v>
      </c>
      <c r="E91" s="61">
        <v>1284.1</v>
      </c>
      <c r="F91" s="62">
        <f t="shared" si="1"/>
        <v>9305074.606</v>
      </c>
      <c r="G91" s="63">
        <f t="shared" si="2"/>
        <v>5987638.632</v>
      </c>
      <c r="H91" s="64">
        <f t="shared" si="3"/>
        <v>13895875.31</v>
      </c>
      <c r="I91" s="65" t="str">
        <f t="shared" si="4"/>
        <v>860 (553-1,284)</v>
      </c>
      <c r="J91" s="66" t="str">
        <f t="shared" si="5"/>
        <v>9,305,075 (5,987,639-13,895,875)</v>
      </c>
      <c r="K91" s="62"/>
      <c r="L91" s="62"/>
      <c r="M91" s="62"/>
      <c r="N91" s="62"/>
      <c r="O91" s="62"/>
      <c r="P91" s="62"/>
      <c r="Q91" s="62"/>
      <c r="R91" s="62"/>
      <c r="S91" s="62"/>
    </row>
    <row r="92">
      <c r="A92" s="59" t="s">
        <v>133</v>
      </c>
      <c r="B92" s="60">
        <v>40813.04</v>
      </c>
      <c r="C92" s="61">
        <v>1100.57</v>
      </c>
      <c r="D92" s="61">
        <v>714.8</v>
      </c>
      <c r="E92" s="61">
        <v>1611.0</v>
      </c>
      <c r="F92" s="62">
        <f t="shared" si="1"/>
        <v>44917607.43</v>
      </c>
      <c r="G92" s="63">
        <f t="shared" si="2"/>
        <v>29173160.99</v>
      </c>
      <c r="H92" s="64">
        <f t="shared" si="3"/>
        <v>65749807.44</v>
      </c>
      <c r="I92" s="65" t="str">
        <f t="shared" si="4"/>
        <v>1,101 (715-1,611)</v>
      </c>
      <c r="J92" s="66" t="str">
        <f t="shared" si="5"/>
        <v>44,917,607 (29,173,161-65,749,807)</v>
      </c>
      <c r="K92" s="62"/>
      <c r="L92" s="62"/>
      <c r="M92" s="62"/>
      <c r="N92" s="62"/>
      <c r="O92" s="62"/>
      <c r="P92" s="62"/>
      <c r="Q92" s="62"/>
      <c r="R92" s="62"/>
      <c r="S92" s="62"/>
    </row>
    <row r="93">
      <c r="A93" s="59" t="s">
        <v>95</v>
      </c>
      <c r="B93" s="60">
        <v>6619.359</v>
      </c>
      <c r="C93" s="61">
        <v>2185.77</v>
      </c>
      <c r="D93" s="61">
        <v>1175.01</v>
      </c>
      <c r="E93" s="61">
        <v>4554.13</v>
      </c>
      <c r="F93" s="62">
        <f t="shared" si="1"/>
        <v>14468396.32</v>
      </c>
      <c r="G93" s="63">
        <f t="shared" si="2"/>
        <v>7777813.019</v>
      </c>
      <c r="H93" s="64">
        <f t="shared" si="3"/>
        <v>30145421.4</v>
      </c>
      <c r="I93" s="65" t="str">
        <f t="shared" si="4"/>
        <v>2,186 (1,175-4,554)</v>
      </c>
      <c r="J93" s="66" t="str">
        <f t="shared" si="5"/>
        <v>14,468,396 (7,777,813-30,145,421)</v>
      </c>
      <c r="K93" s="62"/>
      <c r="L93" s="62"/>
      <c r="M93" s="62"/>
      <c r="N93" s="62"/>
      <c r="O93" s="62"/>
      <c r="P93" s="62"/>
      <c r="Q93" s="62"/>
      <c r="R93" s="62"/>
      <c r="S93" s="62"/>
    </row>
    <row r="94">
      <c r="A94" s="59" t="s">
        <v>59</v>
      </c>
      <c r="B94" s="60">
        <v>3702.326</v>
      </c>
      <c r="C94" s="61">
        <v>16.22</v>
      </c>
      <c r="D94" s="61">
        <v>4.27</v>
      </c>
      <c r="E94" s="61">
        <v>48.05</v>
      </c>
      <c r="F94" s="62">
        <f t="shared" si="1"/>
        <v>60051.72772</v>
      </c>
      <c r="G94" s="63">
        <f t="shared" si="2"/>
        <v>15808.93202</v>
      </c>
      <c r="H94" s="64">
        <f t="shared" si="3"/>
        <v>177896.7643</v>
      </c>
      <c r="I94" s="65" t="str">
        <f t="shared" si="4"/>
        <v>16 (4-48)</v>
      </c>
      <c r="J94" s="66" t="str">
        <f t="shared" si="5"/>
        <v>60,052 (15,809-177,897)</v>
      </c>
      <c r="K94" s="62"/>
      <c r="L94" s="62"/>
      <c r="M94" s="62"/>
      <c r="N94" s="62"/>
      <c r="O94" s="62"/>
      <c r="P94" s="62"/>
      <c r="Q94" s="62"/>
      <c r="R94" s="62"/>
      <c r="S94" s="62"/>
    </row>
    <row r="95">
      <c r="A95" s="59" t="s">
        <v>163</v>
      </c>
      <c r="B95" s="60">
        <v>52204.0</v>
      </c>
      <c r="C95" s="61">
        <v>1590.35</v>
      </c>
      <c r="D95" s="61">
        <v>955.49</v>
      </c>
      <c r="E95" s="61">
        <v>2468.5</v>
      </c>
      <c r="F95" s="62">
        <f t="shared" si="1"/>
        <v>83022631.4</v>
      </c>
      <c r="G95" s="63">
        <f t="shared" si="2"/>
        <v>49880399.96</v>
      </c>
      <c r="H95" s="64">
        <f t="shared" si="3"/>
        <v>128865574</v>
      </c>
      <c r="I95" s="65" t="str">
        <f t="shared" si="4"/>
        <v>1,590 (955-2,469)</v>
      </c>
      <c r="J95" s="66" t="str">
        <f t="shared" si="5"/>
        <v>83,022,631 (49,880,400-128,865,574)</v>
      </c>
      <c r="K95" s="62"/>
      <c r="L95" s="62"/>
      <c r="M95" s="62"/>
      <c r="N95" s="62"/>
      <c r="O95" s="62"/>
      <c r="P95" s="62"/>
      <c r="Q95" s="62"/>
      <c r="R95" s="62"/>
      <c r="S95" s="62"/>
    </row>
    <row r="96">
      <c r="A96" s="59" t="s">
        <v>36</v>
      </c>
      <c r="B96" s="60">
        <v>51635.96</v>
      </c>
      <c r="C96" s="61">
        <v>260.5</v>
      </c>
      <c r="D96" s="61">
        <v>159.68</v>
      </c>
      <c r="E96" s="61">
        <v>399.89</v>
      </c>
      <c r="F96" s="62">
        <f t="shared" si="1"/>
        <v>13451167.58</v>
      </c>
      <c r="G96" s="63">
        <f t="shared" si="2"/>
        <v>8245230.093</v>
      </c>
      <c r="H96" s="64">
        <f t="shared" si="3"/>
        <v>20648704.04</v>
      </c>
      <c r="I96" s="65" t="str">
        <f t="shared" si="4"/>
        <v>261 (160-400)</v>
      </c>
      <c r="J96" s="66" t="str">
        <f t="shared" si="5"/>
        <v>13,451,168 (8,245,230-20,648,704)</v>
      </c>
      <c r="K96" s="62"/>
      <c r="L96" s="62"/>
      <c r="M96" s="62"/>
      <c r="N96" s="62"/>
      <c r="O96" s="62"/>
      <c r="P96" s="62"/>
      <c r="Q96" s="62"/>
      <c r="R96" s="62"/>
      <c r="S96" s="62"/>
    </row>
    <row r="97">
      <c r="A97" s="59" t="s">
        <v>134</v>
      </c>
      <c r="B97" s="60">
        <v>8009.4</v>
      </c>
      <c r="C97" s="61">
        <v>400.12</v>
      </c>
      <c r="D97" s="61">
        <v>256.64</v>
      </c>
      <c r="E97" s="61">
        <v>610.85</v>
      </c>
      <c r="F97" s="62">
        <f t="shared" si="1"/>
        <v>3204721.128</v>
      </c>
      <c r="G97" s="63">
        <f t="shared" si="2"/>
        <v>2055532.416</v>
      </c>
      <c r="H97" s="64">
        <f t="shared" si="3"/>
        <v>4892541.99</v>
      </c>
      <c r="I97" s="65" t="str">
        <f t="shared" si="4"/>
        <v>400 (257-611)</v>
      </c>
      <c r="J97" s="66" t="str">
        <f t="shared" si="5"/>
        <v>3,204,721 (2,055,532-4,892,542)</v>
      </c>
      <c r="K97" s="62"/>
      <c r="L97" s="62"/>
      <c r="M97" s="62"/>
      <c r="N97" s="62"/>
      <c r="O97" s="62"/>
      <c r="P97" s="62"/>
      <c r="Q97" s="62"/>
      <c r="R97" s="62"/>
      <c r="S97" s="62"/>
    </row>
    <row r="98">
      <c r="A98" s="59" t="s">
        <v>73</v>
      </c>
      <c r="B98" s="60">
        <v>9787.851</v>
      </c>
      <c r="C98" s="61">
        <v>1668.6</v>
      </c>
      <c r="D98" s="61">
        <v>700.6</v>
      </c>
      <c r="E98" s="61">
        <v>3495.87</v>
      </c>
      <c r="F98" s="62">
        <f t="shared" si="1"/>
        <v>16332008.18</v>
      </c>
      <c r="G98" s="63">
        <f t="shared" si="2"/>
        <v>6857368.411</v>
      </c>
      <c r="H98" s="64">
        <f t="shared" si="3"/>
        <v>34217054.68</v>
      </c>
      <c r="I98" s="65" t="str">
        <f t="shared" si="4"/>
        <v>1,669 (701-3,496)</v>
      </c>
      <c r="J98" s="66" t="str">
        <f t="shared" si="5"/>
        <v>16,332,008 (6,857,368-34,217,055)</v>
      </c>
      <c r="K98" s="62"/>
      <c r="L98" s="62"/>
      <c r="M98" s="62"/>
      <c r="N98" s="62"/>
      <c r="O98" s="62"/>
      <c r="P98" s="62"/>
      <c r="Q98" s="62"/>
      <c r="R98" s="62"/>
      <c r="S98" s="62"/>
    </row>
    <row r="99">
      <c r="A99" s="59" t="s">
        <v>154</v>
      </c>
      <c r="B99" s="60">
        <v>43866.96</v>
      </c>
      <c r="C99" s="61">
        <v>32.67</v>
      </c>
      <c r="D99" s="61">
        <v>19.91</v>
      </c>
      <c r="E99" s="61">
        <v>49.84</v>
      </c>
      <c r="F99" s="62">
        <f t="shared" si="1"/>
        <v>1433133.583</v>
      </c>
      <c r="G99" s="63">
        <f t="shared" si="2"/>
        <v>873391.1736</v>
      </c>
      <c r="H99" s="64">
        <f t="shared" si="3"/>
        <v>2186329.286</v>
      </c>
      <c r="I99" s="65" t="str">
        <f t="shared" si="4"/>
        <v>33 (20-50)</v>
      </c>
      <c r="J99" s="66" t="str">
        <f t="shared" si="5"/>
        <v>1,433,134 (873,391-2,186,329)</v>
      </c>
      <c r="K99" s="62"/>
      <c r="L99" s="62"/>
      <c r="M99" s="62"/>
      <c r="N99" s="62"/>
      <c r="O99" s="62"/>
      <c r="P99" s="62"/>
      <c r="Q99" s="62"/>
      <c r="R99" s="62"/>
      <c r="S99" s="62"/>
    </row>
    <row r="100">
      <c r="A100" s="59" t="s">
        <v>37</v>
      </c>
      <c r="B100" s="60">
        <v>5835.0</v>
      </c>
      <c r="C100" s="61">
        <v>345.55</v>
      </c>
      <c r="D100" s="61">
        <v>224.71</v>
      </c>
      <c r="E100" s="61">
        <v>501.43</v>
      </c>
      <c r="F100" s="62">
        <f t="shared" si="1"/>
        <v>2016284.25</v>
      </c>
      <c r="G100" s="63">
        <f t="shared" si="2"/>
        <v>1311182.85</v>
      </c>
      <c r="H100" s="64">
        <f t="shared" si="3"/>
        <v>2925844.05</v>
      </c>
      <c r="I100" s="65" t="str">
        <f t="shared" si="4"/>
        <v>346 (225-501)</v>
      </c>
      <c r="J100" s="66" t="str">
        <f t="shared" si="5"/>
        <v>2,016,284 (1,311,183-2,925,844)</v>
      </c>
      <c r="K100" s="62"/>
      <c r="L100" s="62"/>
      <c r="M100" s="62"/>
      <c r="N100" s="62"/>
      <c r="O100" s="62"/>
      <c r="P100" s="62"/>
      <c r="Q100" s="62"/>
      <c r="R100" s="62"/>
      <c r="S100" s="62"/>
    </row>
    <row r="101">
      <c r="A101" s="59" t="s">
        <v>107</v>
      </c>
      <c r="B101" s="60">
        <v>2998.47</v>
      </c>
      <c r="C101" s="61">
        <v>209.85</v>
      </c>
      <c r="D101" s="61">
        <v>105.19</v>
      </c>
      <c r="E101" s="61">
        <v>382.73</v>
      </c>
      <c r="F101" s="62">
        <f t="shared" si="1"/>
        <v>629228.9295</v>
      </c>
      <c r="G101" s="63">
        <f t="shared" si="2"/>
        <v>315409.0593</v>
      </c>
      <c r="H101" s="64">
        <f t="shared" si="3"/>
        <v>1147604.423</v>
      </c>
      <c r="I101" s="65" t="str">
        <f t="shared" si="4"/>
        <v>210 (105-383)</v>
      </c>
      <c r="J101" s="66" t="str">
        <f t="shared" si="5"/>
        <v>629,229 (315,409-1,147,604)</v>
      </c>
      <c r="K101" s="62"/>
      <c r="L101" s="62"/>
      <c r="M101" s="62"/>
      <c r="N101" s="62"/>
      <c r="O101" s="62"/>
      <c r="P101" s="62"/>
      <c r="Q101" s="62"/>
      <c r="R101" s="62"/>
      <c r="S101" s="62"/>
    </row>
    <row r="102">
      <c r="A102" s="59" t="s">
        <v>121</v>
      </c>
      <c r="B102" s="60">
        <v>1884.913</v>
      </c>
      <c r="C102" s="61">
        <v>442.62</v>
      </c>
      <c r="D102" s="61">
        <v>168.25</v>
      </c>
      <c r="E102" s="61">
        <v>1555.31</v>
      </c>
      <c r="F102" s="62">
        <f t="shared" si="1"/>
        <v>834300.1921</v>
      </c>
      <c r="G102" s="63">
        <f t="shared" si="2"/>
        <v>317136.6123</v>
      </c>
      <c r="H102" s="64">
        <f t="shared" si="3"/>
        <v>2931624.038</v>
      </c>
      <c r="I102" s="65" t="str">
        <f t="shared" si="4"/>
        <v>443 (168-1,555)</v>
      </c>
      <c r="J102" s="66" t="str">
        <f t="shared" si="5"/>
        <v>834,300 (317,137-2,931,624)</v>
      </c>
      <c r="K102" s="62"/>
      <c r="L102" s="62"/>
      <c r="M102" s="62"/>
      <c r="N102" s="62"/>
      <c r="O102" s="62"/>
      <c r="P102" s="62"/>
      <c r="Q102" s="62"/>
      <c r="R102" s="62"/>
      <c r="S102" s="62"/>
    </row>
    <row r="103">
      <c r="A103" s="59" t="s">
        <v>38</v>
      </c>
      <c r="B103" s="60">
        <v>13953.8</v>
      </c>
      <c r="C103" s="61">
        <v>437.46</v>
      </c>
      <c r="D103" s="61">
        <v>288.18</v>
      </c>
      <c r="E103" s="61">
        <v>627.54</v>
      </c>
      <c r="F103" s="62">
        <f t="shared" si="1"/>
        <v>6104229.348</v>
      </c>
      <c r="G103" s="63">
        <f t="shared" si="2"/>
        <v>4021206.084</v>
      </c>
      <c r="H103" s="64">
        <f t="shared" si="3"/>
        <v>8756567.652</v>
      </c>
      <c r="I103" s="65" t="str">
        <f t="shared" si="4"/>
        <v>437 (288-628)</v>
      </c>
      <c r="J103" s="66" t="str">
        <f t="shared" si="5"/>
        <v>6,104,229 (4,021,206-8,756,568)</v>
      </c>
      <c r="K103" s="62"/>
      <c r="L103" s="62"/>
      <c r="M103" s="62"/>
      <c r="N103" s="62"/>
      <c r="O103" s="62"/>
      <c r="P103" s="62"/>
      <c r="Q103" s="62"/>
      <c r="R103" s="62"/>
      <c r="S103" s="62"/>
    </row>
    <row r="104">
      <c r="A104" s="59" t="s">
        <v>155</v>
      </c>
      <c r="B104" s="60">
        <v>54413.96</v>
      </c>
      <c r="C104" s="61">
        <v>53.48</v>
      </c>
      <c r="D104" s="61">
        <v>31.92</v>
      </c>
      <c r="E104" s="61">
        <v>85.31</v>
      </c>
      <c r="F104" s="62">
        <f t="shared" si="1"/>
        <v>2910058.581</v>
      </c>
      <c r="G104" s="63">
        <f t="shared" si="2"/>
        <v>1736893.603</v>
      </c>
      <c r="H104" s="64">
        <f t="shared" si="3"/>
        <v>4642054.928</v>
      </c>
      <c r="I104" s="65" t="str">
        <f t="shared" si="4"/>
        <v>53 (32-85)</v>
      </c>
      <c r="J104" s="66" t="str">
        <f t="shared" si="5"/>
        <v>2,910,059 (1,736,894-4,642,055)</v>
      </c>
      <c r="K104" s="62"/>
      <c r="L104" s="62"/>
      <c r="M104" s="62"/>
      <c r="N104" s="62"/>
      <c r="O104" s="62"/>
      <c r="P104" s="62"/>
      <c r="Q104" s="62"/>
      <c r="R104" s="62"/>
      <c r="S104" s="62"/>
    </row>
    <row r="105">
      <c r="A105" s="59" t="s">
        <v>184</v>
      </c>
      <c r="B105" s="60">
        <v>150772.4</v>
      </c>
      <c r="C105" s="61">
        <v>12.18</v>
      </c>
      <c r="D105" s="61">
        <v>7.3</v>
      </c>
      <c r="E105" s="61">
        <v>18.79</v>
      </c>
      <c r="F105" s="62">
        <f t="shared" si="1"/>
        <v>1836407.832</v>
      </c>
      <c r="G105" s="63">
        <f t="shared" si="2"/>
        <v>1100638.52</v>
      </c>
      <c r="H105" s="64">
        <f t="shared" si="3"/>
        <v>2833013.396</v>
      </c>
      <c r="I105" s="65" t="str">
        <f t="shared" si="4"/>
        <v>12 (7-19)</v>
      </c>
      <c r="J105" s="66" t="str">
        <f t="shared" si="5"/>
        <v>1,836,408 (1,100,639-2,833,013)</v>
      </c>
      <c r="K105" s="62"/>
      <c r="L105" s="62"/>
      <c r="M105" s="62"/>
      <c r="N105" s="62"/>
      <c r="O105" s="62"/>
      <c r="P105" s="62"/>
      <c r="Q105" s="62"/>
      <c r="R105" s="62"/>
      <c r="S105" s="62"/>
    </row>
    <row r="106">
      <c r="A106" s="59" t="s">
        <v>96</v>
      </c>
      <c r="B106" s="60">
        <v>1883.537</v>
      </c>
      <c r="C106" s="61">
        <v>2011.18</v>
      </c>
      <c r="D106" s="61">
        <v>853.85</v>
      </c>
      <c r="E106" s="61">
        <v>5930.96</v>
      </c>
      <c r="F106" s="62">
        <f t="shared" si="1"/>
        <v>3788131.944</v>
      </c>
      <c r="G106" s="63">
        <f t="shared" si="2"/>
        <v>1608258.067</v>
      </c>
      <c r="H106" s="64">
        <f t="shared" si="3"/>
        <v>11171182.61</v>
      </c>
      <c r="I106" s="65" t="str">
        <f t="shared" si="4"/>
        <v>2,011 (854-5,931)</v>
      </c>
      <c r="J106" s="66" t="str">
        <f t="shared" si="5"/>
        <v>3,788,132 (1,608,258-11,171,183)</v>
      </c>
      <c r="K106" s="62"/>
      <c r="L106" s="62"/>
      <c r="M106" s="62"/>
      <c r="N106" s="62"/>
      <c r="O106" s="62"/>
      <c r="P106" s="62"/>
      <c r="Q106" s="62"/>
      <c r="R106" s="62"/>
      <c r="S106" s="62"/>
    </row>
    <row r="107">
      <c r="A107" s="59" t="s">
        <v>97</v>
      </c>
      <c r="B107" s="60">
        <v>1859.448</v>
      </c>
      <c r="C107" s="61">
        <v>1331.25</v>
      </c>
      <c r="D107" s="61">
        <v>583.46</v>
      </c>
      <c r="E107" s="61">
        <v>3900.34</v>
      </c>
      <c r="F107" s="62">
        <f t="shared" si="1"/>
        <v>2475390.15</v>
      </c>
      <c r="G107" s="63">
        <f t="shared" si="2"/>
        <v>1084913.53</v>
      </c>
      <c r="H107" s="64">
        <f t="shared" si="3"/>
        <v>7252479.412</v>
      </c>
      <c r="I107" s="65" t="str">
        <f t="shared" si="4"/>
        <v>1,331 (583-3,900)</v>
      </c>
      <c r="J107" s="66" t="str">
        <f t="shared" si="5"/>
        <v>2,475,390 (1,084,914-7,252,479)</v>
      </c>
      <c r="K107" s="62"/>
      <c r="L107" s="62"/>
      <c r="M107" s="62"/>
      <c r="N107" s="62"/>
      <c r="O107" s="62"/>
      <c r="P107" s="62"/>
      <c r="Q107" s="62"/>
      <c r="R107" s="62"/>
      <c r="S107" s="62"/>
    </row>
    <row r="108">
      <c r="A108" s="59" t="s">
        <v>74</v>
      </c>
      <c r="B108" s="60">
        <v>38728.94</v>
      </c>
      <c r="C108" s="61">
        <v>958.46</v>
      </c>
      <c r="D108" s="61">
        <v>1480.85</v>
      </c>
      <c r="E108" s="61">
        <v>583.33</v>
      </c>
      <c r="F108" s="62">
        <f t="shared" si="1"/>
        <v>37120139.83</v>
      </c>
      <c r="G108" s="63">
        <f t="shared" si="2"/>
        <v>57351750.8</v>
      </c>
      <c r="H108" s="64">
        <f t="shared" si="3"/>
        <v>22591752.57</v>
      </c>
      <c r="I108" s="65" t="str">
        <f t="shared" si="4"/>
        <v>958 (1,481-583)</v>
      </c>
      <c r="J108" s="66" t="str">
        <f t="shared" si="5"/>
        <v>37,120,140 (57,351,751-22,591,753)</v>
      </c>
      <c r="K108" s="62"/>
      <c r="L108" s="62"/>
      <c r="M108" s="62"/>
      <c r="N108" s="62"/>
      <c r="O108" s="62"/>
      <c r="P108" s="62"/>
      <c r="Q108" s="62"/>
      <c r="R108" s="62"/>
      <c r="S108" s="62"/>
    </row>
    <row r="109">
      <c r="A109" s="59" t="s">
        <v>75</v>
      </c>
      <c r="B109" s="60">
        <v>26542.71</v>
      </c>
      <c r="C109" s="61">
        <v>25.34</v>
      </c>
      <c r="D109" s="61">
        <v>16.39</v>
      </c>
      <c r="E109" s="61">
        <v>37.88</v>
      </c>
      <c r="F109" s="62">
        <f t="shared" si="1"/>
        <v>672592.2714</v>
      </c>
      <c r="G109" s="63">
        <f t="shared" si="2"/>
        <v>435035.0169</v>
      </c>
      <c r="H109" s="64">
        <f t="shared" si="3"/>
        <v>1005437.855</v>
      </c>
      <c r="I109" s="65" t="str">
        <f t="shared" si="4"/>
        <v>25 (16-38)</v>
      </c>
      <c r="J109" s="66" t="str">
        <f t="shared" si="5"/>
        <v>672,592 (435,035-1,005,438)</v>
      </c>
      <c r="K109" s="62"/>
      <c r="L109" s="62"/>
      <c r="M109" s="62"/>
      <c r="N109" s="62"/>
      <c r="O109" s="62"/>
      <c r="P109" s="62"/>
      <c r="Q109" s="62"/>
      <c r="R109" s="62"/>
      <c r="S109" s="62"/>
    </row>
    <row r="110">
      <c r="A110" s="59" t="s">
        <v>122</v>
      </c>
      <c r="B110" s="60">
        <v>3308.669</v>
      </c>
      <c r="C110" s="61">
        <v>4539.73</v>
      </c>
      <c r="D110" s="61">
        <v>932.89</v>
      </c>
      <c r="E110" s="61">
        <v>25949.64</v>
      </c>
      <c r="F110" s="62">
        <f t="shared" si="1"/>
        <v>15020463.92</v>
      </c>
      <c r="G110" s="63">
        <f t="shared" si="2"/>
        <v>3086624.223</v>
      </c>
      <c r="H110" s="64">
        <f t="shared" si="3"/>
        <v>85858769.43</v>
      </c>
      <c r="I110" s="65" t="str">
        <f t="shared" si="4"/>
        <v>4,540 (933-25,950)</v>
      </c>
      <c r="J110" s="66" t="str">
        <f t="shared" si="5"/>
        <v>15,020,464 (3,086,624-85,858,769)</v>
      </c>
      <c r="K110" s="62"/>
      <c r="L110" s="62"/>
      <c r="M110" s="62"/>
      <c r="N110" s="62"/>
      <c r="O110" s="62"/>
      <c r="P110" s="62"/>
      <c r="Q110" s="62"/>
      <c r="R110" s="62"/>
      <c r="S110" s="62"/>
    </row>
    <row r="111">
      <c r="A111" s="59" t="s">
        <v>185</v>
      </c>
      <c r="B111" s="60">
        <v>67364.18</v>
      </c>
      <c r="C111" s="61">
        <v>7.54</v>
      </c>
      <c r="D111" s="61">
        <v>4.6</v>
      </c>
      <c r="E111" s="61">
        <v>11.72</v>
      </c>
      <c r="F111" s="62">
        <f t="shared" si="1"/>
        <v>507925.9172</v>
      </c>
      <c r="G111" s="63">
        <f t="shared" si="2"/>
        <v>309875.228</v>
      </c>
      <c r="H111" s="64">
        <f t="shared" si="3"/>
        <v>789508.1896</v>
      </c>
      <c r="I111" s="65" t="str">
        <f t="shared" si="4"/>
        <v>8 (5-12)</v>
      </c>
      <c r="J111" s="66" t="str">
        <f t="shared" si="5"/>
        <v>507,926 (309,875-789,508)</v>
      </c>
      <c r="K111" s="62"/>
      <c r="L111" s="62"/>
      <c r="M111" s="62"/>
      <c r="N111" s="62"/>
      <c r="O111" s="62"/>
      <c r="P111" s="62"/>
      <c r="Q111" s="62"/>
      <c r="R111" s="62"/>
      <c r="S111" s="62"/>
    </row>
    <row r="112">
      <c r="A112" s="59" t="s">
        <v>60</v>
      </c>
      <c r="B112" s="60">
        <v>8198.126</v>
      </c>
      <c r="C112" s="61">
        <v>3.23</v>
      </c>
      <c r="D112" s="61">
        <v>1.34</v>
      </c>
      <c r="E112" s="61">
        <v>7.36</v>
      </c>
      <c r="F112" s="62">
        <f t="shared" si="1"/>
        <v>26479.94698</v>
      </c>
      <c r="G112" s="63">
        <f t="shared" si="2"/>
        <v>10985.48884</v>
      </c>
      <c r="H112" s="64">
        <f t="shared" si="3"/>
        <v>60338.20736</v>
      </c>
      <c r="I112" s="65" t="str">
        <f t="shared" si="4"/>
        <v>3 (1-7)</v>
      </c>
      <c r="J112" s="66" t="str">
        <f t="shared" si="5"/>
        <v>26,480 (10,985-60,338)</v>
      </c>
      <c r="K112" s="62"/>
      <c r="L112" s="62"/>
      <c r="M112" s="62"/>
      <c r="N112" s="62"/>
      <c r="O112" s="62"/>
      <c r="P112" s="62"/>
      <c r="Q112" s="62"/>
      <c r="R112" s="62"/>
      <c r="S112" s="62"/>
    </row>
    <row r="113">
      <c r="A113" s="59" t="s">
        <v>123</v>
      </c>
      <c r="B113" s="60">
        <v>7271.34</v>
      </c>
      <c r="C113" s="61">
        <v>225.65</v>
      </c>
      <c r="D113" s="61">
        <v>114.98</v>
      </c>
      <c r="E113" s="61">
        <v>535.81</v>
      </c>
      <c r="F113" s="62">
        <f t="shared" si="1"/>
        <v>1640777.871</v>
      </c>
      <c r="G113" s="63">
        <f t="shared" si="2"/>
        <v>836058.6732</v>
      </c>
      <c r="H113" s="64">
        <f t="shared" si="3"/>
        <v>3896056.685</v>
      </c>
      <c r="I113" s="65" t="str">
        <f t="shared" si="4"/>
        <v>226 (115-536)</v>
      </c>
      <c r="J113" s="66" t="str">
        <f t="shared" si="5"/>
        <v>1,640,778 (836,059-3,896,057)</v>
      </c>
      <c r="K113" s="62"/>
      <c r="L113" s="62"/>
      <c r="M113" s="62"/>
      <c r="N113" s="62"/>
      <c r="O113" s="62"/>
      <c r="P113" s="62"/>
      <c r="Q113" s="62"/>
      <c r="R113" s="62"/>
      <c r="S113" s="62"/>
    </row>
    <row r="114">
      <c r="A114" s="59" t="s">
        <v>76</v>
      </c>
      <c r="B114" s="60">
        <v>31050.93</v>
      </c>
      <c r="C114" s="61">
        <v>33.65</v>
      </c>
      <c r="D114" s="61">
        <v>21.73</v>
      </c>
      <c r="E114" s="61">
        <v>50.24</v>
      </c>
      <c r="F114" s="62">
        <f t="shared" si="1"/>
        <v>1044863.795</v>
      </c>
      <c r="G114" s="63">
        <f t="shared" si="2"/>
        <v>674736.7089</v>
      </c>
      <c r="H114" s="64">
        <f t="shared" si="3"/>
        <v>1559998.723</v>
      </c>
      <c r="I114" s="65" t="str">
        <f t="shared" si="4"/>
        <v>34 (22-50)</v>
      </c>
      <c r="J114" s="66" t="str">
        <f t="shared" si="5"/>
        <v>1,044,864 (674,737-1,559,999)</v>
      </c>
      <c r="K114" s="62"/>
      <c r="L114" s="62"/>
      <c r="M114" s="62"/>
      <c r="N114" s="62"/>
      <c r="O114" s="62"/>
      <c r="P114" s="62"/>
      <c r="Q114" s="62"/>
      <c r="R114" s="62"/>
      <c r="S114" s="62"/>
    </row>
    <row r="115">
      <c r="A115" s="59" t="s">
        <v>222</v>
      </c>
      <c r="B115" s="60">
        <v>25688.1</v>
      </c>
      <c r="C115" s="61">
        <v>5151.03</v>
      </c>
      <c r="D115" s="61">
        <v>3677.42</v>
      </c>
      <c r="E115" s="61">
        <v>6943.48</v>
      </c>
      <c r="F115" s="62">
        <f t="shared" si="1"/>
        <v>132320173.7</v>
      </c>
      <c r="G115" s="63">
        <f t="shared" si="2"/>
        <v>94465932.7</v>
      </c>
      <c r="H115" s="64">
        <f t="shared" si="3"/>
        <v>178364808.6</v>
      </c>
      <c r="I115" s="65" t="str">
        <f t="shared" si="4"/>
        <v>5,151 (3,677-6,943)</v>
      </c>
      <c r="J115" s="66" t="str">
        <f t="shared" si="5"/>
        <v>132,320,174 (94,465,933-178,364,809)</v>
      </c>
      <c r="K115" s="62"/>
      <c r="L115" s="62"/>
      <c r="M115" s="62"/>
      <c r="N115" s="62"/>
      <c r="O115" s="62"/>
      <c r="P115" s="62"/>
      <c r="Q115" s="62"/>
      <c r="R115" s="62"/>
      <c r="S115" s="62"/>
    </row>
    <row r="116">
      <c r="A116" s="59" t="s">
        <v>61</v>
      </c>
      <c r="B116" s="60">
        <v>4346.2</v>
      </c>
      <c r="C116" s="61">
        <v>5.59</v>
      </c>
      <c r="D116" s="61">
        <v>2.46</v>
      </c>
      <c r="E116" s="61">
        <v>10.73</v>
      </c>
      <c r="F116" s="62">
        <f t="shared" si="1"/>
        <v>24295.258</v>
      </c>
      <c r="G116" s="63">
        <f t="shared" si="2"/>
        <v>10691.652</v>
      </c>
      <c r="H116" s="64">
        <f t="shared" si="3"/>
        <v>46634.726</v>
      </c>
      <c r="I116" s="65" t="str">
        <f t="shared" si="4"/>
        <v>6 (2-11)</v>
      </c>
      <c r="J116" s="66" t="str">
        <f t="shared" si="5"/>
        <v>24,295 (10,692-46,635)</v>
      </c>
      <c r="K116" s="62"/>
      <c r="L116" s="62"/>
      <c r="M116" s="62"/>
      <c r="N116" s="62"/>
      <c r="O116" s="62"/>
      <c r="P116" s="62"/>
      <c r="Q116" s="62"/>
      <c r="R116" s="62"/>
      <c r="S116" s="62"/>
    </row>
    <row r="117">
      <c r="A117" s="59" t="s">
        <v>156</v>
      </c>
      <c r="B117" s="60">
        <v>18716.51</v>
      </c>
      <c r="C117" s="61">
        <v>64.8</v>
      </c>
      <c r="D117" s="61">
        <v>40.79</v>
      </c>
      <c r="E117" s="61">
        <v>99.11</v>
      </c>
      <c r="F117" s="62">
        <f t="shared" si="1"/>
        <v>1212829.848</v>
      </c>
      <c r="G117" s="63">
        <f t="shared" si="2"/>
        <v>763446.4429</v>
      </c>
      <c r="H117" s="64">
        <f t="shared" si="3"/>
        <v>1854993.306</v>
      </c>
      <c r="I117" s="65" t="str">
        <f t="shared" si="4"/>
        <v>65 (41-99)</v>
      </c>
      <c r="J117" s="66" t="str">
        <f t="shared" si="5"/>
        <v>1,212,830 (763,446-1,854,993)</v>
      </c>
      <c r="K117" s="62"/>
      <c r="L117" s="62"/>
      <c r="M117" s="62"/>
      <c r="N117" s="62"/>
      <c r="O117" s="62"/>
      <c r="P117" s="62"/>
      <c r="Q117" s="62"/>
      <c r="R117" s="62"/>
      <c r="S117" s="62"/>
    </row>
    <row r="118">
      <c r="A118" s="59" t="s">
        <v>186</v>
      </c>
      <c r="B118" s="60">
        <v>256580.5</v>
      </c>
      <c r="C118" s="61">
        <v>0.59</v>
      </c>
      <c r="D118" s="61">
        <v>0.35</v>
      </c>
      <c r="E118" s="61">
        <v>0.92</v>
      </c>
      <c r="F118" s="62">
        <f t="shared" si="1"/>
        <v>151382.495</v>
      </c>
      <c r="G118" s="63">
        <f t="shared" si="2"/>
        <v>89803.175</v>
      </c>
      <c r="H118" s="64">
        <f t="shared" si="3"/>
        <v>236054.06</v>
      </c>
      <c r="I118" s="65" t="str">
        <f t="shared" si="4"/>
        <v>1 (0-1)</v>
      </c>
      <c r="J118" s="66" t="str">
        <f t="shared" si="5"/>
        <v>151,382 (89,803-236,054)</v>
      </c>
      <c r="K118" s="62"/>
      <c r="L118" s="62"/>
      <c r="M118" s="62"/>
      <c r="N118" s="62"/>
      <c r="O118" s="62"/>
      <c r="P118" s="62"/>
      <c r="Q118" s="62"/>
      <c r="R118" s="62"/>
      <c r="S118" s="62"/>
    </row>
    <row r="119">
      <c r="A119" s="59" t="s">
        <v>135</v>
      </c>
      <c r="B119" s="60">
        <v>19097.73</v>
      </c>
      <c r="C119" s="61">
        <v>264.07</v>
      </c>
      <c r="D119" s="61">
        <v>164.11</v>
      </c>
      <c r="E119" s="61">
        <v>445.89</v>
      </c>
      <c r="F119" s="62">
        <f t="shared" si="1"/>
        <v>5043137.561</v>
      </c>
      <c r="G119" s="63">
        <f t="shared" si="2"/>
        <v>3134128.47</v>
      </c>
      <c r="H119" s="64">
        <f t="shared" si="3"/>
        <v>8515486.83</v>
      </c>
      <c r="I119" s="65" t="str">
        <f t="shared" si="4"/>
        <v>264 (164-446)</v>
      </c>
      <c r="J119" s="66" t="str">
        <f t="shared" si="5"/>
        <v>5,043,138 (3,134,128-8,515,487)</v>
      </c>
      <c r="K119" s="62"/>
      <c r="L119" s="62"/>
      <c r="M119" s="62"/>
      <c r="N119" s="62"/>
      <c r="O119" s="62"/>
      <c r="P119" s="62"/>
      <c r="Q119" s="62"/>
      <c r="R119" s="62"/>
      <c r="S119" s="62"/>
    </row>
    <row r="120">
      <c r="A120" s="59" t="s">
        <v>145</v>
      </c>
      <c r="B120" s="60">
        <v>33379.64</v>
      </c>
      <c r="C120" s="61">
        <v>13.3</v>
      </c>
      <c r="D120" s="61">
        <v>8.24</v>
      </c>
      <c r="E120" s="61">
        <v>20.75</v>
      </c>
      <c r="F120" s="62">
        <f t="shared" si="1"/>
        <v>443949.212</v>
      </c>
      <c r="G120" s="63">
        <f t="shared" si="2"/>
        <v>275048.2336</v>
      </c>
      <c r="H120" s="64">
        <f t="shared" si="3"/>
        <v>692627.53</v>
      </c>
      <c r="I120" s="65" t="str">
        <f t="shared" si="4"/>
        <v>13 (8-21)</v>
      </c>
      <c r="J120" s="66" t="str">
        <f t="shared" si="5"/>
        <v>443,949 (275,048-692,628)</v>
      </c>
      <c r="K120" s="62"/>
      <c r="L120" s="62"/>
      <c r="M120" s="62"/>
      <c r="N120" s="62"/>
      <c r="O120" s="62"/>
      <c r="P120" s="62"/>
      <c r="Q120" s="62"/>
      <c r="R120" s="62"/>
      <c r="S120" s="62"/>
    </row>
    <row r="121">
      <c r="A121" s="59" t="s">
        <v>39</v>
      </c>
      <c r="B121" s="60">
        <v>10305.05</v>
      </c>
      <c r="C121" s="61">
        <v>2167.23</v>
      </c>
      <c r="D121" s="61">
        <v>1361.52</v>
      </c>
      <c r="E121" s="61">
        <v>3331.07</v>
      </c>
      <c r="F121" s="62">
        <f t="shared" si="1"/>
        <v>22333413.51</v>
      </c>
      <c r="G121" s="63">
        <f t="shared" si="2"/>
        <v>14030531.68</v>
      </c>
      <c r="H121" s="64">
        <f t="shared" si="3"/>
        <v>34326842.9</v>
      </c>
      <c r="I121" s="65" t="str">
        <f t="shared" si="4"/>
        <v>2,167 (1,362-3,331)</v>
      </c>
      <c r="J121" s="66" t="str">
        <f t="shared" si="5"/>
        <v>22,333,414 (14,030,532-34,326,843)</v>
      </c>
      <c r="K121" s="62"/>
      <c r="L121" s="62"/>
      <c r="M121" s="62"/>
      <c r="N121" s="62"/>
      <c r="O121" s="62"/>
      <c r="P121" s="62"/>
      <c r="Q121" s="62"/>
      <c r="R121" s="62"/>
      <c r="S121" s="62"/>
    </row>
    <row r="122">
      <c r="A122" s="59" t="s">
        <v>98</v>
      </c>
      <c r="B122" s="60">
        <v>1699.705</v>
      </c>
      <c r="C122" s="61">
        <v>3903.08</v>
      </c>
      <c r="D122" s="61">
        <v>1195.21</v>
      </c>
      <c r="E122" s="61">
        <v>14892.77</v>
      </c>
      <c r="F122" s="62">
        <f t="shared" si="1"/>
        <v>6634084.591</v>
      </c>
      <c r="G122" s="63">
        <f t="shared" si="2"/>
        <v>2031504.413</v>
      </c>
      <c r="H122" s="64">
        <f t="shared" si="3"/>
        <v>25313315.63</v>
      </c>
      <c r="I122" s="65" t="str">
        <f t="shared" si="4"/>
        <v>3,903 (1,195-14,893)</v>
      </c>
      <c r="J122" s="66" t="str">
        <f t="shared" si="5"/>
        <v>6,634,085 (2,031,504-25,313,316)</v>
      </c>
      <c r="K122" s="62"/>
      <c r="L122" s="62"/>
      <c r="M122" s="62"/>
      <c r="N122" s="62"/>
      <c r="O122" s="62"/>
      <c r="P122" s="62"/>
      <c r="Q122" s="62"/>
      <c r="R122" s="62"/>
      <c r="S122" s="62"/>
    </row>
    <row r="123">
      <c r="A123" s="59" t="s">
        <v>77</v>
      </c>
      <c r="B123" s="60">
        <v>5997.465</v>
      </c>
      <c r="C123" s="61">
        <v>6139.75</v>
      </c>
      <c r="D123" s="61">
        <v>3151.25</v>
      </c>
      <c r="E123" s="61">
        <v>12463.85</v>
      </c>
      <c r="F123" s="62">
        <f t="shared" si="1"/>
        <v>36822935.73</v>
      </c>
      <c r="G123" s="63">
        <f t="shared" si="2"/>
        <v>18899511.58</v>
      </c>
      <c r="H123" s="64">
        <f t="shared" si="3"/>
        <v>74751504.14</v>
      </c>
      <c r="I123" s="65" t="str">
        <f t="shared" si="4"/>
        <v>6,140 (3,151-12,464)</v>
      </c>
      <c r="J123" s="66" t="str">
        <f t="shared" si="5"/>
        <v>36,822,936 (18,899,512-74,751,504)</v>
      </c>
      <c r="K123" s="62"/>
      <c r="L123" s="62"/>
      <c r="M123" s="62"/>
      <c r="N123" s="62"/>
      <c r="O123" s="62"/>
      <c r="P123" s="62"/>
      <c r="Q123" s="62"/>
      <c r="R123" s="62"/>
      <c r="S123" s="62"/>
    </row>
    <row r="124">
      <c r="A124" s="59" t="s">
        <v>108</v>
      </c>
      <c r="B124" s="60">
        <v>11686.6</v>
      </c>
      <c r="C124" s="61">
        <v>158.83</v>
      </c>
      <c r="D124" s="61">
        <v>93.95</v>
      </c>
      <c r="E124" s="61">
        <v>265.12</v>
      </c>
      <c r="F124" s="62">
        <f t="shared" si="1"/>
        <v>1856182.678</v>
      </c>
      <c r="G124" s="63">
        <f t="shared" si="2"/>
        <v>1097956.07</v>
      </c>
      <c r="H124" s="64">
        <f t="shared" si="3"/>
        <v>3098351.392</v>
      </c>
      <c r="I124" s="65" t="str">
        <f t="shared" si="4"/>
        <v>159 (94-265)</v>
      </c>
      <c r="J124" s="66" t="str">
        <f t="shared" si="5"/>
        <v>1,856,183 (1,097,956-3,098,351)</v>
      </c>
      <c r="K124" s="62"/>
      <c r="L124" s="62"/>
      <c r="M124" s="62"/>
      <c r="N124" s="62"/>
      <c r="O124" s="62"/>
      <c r="P124" s="62"/>
      <c r="Q124" s="62"/>
      <c r="R124" s="62"/>
      <c r="S124" s="62"/>
    </row>
    <row r="125">
      <c r="A125" s="59" t="s">
        <v>62</v>
      </c>
      <c r="B125" s="60">
        <v>14326.8</v>
      </c>
      <c r="C125" s="61">
        <v>0.97</v>
      </c>
      <c r="D125" s="61">
        <v>0.42</v>
      </c>
      <c r="E125" s="61">
        <v>2.05</v>
      </c>
      <c r="F125" s="62">
        <f t="shared" si="1"/>
        <v>13896.996</v>
      </c>
      <c r="G125" s="63">
        <f t="shared" si="2"/>
        <v>6017.256</v>
      </c>
      <c r="H125" s="64">
        <f t="shared" si="3"/>
        <v>29369.94</v>
      </c>
      <c r="I125" s="65" t="str">
        <f t="shared" si="4"/>
        <v>1 (0-2)</v>
      </c>
      <c r="J125" s="66" t="str">
        <f t="shared" si="5"/>
        <v>13,897 (6,017-29,370)</v>
      </c>
      <c r="K125" s="62"/>
      <c r="L125" s="62"/>
      <c r="M125" s="62"/>
      <c r="N125" s="62"/>
      <c r="O125" s="62"/>
      <c r="P125" s="62"/>
      <c r="Q125" s="62"/>
      <c r="R125" s="62"/>
      <c r="S125" s="62"/>
    </row>
    <row r="126">
      <c r="A126" s="59" t="s">
        <v>52</v>
      </c>
      <c r="B126" s="60">
        <v>5736.621</v>
      </c>
      <c r="C126" s="61">
        <v>2429.07</v>
      </c>
      <c r="D126" s="61">
        <v>1447.06</v>
      </c>
      <c r="E126" s="61">
        <v>3848.72</v>
      </c>
      <c r="F126" s="62">
        <f t="shared" si="1"/>
        <v>13934653.97</v>
      </c>
      <c r="G126" s="63">
        <f t="shared" si="2"/>
        <v>8301234.784</v>
      </c>
      <c r="H126" s="64">
        <f t="shared" si="3"/>
        <v>22078647.98</v>
      </c>
      <c r="I126" s="65" t="str">
        <f t="shared" si="4"/>
        <v>2,429 (1,447-3,849)</v>
      </c>
      <c r="J126" s="66" t="str">
        <f t="shared" si="5"/>
        <v>13,934,654 (8,301,235-22,078,648)</v>
      </c>
      <c r="K126" s="62"/>
      <c r="L126" s="62"/>
      <c r="M126" s="62"/>
      <c r="N126" s="62"/>
      <c r="O126" s="62"/>
      <c r="P126" s="62"/>
      <c r="Q126" s="62"/>
      <c r="R126" s="62"/>
      <c r="S126" s="62"/>
    </row>
    <row r="127">
      <c r="A127" s="59" t="s">
        <v>187</v>
      </c>
      <c r="B127" s="60">
        <v>84218.46</v>
      </c>
      <c r="C127" s="61">
        <v>294.6</v>
      </c>
      <c r="D127" s="61">
        <v>180.11</v>
      </c>
      <c r="E127" s="61">
        <v>446.99</v>
      </c>
      <c r="F127" s="62">
        <f t="shared" si="1"/>
        <v>24810758.32</v>
      </c>
      <c r="G127" s="63">
        <f t="shared" si="2"/>
        <v>15168586.83</v>
      </c>
      <c r="H127" s="64">
        <f t="shared" si="3"/>
        <v>37644809.44</v>
      </c>
      <c r="I127" s="65" t="str">
        <f t="shared" si="4"/>
        <v>295 (180-447)</v>
      </c>
      <c r="J127" s="66" t="str">
        <f t="shared" si="5"/>
        <v>24,810,758 (15,168,587-37,644,809)</v>
      </c>
      <c r="K127" s="62"/>
      <c r="L127" s="62"/>
      <c r="M127" s="62"/>
      <c r="N127" s="62"/>
      <c r="O127" s="62"/>
      <c r="P127" s="62"/>
      <c r="Q127" s="62"/>
      <c r="R127" s="62"/>
      <c r="S127" s="62"/>
    </row>
    <row r="128">
      <c r="A128" s="59" t="s">
        <v>160</v>
      </c>
      <c r="B128" s="60">
        <v>55093.54</v>
      </c>
      <c r="C128" s="61">
        <v>90.75</v>
      </c>
      <c r="D128" s="61">
        <v>56.16</v>
      </c>
      <c r="E128" s="61">
        <v>141.76</v>
      </c>
      <c r="F128" s="62">
        <f t="shared" si="1"/>
        <v>4999738.755</v>
      </c>
      <c r="G128" s="63">
        <f t="shared" si="2"/>
        <v>3094053.206</v>
      </c>
      <c r="H128" s="64">
        <f t="shared" si="3"/>
        <v>7810060.23</v>
      </c>
      <c r="I128" s="65" t="str">
        <f t="shared" si="4"/>
        <v>91 (56-142)</v>
      </c>
      <c r="J128" s="66" t="str">
        <f t="shared" si="5"/>
        <v>4,999,739 (3,094,053-7,810,060)</v>
      </c>
      <c r="K128" s="62"/>
      <c r="L128" s="62"/>
      <c r="M128" s="62"/>
      <c r="N128" s="62"/>
      <c r="O128" s="62"/>
      <c r="P128" s="62"/>
      <c r="Q128" s="62"/>
      <c r="R128" s="62"/>
      <c r="S128" s="62"/>
    </row>
    <row r="129">
      <c r="A129" s="59" t="s">
        <v>223</v>
      </c>
      <c r="B129" s="60">
        <v>8708.8</v>
      </c>
      <c r="C129" s="61">
        <v>331.34</v>
      </c>
      <c r="D129" s="61">
        <v>213.07</v>
      </c>
      <c r="E129" s="61">
        <v>503.06</v>
      </c>
      <c r="F129" s="62">
        <f t="shared" si="1"/>
        <v>2885573.792</v>
      </c>
      <c r="G129" s="63">
        <f t="shared" si="2"/>
        <v>1855584.016</v>
      </c>
      <c r="H129" s="64">
        <f t="shared" si="3"/>
        <v>4381048.928</v>
      </c>
      <c r="I129" s="65" t="str">
        <f t="shared" si="4"/>
        <v>331 (213-503)</v>
      </c>
      <c r="J129" s="66" t="str">
        <f t="shared" si="5"/>
        <v>2,885,574 (1,855,584-4,381,049)</v>
      </c>
      <c r="K129" s="62"/>
      <c r="L129" s="62"/>
      <c r="M129" s="62"/>
      <c r="N129" s="62"/>
      <c r="O129" s="62"/>
      <c r="P129" s="62"/>
      <c r="Q129" s="62"/>
      <c r="R129" s="62"/>
      <c r="S129" s="62"/>
    </row>
    <row r="130">
      <c r="A130" s="59" t="s">
        <v>124</v>
      </c>
      <c r="B130" s="60">
        <v>2015.023</v>
      </c>
      <c r="C130" s="61">
        <v>3708.93</v>
      </c>
      <c r="D130" s="61">
        <v>720.09</v>
      </c>
      <c r="E130" s="61">
        <v>21438.09</v>
      </c>
      <c r="F130" s="62">
        <f t="shared" si="1"/>
        <v>7473579.255</v>
      </c>
      <c r="G130" s="63">
        <f t="shared" si="2"/>
        <v>1450997.912</v>
      </c>
      <c r="H130" s="64">
        <f t="shared" si="3"/>
        <v>43198244.43</v>
      </c>
      <c r="I130" s="65" t="str">
        <f t="shared" si="4"/>
        <v>3,709 (720-21,438)</v>
      </c>
      <c r="J130" s="66" t="str">
        <f t="shared" si="5"/>
        <v>7,473,579 (1,450,998-43,198,244)</v>
      </c>
      <c r="K130" s="62"/>
      <c r="L130" s="62"/>
      <c r="M130" s="62"/>
      <c r="N130" s="62"/>
      <c r="O130" s="62"/>
      <c r="P130" s="62"/>
      <c r="Q130" s="62"/>
      <c r="R130" s="62"/>
      <c r="S130" s="62"/>
    </row>
    <row r="131">
      <c r="A131" s="59" t="s">
        <v>125</v>
      </c>
      <c r="B131" s="60">
        <v>6439.813</v>
      </c>
      <c r="C131" s="61">
        <v>20967.26</v>
      </c>
      <c r="D131" s="61">
        <v>8471.89</v>
      </c>
      <c r="E131" s="61">
        <v>71899.23</v>
      </c>
      <c r="F131" s="62">
        <f t="shared" si="1"/>
        <v>135025233.5</v>
      </c>
      <c r="G131" s="63">
        <f t="shared" si="2"/>
        <v>54557387.36</v>
      </c>
      <c r="H131" s="64">
        <f t="shared" si="3"/>
        <v>463017596</v>
      </c>
      <c r="I131" s="65" t="str">
        <f t="shared" si="4"/>
        <v>20,967 (8,472-71,899)</v>
      </c>
      <c r="J131" s="66" t="str">
        <f t="shared" si="5"/>
        <v>135,025,234 (54,557,387-463,017,596)</v>
      </c>
      <c r="K131" s="62"/>
      <c r="L131" s="62"/>
      <c r="M131" s="62"/>
      <c r="N131" s="62"/>
      <c r="O131" s="62"/>
      <c r="P131" s="62"/>
      <c r="Q131" s="62"/>
      <c r="R131" s="62"/>
      <c r="S131" s="62"/>
    </row>
    <row r="132">
      <c r="A132" s="59" t="s">
        <v>55</v>
      </c>
      <c r="B132" s="60">
        <v>1700.0</v>
      </c>
      <c r="C132" s="61">
        <v>1590.35</v>
      </c>
      <c r="D132" s="61">
        <v>955.49</v>
      </c>
      <c r="E132" s="61">
        <v>2468.5</v>
      </c>
      <c r="F132" s="62">
        <f t="shared" si="1"/>
        <v>2703595</v>
      </c>
      <c r="G132" s="63">
        <f t="shared" si="2"/>
        <v>1624333</v>
      </c>
      <c r="H132" s="64">
        <f t="shared" si="3"/>
        <v>4196450</v>
      </c>
      <c r="I132" s="65" t="str">
        <f t="shared" si="4"/>
        <v>1,590 (955-2,469)</v>
      </c>
      <c r="J132" s="66" t="str">
        <f t="shared" si="5"/>
        <v>2,703,595 (1,624,333-4,196,450)</v>
      </c>
      <c r="K132" s="62"/>
      <c r="L132" s="62"/>
      <c r="M132" s="62"/>
      <c r="N132" s="62"/>
      <c r="O132" s="62"/>
      <c r="P132" s="62"/>
      <c r="Q132" s="62"/>
      <c r="R132" s="62"/>
      <c r="S132" s="62"/>
    </row>
    <row r="133">
      <c r="A133" s="59" t="s">
        <v>146</v>
      </c>
      <c r="B133" s="60">
        <v>26587.03</v>
      </c>
      <c r="C133" s="61">
        <v>44.97</v>
      </c>
      <c r="D133" s="61">
        <v>28.04</v>
      </c>
      <c r="E133" s="61">
        <v>68.95</v>
      </c>
      <c r="F133" s="62">
        <f t="shared" si="1"/>
        <v>1195618.739</v>
      </c>
      <c r="G133" s="63">
        <f t="shared" si="2"/>
        <v>745500.3212</v>
      </c>
      <c r="H133" s="64">
        <f t="shared" si="3"/>
        <v>1833175.719</v>
      </c>
      <c r="I133" s="65" t="str">
        <f t="shared" si="4"/>
        <v>45 (28-69)</v>
      </c>
      <c r="J133" s="66" t="str">
        <f t="shared" si="5"/>
        <v>1,195,619 (745,500-1,833,176)</v>
      </c>
      <c r="K133" s="62"/>
      <c r="L133" s="62"/>
      <c r="M133" s="62"/>
      <c r="N133" s="62"/>
      <c r="O133" s="62"/>
      <c r="P133" s="62"/>
      <c r="Q133" s="62"/>
      <c r="R133" s="62"/>
      <c r="S133" s="62"/>
    </row>
    <row r="134">
      <c r="A134" s="59" t="s">
        <v>1692</v>
      </c>
      <c r="B134" s="60">
        <v>23785.75</v>
      </c>
      <c r="C134" s="61">
        <v>1.1</v>
      </c>
      <c r="D134" s="61">
        <v>0.65</v>
      </c>
      <c r="E134" s="61">
        <v>1.73</v>
      </c>
      <c r="F134" s="62">
        <f t="shared" si="1"/>
        <v>26164.325</v>
      </c>
      <c r="G134" s="63">
        <f t="shared" si="2"/>
        <v>15460.7375</v>
      </c>
      <c r="H134" s="64">
        <f t="shared" si="3"/>
        <v>41149.3475</v>
      </c>
      <c r="I134" s="65" t="str">
        <f t="shared" si="4"/>
        <v>1 (1-2)</v>
      </c>
      <c r="J134" s="66" t="str">
        <f t="shared" si="5"/>
        <v>26,164 (15,461-41,149)</v>
      </c>
      <c r="K134" s="62"/>
      <c r="L134" s="62"/>
      <c r="M134" s="62"/>
      <c r="N134" s="62"/>
      <c r="O134" s="62"/>
      <c r="P134" s="62"/>
      <c r="Q134" s="62"/>
      <c r="R134" s="62"/>
      <c r="S134" s="62"/>
    </row>
    <row r="135">
      <c r="A135" s="59" t="s">
        <v>188</v>
      </c>
      <c r="B135" s="60">
        <v>101031.6</v>
      </c>
      <c r="C135" s="61">
        <v>261.19</v>
      </c>
      <c r="D135" s="61">
        <v>158.52</v>
      </c>
      <c r="E135" s="61">
        <v>403.06</v>
      </c>
      <c r="F135" s="62">
        <f t="shared" si="1"/>
        <v>26388443.6</v>
      </c>
      <c r="G135" s="63">
        <f t="shared" si="2"/>
        <v>16015529.23</v>
      </c>
      <c r="H135" s="64">
        <f t="shared" si="3"/>
        <v>40721796.7</v>
      </c>
      <c r="I135" s="65" t="str">
        <f t="shared" si="4"/>
        <v>261 (159-403)</v>
      </c>
      <c r="J135" s="66" t="str">
        <f t="shared" si="5"/>
        <v>26,388,444 (16,015,529-40,721,797)</v>
      </c>
      <c r="K135" s="62"/>
      <c r="L135" s="62"/>
      <c r="M135" s="62"/>
      <c r="N135" s="62"/>
      <c r="O135" s="62"/>
      <c r="P135" s="62"/>
      <c r="Q135" s="62"/>
      <c r="R135" s="62"/>
      <c r="S135" s="62"/>
    </row>
    <row r="136">
      <c r="A136" s="59" t="s">
        <v>40</v>
      </c>
      <c r="B136" s="60">
        <v>41664.18</v>
      </c>
      <c r="C136" s="61">
        <v>289.65</v>
      </c>
      <c r="D136" s="61">
        <v>183.42</v>
      </c>
      <c r="E136" s="61">
        <v>439.92</v>
      </c>
      <c r="F136" s="62">
        <f t="shared" si="1"/>
        <v>12068029.74</v>
      </c>
      <c r="G136" s="63">
        <f t="shared" si="2"/>
        <v>7642043.896</v>
      </c>
      <c r="H136" s="64">
        <f t="shared" si="3"/>
        <v>18328906.07</v>
      </c>
      <c r="I136" s="65" t="str">
        <f t="shared" si="4"/>
        <v>290 (183-440)</v>
      </c>
      <c r="J136" s="66" t="str">
        <f t="shared" si="5"/>
        <v>12,068,030 (7,642,044-18,328,906)</v>
      </c>
      <c r="K136" s="62"/>
      <c r="L136" s="62"/>
      <c r="M136" s="62"/>
      <c r="N136" s="62"/>
      <c r="O136" s="62"/>
      <c r="P136" s="62"/>
      <c r="Q136" s="62"/>
      <c r="R136" s="62"/>
      <c r="S136" s="62"/>
    </row>
    <row r="137">
      <c r="A137" s="59" t="s">
        <v>53</v>
      </c>
      <c r="B137" s="60">
        <v>6286.98</v>
      </c>
      <c r="C137" s="61">
        <v>26089.5</v>
      </c>
      <c r="D137" s="61">
        <v>15328.49</v>
      </c>
      <c r="E137" s="61">
        <v>45250.49</v>
      </c>
      <c r="F137" s="62">
        <f t="shared" si="1"/>
        <v>164024164.7</v>
      </c>
      <c r="G137" s="63">
        <f t="shared" si="2"/>
        <v>96369910.06</v>
      </c>
      <c r="H137" s="64">
        <f t="shared" si="3"/>
        <v>284488925.6</v>
      </c>
      <c r="I137" s="65" t="str">
        <f t="shared" si="4"/>
        <v>26,090 (15,328-45,250)</v>
      </c>
      <c r="J137" s="66" t="str">
        <f t="shared" si="5"/>
        <v>164,024,165 (96,369,910-284,488,926)</v>
      </c>
      <c r="K137" s="62"/>
      <c r="L137" s="62"/>
      <c r="M137" s="62"/>
      <c r="N137" s="62"/>
      <c r="O137" s="62"/>
      <c r="P137" s="62"/>
      <c r="Q137" s="62"/>
      <c r="R137" s="62"/>
      <c r="S137" s="62"/>
    </row>
    <row r="138">
      <c r="A138" s="59" t="s">
        <v>64</v>
      </c>
      <c r="B138" s="60">
        <v>17531.7</v>
      </c>
      <c r="C138" s="61">
        <v>0.46</v>
      </c>
      <c r="D138" s="61">
        <v>0.28</v>
      </c>
      <c r="E138" s="61">
        <v>0.7</v>
      </c>
      <c r="F138" s="62">
        <f t="shared" si="1"/>
        <v>8064.582</v>
      </c>
      <c r="G138" s="63">
        <f t="shared" si="2"/>
        <v>4908.876</v>
      </c>
      <c r="H138" s="64">
        <f t="shared" si="3"/>
        <v>12272.19</v>
      </c>
      <c r="I138" s="65" t="str">
        <f t="shared" si="4"/>
        <v>0 (0-1)</v>
      </c>
      <c r="J138" s="66" t="str">
        <f t="shared" si="5"/>
        <v>8,065 (4,909-12,272)</v>
      </c>
      <c r="K138" s="62"/>
      <c r="L138" s="62"/>
      <c r="M138" s="62"/>
      <c r="N138" s="62"/>
      <c r="O138" s="62"/>
      <c r="P138" s="62"/>
      <c r="Q138" s="62"/>
      <c r="R138" s="62"/>
      <c r="S138" s="62"/>
    </row>
    <row r="139">
      <c r="A139" s="59" t="s">
        <v>224</v>
      </c>
      <c r="B139" s="60">
        <v>41404.76</v>
      </c>
      <c r="C139" s="61">
        <v>118.97</v>
      </c>
      <c r="D139" s="61">
        <v>76.46</v>
      </c>
      <c r="E139" s="61">
        <v>178.27</v>
      </c>
      <c r="F139" s="62">
        <f t="shared" si="1"/>
        <v>4925924.297</v>
      </c>
      <c r="G139" s="63">
        <f t="shared" si="2"/>
        <v>3165807.95</v>
      </c>
      <c r="H139" s="64">
        <f t="shared" si="3"/>
        <v>7381226.565</v>
      </c>
      <c r="I139" s="65" t="str">
        <f t="shared" si="4"/>
        <v>119 (76-178)</v>
      </c>
      <c r="J139" s="66" t="str">
        <f t="shared" si="5"/>
        <v>4,925,924 (3,165,808-7,381,227)</v>
      </c>
      <c r="K139" s="62"/>
      <c r="L139" s="62"/>
      <c r="M139" s="62"/>
      <c r="N139" s="62"/>
      <c r="O139" s="62"/>
      <c r="P139" s="62"/>
      <c r="Q139" s="62"/>
      <c r="R139" s="62"/>
      <c r="S139" s="62"/>
    </row>
    <row r="140">
      <c r="A140" s="59" t="s">
        <v>65</v>
      </c>
      <c r="B140" s="60">
        <v>4888.555</v>
      </c>
      <c r="C140" s="61">
        <v>3095.44</v>
      </c>
      <c r="D140" s="61">
        <v>746.87</v>
      </c>
      <c r="E140" s="61">
        <v>7712.9</v>
      </c>
      <c r="F140" s="62">
        <f t="shared" si="1"/>
        <v>15132228.69</v>
      </c>
      <c r="G140" s="63">
        <f t="shared" si="2"/>
        <v>3651115.073</v>
      </c>
      <c r="H140" s="64">
        <f t="shared" si="3"/>
        <v>37704935.86</v>
      </c>
      <c r="I140" s="65" t="str">
        <f t="shared" si="4"/>
        <v>3,095 (747-7,713)</v>
      </c>
      <c r="J140" s="66" t="str">
        <f t="shared" si="5"/>
        <v>15,132,229 (3,651,115-37,704,936)</v>
      </c>
      <c r="K140" s="62"/>
      <c r="L140" s="62"/>
      <c r="M140" s="62"/>
      <c r="N140" s="62"/>
      <c r="O140" s="62"/>
      <c r="P140" s="62"/>
      <c r="Q140" s="62"/>
      <c r="R140" s="62"/>
      <c r="S140" s="62"/>
    </row>
    <row r="141">
      <c r="A141" s="59" t="s">
        <v>227</v>
      </c>
      <c r="B141" s="60">
        <v>18523.68</v>
      </c>
      <c r="C141" s="61">
        <v>157.68</v>
      </c>
      <c r="D141" s="61">
        <v>91.55</v>
      </c>
      <c r="E141" s="61">
        <v>271.08</v>
      </c>
      <c r="F141" s="62">
        <f t="shared" si="1"/>
        <v>2920813.862</v>
      </c>
      <c r="G141" s="63">
        <f t="shared" si="2"/>
        <v>1695842.904</v>
      </c>
      <c r="H141" s="64">
        <f t="shared" si="3"/>
        <v>5021399.174</v>
      </c>
      <c r="I141" s="65" t="str">
        <f t="shared" si="4"/>
        <v>158 (92-271)</v>
      </c>
      <c r="J141" s="66" t="str">
        <f t="shared" si="5"/>
        <v>2,920,814 (1,695,843-5,021,399)</v>
      </c>
      <c r="K141" s="62"/>
      <c r="L141" s="62"/>
      <c r="M141" s="62"/>
      <c r="N141" s="62"/>
      <c r="O141" s="62"/>
      <c r="P141" s="62"/>
      <c r="Q141" s="62"/>
      <c r="R141" s="62"/>
      <c r="S141" s="62"/>
    </row>
    <row r="142">
      <c r="A142" s="59" t="s">
        <v>197</v>
      </c>
      <c r="B142" s="60">
        <v>17802.42</v>
      </c>
      <c r="C142" s="61">
        <v>1953.32</v>
      </c>
      <c r="D142" s="61">
        <v>1334.01</v>
      </c>
      <c r="E142" s="61">
        <v>2896.08</v>
      </c>
      <c r="F142" s="62">
        <f t="shared" si="1"/>
        <v>34773823.03</v>
      </c>
      <c r="G142" s="63">
        <f t="shared" si="2"/>
        <v>23748606.3</v>
      </c>
      <c r="H142" s="64">
        <f t="shared" si="3"/>
        <v>51557232.51</v>
      </c>
      <c r="I142" s="65" t="str">
        <f t="shared" si="4"/>
        <v>1,953 (1,334-2,896)</v>
      </c>
      <c r="J142" s="66" t="str">
        <f t="shared" si="5"/>
        <v>34,773,823 (23,748,606-51,557,233)</v>
      </c>
      <c r="K142" s="62"/>
      <c r="L142" s="62"/>
      <c r="M142" s="62"/>
      <c r="N142" s="62"/>
      <c r="O142" s="62"/>
      <c r="P142" s="62"/>
      <c r="Q142" s="62"/>
      <c r="R142" s="62"/>
      <c r="S142" s="62"/>
    </row>
    <row r="143">
      <c r="A143" s="59" t="s">
        <v>78</v>
      </c>
      <c r="B143" s="60">
        <v>11794.14</v>
      </c>
      <c r="C143" s="61">
        <v>7021.8</v>
      </c>
      <c r="D143" s="61">
        <v>4990.14</v>
      </c>
      <c r="E143" s="61">
        <v>9658.24</v>
      </c>
      <c r="F143" s="62">
        <f t="shared" si="1"/>
        <v>82816092.25</v>
      </c>
      <c r="G143" s="63">
        <f t="shared" si="2"/>
        <v>58854409.78</v>
      </c>
      <c r="H143" s="64">
        <f t="shared" si="3"/>
        <v>113910634.7</v>
      </c>
      <c r="I143" s="65" t="str">
        <f t="shared" si="4"/>
        <v>7,022 (4,990-9,658)</v>
      </c>
      <c r="J143" s="66" t="str">
        <f t="shared" si="5"/>
        <v>82,816,092 (58,854,410-113,910,635)</v>
      </c>
      <c r="K143" s="62"/>
      <c r="L143" s="62"/>
      <c r="M143" s="62"/>
      <c r="N143" s="62"/>
      <c r="O143" s="62"/>
      <c r="P143" s="62"/>
      <c r="Q143" s="62"/>
      <c r="R143" s="62"/>
      <c r="S143" s="62"/>
    </row>
    <row r="144">
      <c r="A144" s="59" t="s">
        <v>147</v>
      </c>
      <c r="B144" s="60">
        <v>50378.06</v>
      </c>
      <c r="C144" s="61">
        <v>449.62</v>
      </c>
      <c r="D144" s="61">
        <v>271.39</v>
      </c>
      <c r="E144" s="61">
        <v>687.43</v>
      </c>
      <c r="F144" s="62">
        <f t="shared" si="1"/>
        <v>22650983.34</v>
      </c>
      <c r="G144" s="63">
        <f t="shared" si="2"/>
        <v>13672101.7</v>
      </c>
      <c r="H144" s="64">
        <f t="shared" si="3"/>
        <v>34631389.79</v>
      </c>
      <c r="I144" s="65" t="str">
        <f t="shared" si="4"/>
        <v>450 (271-687)</v>
      </c>
      <c r="J144" s="66" t="str">
        <f t="shared" si="5"/>
        <v>22,650,983 (13,672,102-34,631,390)</v>
      </c>
      <c r="K144" s="62"/>
      <c r="L144" s="62"/>
      <c r="M144" s="62"/>
      <c r="N144" s="62"/>
      <c r="O144" s="62"/>
      <c r="P144" s="62"/>
      <c r="Q144" s="62"/>
      <c r="R144" s="62"/>
      <c r="S144" s="62"/>
    </row>
    <row r="145">
      <c r="A145" s="59" t="s">
        <v>189</v>
      </c>
      <c r="B145" s="60">
        <v>50616.59</v>
      </c>
      <c r="C145" s="61">
        <v>100.78</v>
      </c>
      <c r="D145" s="61">
        <v>62.92</v>
      </c>
      <c r="E145" s="61">
        <v>156.04</v>
      </c>
      <c r="F145" s="62">
        <f t="shared" si="1"/>
        <v>5101139.94</v>
      </c>
      <c r="G145" s="63">
        <f t="shared" si="2"/>
        <v>3184795.843</v>
      </c>
      <c r="H145" s="64">
        <f t="shared" si="3"/>
        <v>7898212.704</v>
      </c>
      <c r="I145" s="65" t="str">
        <f t="shared" si="4"/>
        <v>101 (63-156)</v>
      </c>
      <c r="J145" s="66" t="str">
        <f t="shared" si="5"/>
        <v>5,101,140 (3,184,796-7,898,213)</v>
      </c>
      <c r="K145" s="62"/>
      <c r="L145" s="62"/>
      <c r="M145" s="62"/>
      <c r="N145" s="62"/>
      <c r="O145" s="62"/>
      <c r="P145" s="62"/>
      <c r="Q145" s="62"/>
      <c r="R145" s="62"/>
      <c r="S145" s="62"/>
    </row>
    <row r="146">
      <c r="A146" s="59" t="s">
        <v>210</v>
      </c>
      <c r="B146" s="60">
        <v>50155.5</v>
      </c>
      <c r="C146" s="61">
        <v>116.28</v>
      </c>
      <c r="D146" s="61">
        <v>70.92</v>
      </c>
      <c r="E146" s="61">
        <v>181.36</v>
      </c>
      <c r="F146" s="62">
        <f t="shared" si="1"/>
        <v>5832081.54</v>
      </c>
      <c r="G146" s="63">
        <f t="shared" si="2"/>
        <v>3557028.06</v>
      </c>
      <c r="H146" s="64">
        <f t="shared" si="3"/>
        <v>9096201.48</v>
      </c>
      <c r="I146" s="65" t="str">
        <f t="shared" si="4"/>
        <v>116 (71-181)</v>
      </c>
      <c r="J146" s="66" t="str">
        <f t="shared" si="5"/>
        <v>5,832,082 (3,557,028-9,096,201)</v>
      </c>
      <c r="K146" s="62"/>
      <c r="L146" s="62"/>
      <c r="M146" s="62"/>
      <c r="N146" s="62"/>
      <c r="O146" s="62"/>
      <c r="P146" s="62"/>
      <c r="Q146" s="62"/>
      <c r="R146" s="62"/>
      <c r="S146" s="62"/>
    </row>
    <row r="147">
      <c r="A147" s="59" t="s">
        <v>41</v>
      </c>
      <c r="B147" s="60">
        <v>126110.1</v>
      </c>
      <c r="C147" s="61">
        <v>260.72</v>
      </c>
      <c r="D147" s="61">
        <v>155.78</v>
      </c>
      <c r="E147" s="61">
        <v>181.36</v>
      </c>
      <c r="F147" s="62">
        <f t="shared" si="1"/>
        <v>32879425.27</v>
      </c>
      <c r="G147" s="63">
        <f t="shared" si="2"/>
        <v>19645431.38</v>
      </c>
      <c r="H147" s="64">
        <f t="shared" si="3"/>
        <v>22871327.74</v>
      </c>
      <c r="I147" s="65" t="str">
        <f t="shared" si="4"/>
        <v>261 (156-181)</v>
      </c>
      <c r="J147" s="66" t="str">
        <f t="shared" si="5"/>
        <v>32,879,425 (19,645,431-22,871,328)</v>
      </c>
      <c r="K147" s="62"/>
      <c r="L147" s="62"/>
      <c r="M147" s="62"/>
      <c r="N147" s="62"/>
      <c r="O147" s="62"/>
      <c r="P147" s="62"/>
      <c r="Q147" s="62"/>
      <c r="R147" s="62"/>
      <c r="S147" s="62"/>
    </row>
    <row r="148">
      <c r="A148" s="59" t="s">
        <v>148</v>
      </c>
      <c r="B148" s="60">
        <v>48712.17</v>
      </c>
      <c r="C148" s="61">
        <v>490.38</v>
      </c>
      <c r="D148" s="61">
        <v>747.17</v>
      </c>
      <c r="E148" s="61">
        <v>303.57</v>
      </c>
      <c r="F148" s="62">
        <f t="shared" si="1"/>
        <v>23887473.92</v>
      </c>
      <c r="G148" s="63">
        <f t="shared" si="2"/>
        <v>36396272.06</v>
      </c>
      <c r="H148" s="64">
        <f t="shared" si="3"/>
        <v>14787553.45</v>
      </c>
      <c r="I148" s="65" t="str">
        <f t="shared" si="4"/>
        <v>490 (747-304)</v>
      </c>
      <c r="J148" s="66" t="str">
        <f t="shared" si="5"/>
        <v>23,887,474 (36,396,272-14,787,553)</v>
      </c>
      <c r="K148" s="62"/>
      <c r="L148" s="62"/>
      <c r="M148" s="62"/>
      <c r="N148" s="62"/>
      <c r="O148" s="62"/>
      <c r="P148" s="62"/>
      <c r="Q148" s="62"/>
      <c r="R148" s="62"/>
      <c r="S148" s="62"/>
    </row>
    <row r="149">
      <c r="A149" s="59" t="s">
        <v>157</v>
      </c>
      <c r="B149" s="60">
        <v>47405.0</v>
      </c>
      <c r="C149" s="61">
        <v>2427.52</v>
      </c>
      <c r="D149" s="61">
        <v>1516.69</v>
      </c>
      <c r="E149" s="61">
        <v>3704.59</v>
      </c>
      <c r="F149" s="62">
        <f t="shared" si="1"/>
        <v>115076585.6</v>
      </c>
      <c r="G149" s="63">
        <f t="shared" si="2"/>
        <v>71898689.45</v>
      </c>
      <c r="H149" s="64">
        <f t="shared" si="3"/>
        <v>175616089</v>
      </c>
      <c r="I149" s="65" t="str">
        <f t="shared" si="4"/>
        <v>2,428 (1,517-3,705)</v>
      </c>
      <c r="J149" s="66" t="str">
        <f t="shared" si="5"/>
        <v>115,076,586 (71,898,689-175,616,089)</v>
      </c>
      <c r="K149" s="62"/>
      <c r="L149" s="62"/>
      <c r="M149" s="62"/>
      <c r="N149" s="62"/>
      <c r="O149" s="62"/>
      <c r="P149" s="62"/>
      <c r="Q149" s="62"/>
      <c r="R149" s="62"/>
      <c r="S149" s="62"/>
    </row>
    <row r="150">
      <c r="A150" s="59" t="s">
        <v>99</v>
      </c>
      <c r="B150" s="60">
        <v>3710.86</v>
      </c>
      <c r="C150" s="61">
        <v>513.14</v>
      </c>
      <c r="D150" s="61">
        <v>296.86</v>
      </c>
      <c r="E150" s="61">
        <v>845.24</v>
      </c>
      <c r="F150" s="62">
        <f t="shared" si="1"/>
        <v>1904190.7</v>
      </c>
      <c r="G150" s="63">
        <f t="shared" si="2"/>
        <v>1101605.9</v>
      </c>
      <c r="H150" s="64">
        <f t="shared" si="3"/>
        <v>3136567.306</v>
      </c>
      <c r="I150" s="65" t="str">
        <f t="shared" si="4"/>
        <v>513 (297-845)</v>
      </c>
      <c r="J150" s="66" t="str">
        <f t="shared" si="5"/>
        <v>1,904,191 (1,101,606-3,136,567)</v>
      </c>
      <c r="K150" s="62"/>
      <c r="L150" s="62"/>
      <c r="M150" s="62"/>
      <c r="N150" s="62"/>
      <c r="O150" s="62"/>
      <c r="P150" s="62"/>
      <c r="Q150" s="62"/>
      <c r="R150" s="62"/>
      <c r="S150" s="62"/>
    </row>
    <row r="151">
      <c r="A151" s="59" t="s">
        <v>211</v>
      </c>
      <c r="B151" s="60">
        <v>35544.8</v>
      </c>
      <c r="C151" s="61">
        <v>1.69</v>
      </c>
      <c r="D151" s="61">
        <v>1.03</v>
      </c>
      <c r="E151" s="61">
        <v>2.69</v>
      </c>
      <c r="F151" s="62">
        <f t="shared" si="1"/>
        <v>60070.712</v>
      </c>
      <c r="G151" s="63">
        <f t="shared" si="2"/>
        <v>36611.144</v>
      </c>
      <c r="H151" s="64">
        <f t="shared" si="3"/>
        <v>95615.512</v>
      </c>
      <c r="I151" s="65" t="str">
        <f t="shared" si="4"/>
        <v>2 (1-3)</v>
      </c>
      <c r="J151" s="66" t="str">
        <f t="shared" si="5"/>
        <v>60,071 (36,611-95,616)</v>
      </c>
      <c r="K151" s="62"/>
      <c r="L151" s="62"/>
      <c r="M151" s="62"/>
      <c r="N151" s="62"/>
      <c r="O151" s="62"/>
      <c r="P151" s="62"/>
      <c r="Q151" s="62"/>
      <c r="R151" s="62"/>
      <c r="S151" s="62"/>
    </row>
    <row r="152">
      <c r="A152" s="59" t="s">
        <v>66</v>
      </c>
      <c r="B152" s="60">
        <v>7837.292</v>
      </c>
      <c r="C152" s="61">
        <v>12.48</v>
      </c>
      <c r="D152" s="61">
        <v>5.55</v>
      </c>
      <c r="E152" s="61">
        <v>23.15</v>
      </c>
      <c r="F152" s="62">
        <f t="shared" si="1"/>
        <v>97809.40416</v>
      </c>
      <c r="G152" s="63">
        <f t="shared" si="2"/>
        <v>43496.9706</v>
      </c>
      <c r="H152" s="64">
        <f t="shared" si="3"/>
        <v>181433.3098</v>
      </c>
      <c r="I152" s="65" t="str">
        <f t="shared" si="4"/>
        <v>12 (6-23)</v>
      </c>
      <c r="J152" s="66" t="str">
        <f t="shared" si="5"/>
        <v>97,809 (43,497-181,433)</v>
      </c>
      <c r="K152" s="62"/>
      <c r="L152" s="62"/>
      <c r="M152" s="62"/>
      <c r="N152" s="62"/>
      <c r="O152" s="62"/>
      <c r="P152" s="62"/>
      <c r="Q152" s="62"/>
      <c r="R152" s="62"/>
      <c r="S152" s="62"/>
    </row>
    <row r="153">
      <c r="A153" s="59" t="s">
        <v>190</v>
      </c>
      <c r="B153" s="60">
        <v>75941.5</v>
      </c>
      <c r="C153" s="61">
        <v>0.83</v>
      </c>
      <c r="D153" s="61">
        <v>1.24</v>
      </c>
      <c r="E153" s="61">
        <v>0.53</v>
      </c>
      <c r="F153" s="62">
        <f t="shared" si="1"/>
        <v>63031.445</v>
      </c>
      <c r="G153" s="63">
        <f t="shared" si="2"/>
        <v>94167.46</v>
      </c>
      <c r="H153" s="64">
        <f t="shared" si="3"/>
        <v>40248.995</v>
      </c>
      <c r="I153" s="65" t="str">
        <f t="shared" si="4"/>
        <v>1 (1-1)</v>
      </c>
      <c r="J153" s="66" t="str">
        <f t="shared" si="5"/>
        <v>63,031 (94,167-40,249)</v>
      </c>
      <c r="K153" s="62"/>
      <c r="L153" s="62"/>
      <c r="M153" s="62"/>
      <c r="N153" s="62"/>
      <c r="O153" s="62"/>
      <c r="P153" s="62"/>
      <c r="Q153" s="62"/>
      <c r="R153" s="62"/>
      <c r="S153" s="62"/>
    </row>
    <row r="154">
      <c r="A154" s="59" t="s">
        <v>126</v>
      </c>
      <c r="B154" s="60">
        <v>6229.508</v>
      </c>
      <c r="C154" s="61">
        <v>7.39</v>
      </c>
      <c r="D154" s="61">
        <v>4.2</v>
      </c>
      <c r="E154" s="61">
        <v>12.57</v>
      </c>
      <c r="F154" s="62">
        <f t="shared" si="1"/>
        <v>46036.06412</v>
      </c>
      <c r="G154" s="63">
        <f t="shared" si="2"/>
        <v>26163.9336</v>
      </c>
      <c r="H154" s="64">
        <f t="shared" si="3"/>
        <v>78304.91556</v>
      </c>
      <c r="I154" s="65" t="str">
        <f t="shared" si="4"/>
        <v>7 (4-13)</v>
      </c>
      <c r="J154" s="66" t="str">
        <f t="shared" si="5"/>
        <v>46,036 (26,164-78,305)</v>
      </c>
      <c r="K154" s="62"/>
      <c r="L154" s="62"/>
      <c r="M154" s="62"/>
      <c r="N154" s="62"/>
      <c r="O154" s="62"/>
      <c r="P154" s="62"/>
      <c r="Q154" s="62"/>
      <c r="R154" s="62"/>
      <c r="S154" s="62"/>
    </row>
    <row r="155">
      <c r="A155" s="59" t="s">
        <v>42</v>
      </c>
      <c r="B155" s="60">
        <v>71243.43</v>
      </c>
      <c r="C155" s="61">
        <v>2354.69</v>
      </c>
      <c r="D155" s="61">
        <v>1447.09</v>
      </c>
      <c r="E155" s="61">
        <v>3649.75</v>
      </c>
      <c r="F155" s="62">
        <f t="shared" si="1"/>
        <v>167756192.2</v>
      </c>
      <c r="G155" s="63">
        <f t="shared" si="2"/>
        <v>103095655.1</v>
      </c>
      <c r="H155" s="64">
        <f t="shared" si="3"/>
        <v>260020708.6</v>
      </c>
      <c r="I155" s="65" t="str">
        <f t="shared" si="4"/>
        <v>2,355 (1,447-3,650)</v>
      </c>
      <c r="J155" s="66" t="str">
        <f t="shared" si="5"/>
        <v>167,756,192 (103,095,655-260,020,709)</v>
      </c>
      <c r="K155" s="62"/>
      <c r="L155" s="62"/>
      <c r="M155" s="62"/>
      <c r="N155" s="62"/>
      <c r="O155" s="62"/>
      <c r="P155" s="62"/>
      <c r="Q155" s="62"/>
      <c r="R155" s="62"/>
      <c r="S155" s="62"/>
    </row>
    <row r="156">
      <c r="A156" s="59" t="s">
        <v>127</v>
      </c>
      <c r="B156" s="60">
        <v>5110.4</v>
      </c>
      <c r="C156" s="61">
        <v>1029.79</v>
      </c>
      <c r="D156" s="61">
        <v>452.55</v>
      </c>
      <c r="E156" s="61">
        <v>3217.41</v>
      </c>
      <c r="F156" s="62">
        <f t="shared" si="1"/>
        <v>5262638.816</v>
      </c>
      <c r="G156" s="63">
        <f t="shared" si="2"/>
        <v>2312711.52</v>
      </c>
      <c r="H156" s="64">
        <f t="shared" si="3"/>
        <v>16442252.06</v>
      </c>
      <c r="I156" s="65" t="str">
        <f t="shared" si="4"/>
        <v>1,030 (453-3,217)</v>
      </c>
      <c r="J156" s="66" t="str">
        <f t="shared" si="5"/>
        <v>5,262,639 (2,312,712-16,442,252)</v>
      </c>
      <c r="K156" s="62"/>
      <c r="L156" s="62"/>
      <c r="M156" s="62"/>
      <c r="N156" s="62"/>
      <c r="O156" s="62"/>
      <c r="P156" s="62"/>
      <c r="Q156" s="62"/>
      <c r="R156" s="62"/>
      <c r="S156" s="62"/>
    </row>
    <row r="157">
      <c r="A157" s="59" t="s">
        <v>149</v>
      </c>
      <c r="B157" s="60">
        <v>31867.24</v>
      </c>
      <c r="C157" s="61">
        <v>148.96</v>
      </c>
      <c r="D157" s="61">
        <v>91.32</v>
      </c>
      <c r="E157" s="61">
        <v>235.74</v>
      </c>
      <c r="F157" s="62">
        <f t="shared" si="1"/>
        <v>4746944.07</v>
      </c>
      <c r="G157" s="63">
        <f t="shared" si="2"/>
        <v>2910116.357</v>
      </c>
      <c r="H157" s="64">
        <f t="shared" si="3"/>
        <v>7512383.158</v>
      </c>
      <c r="I157" s="65" t="str">
        <f t="shared" si="4"/>
        <v>149 (91-236)</v>
      </c>
      <c r="J157" s="66" t="str">
        <f t="shared" si="5"/>
        <v>4,746,944 (2,910,116-7,512,383)</v>
      </c>
      <c r="K157" s="62"/>
      <c r="L157" s="62"/>
      <c r="M157" s="62"/>
      <c r="N157" s="62"/>
      <c r="O157" s="62"/>
      <c r="P157" s="62"/>
      <c r="Q157" s="62"/>
      <c r="R157" s="62"/>
      <c r="S157" s="62"/>
    </row>
    <row r="158">
      <c r="A158" s="59" t="s">
        <v>79</v>
      </c>
      <c r="B158" s="60">
        <v>33238.58</v>
      </c>
      <c r="C158" s="61">
        <v>3.94</v>
      </c>
      <c r="D158" s="61">
        <v>2.58</v>
      </c>
      <c r="E158" s="61">
        <v>6.09</v>
      </c>
      <c r="F158" s="62">
        <f t="shared" si="1"/>
        <v>130960.0052</v>
      </c>
      <c r="G158" s="63">
        <f t="shared" si="2"/>
        <v>85755.5364</v>
      </c>
      <c r="H158" s="64">
        <f t="shared" si="3"/>
        <v>202422.9522</v>
      </c>
      <c r="I158" s="65" t="str">
        <f t="shared" si="4"/>
        <v>4 (3-6)</v>
      </c>
      <c r="J158" s="66" t="str">
        <f t="shared" si="5"/>
        <v>130,960 (85,756-202,423)</v>
      </c>
      <c r="K158" s="62"/>
      <c r="L158" s="62"/>
      <c r="M158" s="62"/>
      <c r="N158" s="62"/>
      <c r="O158" s="62"/>
      <c r="P158" s="62"/>
      <c r="Q158" s="62"/>
      <c r="R158" s="62"/>
      <c r="S158" s="62"/>
    </row>
    <row r="159">
      <c r="A159" s="59" t="s">
        <v>128</v>
      </c>
      <c r="B159" s="60">
        <v>3515.563</v>
      </c>
      <c r="C159" s="61">
        <v>1326.59</v>
      </c>
      <c r="D159" s="61">
        <v>472.4</v>
      </c>
      <c r="E159" s="61">
        <v>4890.43</v>
      </c>
      <c r="F159" s="62">
        <f t="shared" si="1"/>
        <v>4663710.72</v>
      </c>
      <c r="G159" s="63">
        <f t="shared" si="2"/>
        <v>1660751.961</v>
      </c>
      <c r="H159" s="64">
        <f t="shared" si="3"/>
        <v>17192614.76</v>
      </c>
      <c r="I159" s="65" t="str">
        <f t="shared" si="4"/>
        <v>1,327 (472-4,890)</v>
      </c>
      <c r="J159" s="66" t="str">
        <f t="shared" si="5"/>
        <v>4,663,711 (1,660,752-17,192,615)</v>
      </c>
      <c r="K159" s="62"/>
      <c r="L159" s="62"/>
      <c r="M159" s="62"/>
      <c r="N159" s="62"/>
      <c r="O159" s="62"/>
      <c r="P159" s="62"/>
      <c r="Q159" s="62"/>
      <c r="R159" s="62"/>
      <c r="S159" s="62"/>
    </row>
    <row r="160">
      <c r="A160" s="59" t="s">
        <v>164</v>
      </c>
      <c r="B160" s="60">
        <v>150689.3</v>
      </c>
      <c r="C160" s="61">
        <v>130.28</v>
      </c>
      <c r="D160" s="61">
        <v>80.03</v>
      </c>
      <c r="E160" s="61">
        <v>205.06</v>
      </c>
      <c r="F160" s="62">
        <f t="shared" si="1"/>
        <v>19631802</v>
      </c>
      <c r="G160" s="63">
        <f t="shared" si="2"/>
        <v>12059664.68</v>
      </c>
      <c r="H160" s="64">
        <f t="shared" si="3"/>
        <v>30900347.86</v>
      </c>
      <c r="I160" s="65" t="str">
        <f t="shared" si="4"/>
        <v>130 (80-205)</v>
      </c>
      <c r="J160" s="66" t="str">
        <f t="shared" si="5"/>
        <v>19,631,802 (12,059,665-30,900,348)</v>
      </c>
      <c r="K160" s="62"/>
      <c r="L160" s="62"/>
      <c r="M160" s="62"/>
      <c r="N160" s="62"/>
      <c r="O160" s="62"/>
      <c r="P160" s="62"/>
      <c r="Q160" s="62"/>
      <c r="R160" s="62"/>
      <c r="S160" s="62"/>
    </row>
    <row r="161">
      <c r="A161" s="59" t="s">
        <v>150</v>
      </c>
      <c r="B161" s="60">
        <v>47180.8</v>
      </c>
      <c r="C161" s="61">
        <v>77.88</v>
      </c>
      <c r="D161" s="61">
        <v>47.78</v>
      </c>
      <c r="E161" s="61">
        <v>120.53</v>
      </c>
      <c r="F161" s="62">
        <f t="shared" si="1"/>
        <v>3674440.704</v>
      </c>
      <c r="G161" s="63">
        <f t="shared" si="2"/>
        <v>2254298.624</v>
      </c>
      <c r="H161" s="64">
        <f t="shared" si="3"/>
        <v>5686701.824</v>
      </c>
      <c r="I161" s="65" t="str">
        <f t="shared" si="4"/>
        <v>78 (48-121)</v>
      </c>
      <c r="J161" s="66" t="str">
        <f t="shared" si="5"/>
        <v>3,674,441 (2,254,299-5,686,702)</v>
      </c>
      <c r="K161" s="62"/>
      <c r="L161" s="62"/>
      <c r="M161" s="62"/>
      <c r="N161" s="62"/>
      <c r="O161" s="62"/>
      <c r="P161" s="62"/>
      <c r="Q161" s="62"/>
      <c r="R161" s="62"/>
      <c r="S161" s="62"/>
    </row>
    <row r="162">
      <c r="A162" s="59" t="s">
        <v>151</v>
      </c>
      <c r="B162" s="60">
        <v>56530.63</v>
      </c>
      <c r="C162" s="61">
        <v>39.65</v>
      </c>
      <c r="D162" s="61">
        <v>23.96</v>
      </c>
      <c r="E162" s="61">
        <v>61.37</v>
      </c>
      <c r="F162" s="62">
        <f t="shared" si="1"/>
        <v>2241439.48</v>
      </c>
      <c r="G162" s="63">
        <f t="shared" si="2"/>
        <v>1354473.895</v>
      </c>
      <c r="H162" s="64">
        <f t="shared" si="3"/>
        <v>3469284.763</v>
      </c>
      <c r="I162" s="65" t="str">
        <f t="shared" si="4"/>
        <v>40 (24-61)</v>
      </c>
      <c r="J162" s="66" t="str">
        <f t="shared" si="5"/>
        <v>2,241,439 (1,354,474-3,469,285)</v>
      </c>
      <c r="K162" s="62"/>
      <c r="L162" s="62"/>
      <c r="M162" s="62"/>
      <c r="N162" s="62"/>
      <c r="O162" s="62"/>
      <c r="P162" s="62"/>
      <c r="Q162" s="62"/>
      <c r="R162" s="62"/>
      <c r="S162" s="62"/>
    </row>
    <row r="163">
      <c r="A163" s="59" t="s">
        <v>529</v>
      </c>
      <c r="B163" s="60">
        <v>2872.5</v>
      </c>
      <c r="C163" s="61">
        <v>86.14</v>
      </c>
      <c r="D163" s="61">
        <v>23.91</v>
      </c>
      <c r="E163" s="61">
        <v>205.37</v>
      </c>
      <c r="F163" s="62">
        <f t="shared" si="1"/>
        <v>247437.15</v>
      </c>
      <c r="G163" s="63">
        <f t="shared" si="2"/>
        <v>68681.475</v>
      </c>
      <c r="H163" s="64">
        <f t="shared" si="3"/>
        <v>589925.325</v>
      </c>
      <c r="I163" s="65" t="str">
        <f t="shared" si="4"/>
        <v>86 (24-205)</v>
      </c>
      <c r="J163" s="66" t="str">
        <f t="shared" si="5"/>
        <v>247,437 (68,681-589,925)</v>
      </c>
      <c r="K163" s="62"/>
      <c r="L163" s="62"/>
      <c r="M163" s="62"/>
      <c r="N163" s="62"/>
      <c r="O163" s="62"/>
      <c r="P163" s="62"/>
      <c r="Q163" s="62"/>
      <c r="R163" s="62"/>
      <c r="S163" s="62"/>
    </row>
    <row r="164">
      <c r="A164" s="59" t="s">
        <v>100</v>
      </c>
      <c r="B164" s="60">
        <v>1600.764</v>
      </c>
      <c r="C164" s="61">
        <v>5180.63</v>
      </c>
      <c r="D164" s="61">
        <v>693.21</v>
      </c>
      <c r="E164" s="61">
        <v>28929.93</v>
      </c>
      <c r="F164" s="62">
        <f t="shared" si="1"/>
        <v>8292966.001</v>
      </c>
      <c r="G164" s="63">
        <f t="shared" si="2"/>
        <v>1109665.612</v>
      </c>
      <c r="H164" s="64">
        <f t="shared" si="3"/>
        <v>46309990.47</v>
      </c>
      <c r="I164" s="65" t="str">
        <f t="shared" si="4"/>
        <v>5,181 (693-28,930)</v>
      </c>
      <c r="J164" s="66" t="str">
        <f t="shared" si="5"/>
        <v>8,292,966 (1,109,666-46,309,990)</v>
      </c>
      <c r="K164" s="62"/>
      <c r="L164" s="62"/>
      <c r="M164" s="62"/>
      <c r="N164" s="62"/>
      <c r="O164" s="62"/>
      <c r="P164" s="62"/>
      <c r="Q164" s="62"/>
      <c r="R164" s="62"/>
      <c r="S164" s="62"/>
    </row>
    <row r="165">
      <c r="A165" s="59" t="s">
        <v>109</v>
      </c>
      <c r="B165" s="60">
        <v>15457.49</v>
      </c>
      <c r="C165" s="61">
        <v>2933.88</v>
      </c>
      <c r="D165" s="61">
        <v>1900.82</v>
      </c>
      <c r="E165" s="61">
        <v>4235.77</v>
      </c>
      <c r="F165" s="62">
        <f t="shared" si="1"/>
        <v>45350420.76</v>
      </c>
      <c r="G165" s="63">
        <f t="shared" si="2"/>
        <v>29381906.14</v>
      </c>
      <c r="H165" s="64">
        <f t="shared" si="3"/>
        <v>65474372.42</v>
      </c>
      <c r="I165" s="65" t="str">
        <f t="shared" si="4"/>
        <v>2,934 (1,901-4,236)</v>
      </c>
      <c r="J165" s="66" t="str">
        <f t="shared" si="5"/>
        <v>45,350,421 (29,381,906-65,474,372)</v>
      </c>
      <c r="K165" s="62"/>
      <c r="L165" s="62"/>
      <c r="M165" s="62"/>
      <c r="N165" s="62"/>
      <c r="O165" s="62"/>
      <c r="P165" s="62"/>
      <c r="Q165" s="62"/>
      <c r="R165" s="62"/>
      <c r="S165" s="62"/>
    </row>
    <row r="166">
      <c r="A166" s="59" t="s">
        <v>101</v>
      </c>
      <c r="B166" s="60">
        <v>1154.9</v>
      </c>
      <c r="C166" s="61">
        <v>1455.89</v>
      </c>
      <c r="D166" s="61">
        <v>341.58</v>
      </c>
      <c r="E166" s="61">
        <v>8151.47</v>
      </c>
      <c r="F166" s="62">
        <f t="shared" si="1"/>
        <v>1681407.361</v>
      </c>
      <c r="G166" s="63">
        <f t="shared" si="2"/>
        <v>394490.742</v>
      </c>
      <c r="H166" s="64">
        <f t="shared" si="3"/>
        <v>9414132.703</v>
      </c>
      <c r="I166" s="65" t="str">
        <f t="shared" si="4"/>
        <v>1,456 (342-8,151)</v>
      </c>
      <c r="J166" s="66" t="str">
        <f t="shared" si="5"/>
        <v>1,681,407 (394,491-9,414,133)</v>
      </c>
      <c r="K166" s="62"/>
      <c r="L166" s="62"/>
      <c r="M166" s="62"/>
      <c r="N166" s="62"/>
      <c r="O166" s="62"/>
      <c r="P166" s="62"/>
      <c r="Q166" s="62"/>
      <c r="R166" s="62"/>
      <c r="S166" s="62"/>
    </row>
    <row r="167">
      <c r="A167" s="59" t="s">
        <v>191</v>
      </c>
      <c r="B167" s="60">
        <v>56926.24</v>
      </c>
      <c r="C167" s="61">
        <v>408.09</v>
      </c>
      <c r="D167" s="61">
        <v>254.03</v>
      </c>
      <c r="E167" s="61">
        <v>614.36</v>
      </c>
      <c r="F167" s="62">
        <f t="shared" si="1"/>
        <v>23231029.28</v>
      </c>
      <c r="G167" s="63">
        <f t="shared" si="2"/>
        <v>14460972.75</v>
      </c>
      <c r="H167" s="64">
        <f t="shared" si="3"/>
        <v>34973204.81</v>
      </c>
      <c r="I167" s="65" t="str">
        <f t="shared" si="4"/>
        <v>408 (254-614)</v>
      </c>
      <c r="J167" s="66" t="str">
        <f t="shared" si="5"/>
        <v>23,231,029 (14,460,973-34,973,205)</v>
      </c>
      <c r="K167" s="62"/>
      <c r="L167" s="62"/>
      <c r="M167" s="62"/>
      <c r="N167" s="62"/>
      <c r="O167" s="62"/>
      <c r="P167" s="62"/>
      <c r="Q167" s="62"/>
      <c r="R167" s="62"/>
      <c r="S167" s="62"/>
    </row>
    <row r="168">
      <c r="A168" s="59" t="s">
        <v>80</v>
      </c>
      <c r="B168" s="60">
        <v>15632.59</v>
      </c>
      <c r="C168" s="61">
        <v>729.58</v>
      </c>
      <c r="D168" s="61">
        <v>453.9</v>
      </c>
      <c r="E168" s="61">
        <v>1105.09</v>
      </c>
      <c r="F168" s="62">
        <f t="shared" si="1"/>
        <v>11405225.01</v>
      </c>
      <c r="G168" s="63">
        <f t="shared" si="2"/>
        <v>7095632.601</v>
      </c>
      <c r="H168" s="64">
        <f t="shared" si="3"/>
        <v>17275418.88</v>
      </c>
      <c r="I168" s="65" t="str">
        <f t="shared" si="4"/>
        <v>730 (454-1,105)</v>
      </c>
      <c r="J168" s="66" t="str">
        <f t="shared" si="5"/>
        <v>11,405,225 (7,095,633-17,275,419)</v>
      </c>
      <c r="K168" s="62"/>
      <c r="L168" s="62"/>
      <c r="M168" s="62"/>
      <c r="N168" s="62"/>
      <c r="O168" s="62"/>
      <c r="P168" s="62"/>
      <c r="Q168" s="62"/>
      <c r="R168" s="62"/>
      <c r="S168" s="62"/>
    </row>
    <row r="169">
      <c r="A169" s="59" t="s">
        <v>212</v>
      </c>
      <c r="B169" s="60">
        <v>27567.33</v>
      </c>
      <c r="C169" s="61">
        <v>4.81</v>
      </c>
      <c r="D169" s="61">
        <v>2.99</v>
      </c>
      <c r="E169" s="61">
        <v>7.57</v>
      </c>
      <c r="F169" s="62">
        <f t="shared" si="1"/>
        <v>132598.8573</v>
      </c>
      <c r="G169" s="63">
        <f t="shared" si="2"/>
        <v>82426.3167</v>
      </c>
      <c r="H169" s="64">
        <f t="shared" si="3"/>
        <v>208684.6881</v>
      </c>
      <c r="I169" s="65" t="str">
        <f t="shared" si="4"/>
        <v>5 (3-8)</v>
      </c>
      <c r="J169" s="66" t="str">
        <f t="shared" si="5"/>
        <v>132,599 (82,426-208,685)</v>
      </c>
      <c r="K169" s="62"/>
      <c r="L169" s="62"/>
      <c r="M169" s="62"/>
      <c r="N169" s="62"/>
      <c r="O169" s="62"/>
      <c r="P169" s="62"/>
      <c r="Q169" s="62"/>
      <c r="R169" s="62"/>
      <c r="S169" s="62"/>
    </row>
    <row r="170">
      <c r="A170" s="59" t="s">
        <v>213</v>
      </c>
      <c r="B170" s="60">
        <v>21272.1</v>
      </c>
      <c r="C170" s="61">
        <v>3.25</v>
      </c>
      <c r="D170" s="61">
        <v>1.96</v>
      </c>
      <c r="E170" s="61">
        <v>4.99</v>
      </c>
      <c r="F170" s="62">
        <f t="shared" si="1"/>
        <v>69134.325</v>
      </c>
      <c r="G170" s="63">
        <f t="shared" si="2"/>
        <v>41693.316</v>
      </c>
      <c r="H170" s="64">
        <f t="shared" si="3"/>
        <v>106147.779</v>
      </c>
      <c r="I170" s="65" t="str">
        <f t="shared" si="4"/>
        <v>3 (2-5)</v>
      </c>
      <c r="J170" s="66" t="str">
        <f t="shared" si="5"/>
        <v>69,134 (41,693-106,148)</v>
      </c>
      <c r="K170" s="62"/>
      <c r="L170" s="62"/>
      <c r="M170" s="62"/>
      <c r="N170" s="62"/>
      <c r="O170" s="62"/>
      <c r="P170" s="62"/>
      <c r="Q170" s="62"/>
      <c r="R170" s="62"/>
      <c r="S170" s="62"/>
    </row>
    <row r="171">
      <c r="A171" s="59" t="s">
        <v>43</v>
      </c>
      <c r="B171" s="60">
        <v>2127.4</v>
      </c>
      <c r="C171" s="61">
        <v>5460.69</v>
      </c>
      <c r="D171" s="61">
        <v>3365.29</v>
      </c>
      <c r="E171" s="61">
        <v>8688.48</v>
      </c>
      <c r="F171" s="62">
        <f t="shared" si="1"/>
        <v>11617071.91</v>
      </c>
      <c r="G171" s="63">
        <f t="shared" si="2"/>
        <v>7159317.946</v>
      </c>
      <c r="H171" s="64">
        <f t="shared" si="3"/>
        <v>18483872.35</v>
      </c>
      <c r="I171" s="65" t="str">
        <f t="shared" si="4"/>
        <v>5,461 (3,365-8,688)</v>
      </c>
      <c r="J171" s="66" t="str">
        <f t="shared" si="5"/>
        <v>11,617,072 (7,159,318-18,483,872)</v>
      </c>
      <c r="K171" s="62"/>
      <c r="L171" s="62"/>
      <c r="M171" s="62"/>
      <c r="N171" s="62"/>
      <c r="O171" s="62"/>
      <c r="P171" s="62"/>
      <c r="Q171" s="62"/>
      <c r="R171" s="62"/>
      <c r="S171" s="62"/>
    </row>
    <row r="172">
      <c r="A172" s="59" t="s">
        <v>214</v>
      </c>
      <c r="B172" s="60">
        <v>22066.73</v>
      </c>
      <c r="C172" s="61">
        <v>20.29</v>
      </c>
      <c r="D172" s="61">
        <v>13.5</v>
      </c>
      <c r="E172" s="61">
        <v>29.79</v>
      </c>
      <c r="F172" s="62">
        <f t="shared" si="1"/>
        <v>447733.9517</v>
      </c>
      <c r="G172" s="63">
        <f t="shared" si="2"/>
        <v>297900.855</v>
      </c>
      <c r="H172" s="64">
        <f t="shared" si="3"/>
        <v>657367.8867</v>
      </c>
      <c r="I172" s="65" t="str">
        <f t="shared" si="4"/>
        <v>20 (14-30)</v>
      </c>
      <c r="J172" s="66" t="str">
        <f t="shared" si="5"/>
        <v>447,734 (297,901-657,368)</v>
      </c>
      <c r="K172" s="62"/>
      <c r="L172" s="62"/>
      <c r="M172" s="62"/>
      <c r="N172" s="62"/>
      <c r="O172" s="62"/>
      <c r="P172" s="62"/>
      <c r="Q172" s="62"/>
      <c r="R172" s="62"/>
      <c r="S172" s="62"/>
    </row>
    <row r="173">
      <c r="A173" s="59" t="s">
        <v>192</v>
      </c>
      <c r="B173" s="60">
        <v>71030.46</v>
      </c>
      <c r="C173" s="61">
        <v>158.52</v>
      </c>
      <c r="D173" s="61">
        <v>95.99</v>
      </c>
      <c r="E173" s="61">
        <v>246.17</v>
      </c>
      <c r="F173" s="62">
        <f t="shared" si="1"/>
        <v>11259748.52</v>
      </c>
      <c r="G173" s="63">
        <f t="shared" si="2"/>
        <v>6818213.855</v>
      </c>
      <c r="H173" s="64">
        <f t="shared" si="3"/>
        <v>17485568.34</v>
      </c>
      <c r="I173" s="65" t="str">
        <f t="shared" si="4"/>
        <v>159 (96-246)</v>
      </c>
      <c r="J173" s="66" t="str">
        <f t="shared" si="5"/>
        <v>11,259,749 (6,818,214-17,485,568)</v>
      </c>
      <c r="K173" s="62"/>
      <c r="L173" s="62"/>
      <c r="M173" s="62"/>
      <c r="N173" s="62"/>
      <c r="O173" s="62"/>
      <c r="P173" s="62"/>
      <c r="Q173" s="62"/>
      <c r="R173" s="62"/>
      <c r="S173" s="62"/>
    </row>
    <row r="174">
      <c r="A174" s="59" t="s">
        <v>193</v>
      </c>
      <c r="B174" s="60">
        <v>93818.71</v>
      </c>
      <c r="C174" s="61">
        <v>161.74</v>
      </c>
      <c r="D174" s="61">
        <v>102.02</v>
      </c>
      <c r="E174" s="61">
        <v>239.29</v>
      </c>
      <c r="F174" s="62">
        <f t="shared" si="1"/>
        <v>15174238.16</v>
      </c>
      <c r="G174" s="63">
        <f t="shared" si="2"/>
        <v>9571384.794</v>
      </c>
      <c r="H174" s="64">
        <f t="shared" si="3"/>
        <v>22449879.12</v>
      </c>
      <c r="I174" s="65" t="str">
        <f t="shared" si="4"/>
        <v>162 (102-239)</v>
      </c>
      <c r="J174" s="66" t="str">
        <f t="shared" si="5"/>
        <v>15,174,238 (9,571,385-22,449,879)</v>
      </c>
      <c r="K174" s="62"/>
      <c r="L174" s="62"/>
      <c r="M174" s="62"/>
      <c r="N174" s="62"/>
      <c r="O174" s="62"/>
      <c r="P174" s="62"/>
      <c r="Q174" s="62"/>
      <c r="R174" s="62"/>
      <c r="S174" s="62"/>
    </row>
    <row r="175">
      <c r="A175" s="59" t="s">
        <v>44</v>
      </c>
      <c r="B175" s="60">
        <v>4650.1</v>
      </c>
      <c r="C175" s="61">
        <v>894.32</v>
      </c>
      <c r="D175" s="61">
        <v>579.73</v>
      </c>
      <c r="E175" s="61">
        <v>1333.96</v>
      </c>
      <c r="F175" s="62">
        <f t="shared" si="1"/>
        <v>4158677.432</v>
      </c>
      <c r="G175" s="63">
        <f t="shared" si="2"/>
        <v>2695802.473</v>
      </c>
      <c r="H175" s="64">
        <f t="shared" si="3"/>
        <v>6203047.396</v>
      </c>
      <c r="I175" s="65" t="str">
        <f t="shared" si="4"/>
        <v>894 (580-1,334)</v>
      </c>
      <c r="J175" s="66" t="str">
        <f t="shared" si="5"/>
        <v>4,158,677 (2,695,802-6,203,047)</v>
      </c>
      <c r="K175" s="62"/>
      <c r="L175" s="62"/>
      <c r="M175" s="62"/>
      <c r="N175" s="62"/>
      <c r="O175" s="62"/>
      <c r="P175" s="62"/>
      <c r="Q175" s="62"/>
      <c r="R175" s="62"/>
      <c r="S175" s="62"/>
    </row>
    <row r="176">
      <c r="A176" s="59" t="s">
        <v>136</v>
      </c>
      <c r="B176" s="60">
        <v>5405.98</v>
      </c>
      <c r="C176" s="61">
        <v>710.06</v>
      </c>
      <c r="D176" s="61">
        <v>445.11</v>
      </c>
      <c r="E176" s="61">
        <v>1115.6</v>
      </c>
      <c r="F176" s="62">
        <f t="shared" si="1"/>
        <v>3838570.159</v>
      </c>
      <c r="G176" s="63">
        <f t="shared" si="2"/>
        <v>2406255.758</v>
      </c>
      <c r="H176" s="64">
        <f t="shared" si="3"/>
        <v>6030911.288</v>
      </c>
      <c r="I176" s="65" t="str">
        <f t="shared" si="4"/>
        <v>710 (445-1,116)</v>
      </c>
      <c r="J176" s="66" t="str">
        <f t="shared" si="5"/>
        <v>3,838,570 (2,406,256-6,030,911)</v>
      </c>
      <c r="K176" s="62"/>
      <c r="L176" s="62"/>
      <c r="M176" s="62"/>
      <c r="N176" s="62"/>
      <c r="O176" s="62"/>
      <c r="P176" s="62"/>
      <c r="Q176" s="62"/>
      <c r="R176" s="62"/>
      <c r="S176" s="62"/>
    </row>
    <row r="177">
      <c r="A177" s="59" t="s">
        <v>103</v>
      </c>
      <c r="B177" s="60">
        <v>4220.796</v>
      </c>
      <c r="C177" s="61">
        <v>5349.06</v>
      </c>
      <c r="D177" s="61">
        <v>2260.12</v>
      </c>
      <c r="E177" s="61">
        <v>12584.03</v>
      </c>
      <c r="F177" s="62">
        <f t="shared" si="1"/>
        <v>22577291.05</v>
      </c>
      <c r="G177" s="63">
        <f t="shared" si="2"/>
        <v>9539505.456</v>
      </c>
      <c r="H177" s="64">
        <f t="shared" si="3"/>
        <v>53114623.49</v>
      </c>
      <c r="I177" s="65" t="str">
        <f t="shared" si="4"/>
        <v>5,349 (2,260-12,584)</v>
      </c>
      <c r="J177" s="66" t="str">
        <f t="shared" si="5"/>
        <v>22,577,291 (9,539,505-53,114,623)</v>
      </c>
      <c r="K177" s="62"/>
      <c r="L177" s="62"/>
      <c r="M177" s="62"/>
      <c r="N177" s="62"/>
      <c r="O177" s="62"/>
      <c r="P177" s="62"/>
      <c r="Q177" s="62"/>
      <c r="R177" s="62"/>
      <c r="S177" s="62"/>
    </row>
    <row r="178">
      <c r="A178" s="59" t="s">
        <v>81</v>
      </c>
      <c r="B178" s="60">
        <v>24708.24</v>
      </c>
      <c r="C178" s="61">
        <v>2573.43</v>
      </c>
      <c r="D178" s="61">
        <v>1550.54</v>
      </c>
      <c r="E178" s="61">
        <v>3903.91</v>
      </c>
      <c r="F178" s="62">
        <f t="shared" si="1"/>
        <v>63584926.06</v>
      </c>
      <c r="G178" s="63">
        <f t="shared" si="2"/>
        <v>38311114.45</v>
      </c>
      <c r="H178" s="64">
        <f t="shared" si="3"/>
        <v>96458745.22</v>
      </c>
      <c r="I178" s="65" t="str">
        <f t="shared" si="4"/>
        <v>2,573 (1,551-3,904)</v>
      </c>
      <c r="J178" s="66" t="str">
        <f t="shared" si="5"/>
        <v>63,584,926 (38,311,114-96,458,745)</v>
      </c>
      <c r="K178" s="62"/>
      <c r="L178" s="62"/>
      <c r="M178" s="62"/>
      <c r="N178" s="62"/>
      <c r="O178" s="62"/>
      <c r="P178" s="62"/>
      <c r="Q178" s="62"/>
      <c r="R178" s="62"/>
      <c r="S178" s="62"/>
    </row>
    <row r="179">
      <c r="A179" s="59" t="s">
        <v>82</v>
      </c>
      <c r="B179" s="60">
        <v>4758.392</v>
      </c>
      <c r="C179" s="61">
        <v>246.95</v>
      </c>
      <c r="D179" s="61">
        <v>108.15</v>
      </c>
      <c r="E179" s="61">
        <v>646.97</v>
      </c>
      <c r="F179" s="62">
        <f t="shared" si="1"/>
        <v>1175084.904</v>
      </c>
      <c r="G179" s="63">
        <f t="shared" si="2"/>
        <v>514620.0948</v>
      </c>
      <c r="H179" s="64">
        <f t="shared" si="3"/>
        <v>3078536.872</v>
      </c>
      <c r="I179" s="65" t="str">
        <f t="shared" si="4"/>
        <v>247 (108-647)</v>
      </c>
      <c r="J179" s="66" t="str">
        <f t="shared" si="5"/>
        <v>1,175,085 (514,620-3,078,537)</v>
      </c>
      <c r="K179" s="62"/>
      <c r="L179" s="62"/>
      <c r="M179" s="62"/>
      <c r="N179" s="62"/>
      <c r="O179" s="62"/>
      <c r="P179" s="62"/>
      <c r="Q179" s="62"/>
      <c r="R179" s="62"/>
      <c r="S179" s="62"/>
    </row>
    <row r="180">
      <c r="A180" s="59" t="s">
        <v>129</v>
      </c>
      <c r="B180" s="60">
        <v>3239.091</v>
      </c>
      <c r="C180" s="61">
        <v>580.97</v>
      </c>
      <c r="D180" s="61">
        <v>251.0</v>
      </c>
      <c r="E180" s="61">
        <v>1601.32</v>
      </c>
      <c r="F180" s="62">
        <f t="shared" si="1"/>
        <v>1881814.698</v>
      </c>
      <c r="G180" s="63">
        <f t="shared" si="2"/>
        <v>813011.841</v>
      </c>
      <c r="H180" s="64">
        <f t="shared" si="3"/>
        <v>5186821.2</v>
      </c>
      <c r="I180" s="65" t="str">
        <f t="shared" si="4"/>
        <v>581 (251-1,601)</v>
      </c>
      <c r="J180" s="66" t="str">
        <f t="shared" si="5"/>
        <v>1,881,815 (813,012-5,186,821)</v>
      </c>
      <c r="K180" s="62"/>
      <c r="L180" s="62"/>
      <c r="M180" s="62"/>
      <c r="N180" s="62"/>
      <c r="O180" s="62"/>
      <c r="P180" s="62"/>
      <c r="Q180" s="62"/>
      <c r="R180" s="62"/>
      <c r="S180" s="62"/>
    </row>
    <row r="181">
      <c r="A181" s="59" t="s">
        <v>68</v>
      </c>
      <c r="B181" s="60">
        <v>7852.8</v>
      </c>
      <c r="C181" s="61">
        <v>4.13</v>
      </c>
      <c r="D181" s="61">
        <v>2.2</v>
      </c>
      <c r="E181" s="61">
        <v>7.52</v>
      </c>
      <c r="F181" s="62">
        <f t="shared" si="1"/>
        <v>32432.064</v>
      </c>
      <c r="G181" s="63">
        <f t="shared" si="2"/>
        <v>17276.16</v>
      </c>
      <c r="H181" s="64">
        <f t="shared" si="3"/>
        <v>59053.056</v>
      </c>
      <c r="I181" s="65" t="str">
        <f t="shared" si="4"/>
        <v>4 (2-8)</v>
      </c>
      <c r="J181" s="66" t="str">
        <f t="shared" si="5"/>
        <v>32,432 (17,276-59,053)</v>
      </c>
      <c r="K181" s="62"/>
      <c r="L181" s="62"/>
      <c r="M181" s="62"/>
      <c r="N181" s="62"/>
      <c r="O181" s="62"/>
      <c r="P181" s="62"/>
      <c r="Q181" s="62"/>
      <c r="R181" s="62"/>
      <c r="S181" s="62"/>
    </row>
    <row r="182">
      <c r="A182" s="59" t="s">
        <v>215</v>
      </c>
      <c r="B182" s="60">
        <v>36021.13</v>
      </c>
      <c r="C182" s="61">
        <v>45.72</v>
      </c>
      <c r="D182" s="61">
        <v>29.62</v>
      </c>
      <c r="E182" s="61">
        <v>68.7</v>
      </c>
      <c r="F182" s="62">
        <f t="shared" si="1"/>
        <v>1646886.064</v>
      </c>
      <c r="G182" s="63">
        <f t="shared" si="2"/>
        <v>1066945.871</v>
      </c>
      <c r="H182" s="64">
        <f t="shared" si="3"/>
        <v>2474651.631</v>
      </c>
      <c r="I182" s="65" t="str">
        <f t="shared" si="4"/>
        <v>46 (30-69)</v>
      </c>
      <c r="J182" s="66" t="str">
        <f t="shared" si="5"/>
        <v>1,646,886 (1,066,946-2,474,652)</v>
      </c>
      <c r="K182" s="62"/>
      <c r="L182" s="62"/>
      <c r="M182" s="62"/>
      <c r="N182" s="62"/>
      <c r="O182" s="62"/>
      <c r="P182" s="62"/>
      <c r="Q182" s="62"/>
      <c r="R182" s="62"/>
      <c r="S182" s="62"/>
    </row>
    <row r="183">
      <c r="A183" s="59" t="s">
        <v>45</v>
      </c>
      <c r="B183" s="60">
        <v>14451.25</v>
      </c>
      <c r="C183" s="61">
        <v>719.77</v>
      </c>
      <c r="D183" s="61">
        <v>468.54</v>
      </c>
      <c r="E183" s="61">
        <v>1055.7</v>
      </c>
      <c r="F183" s="62">
        <f t="shared" si="1"/>
        <v>10401576.21</v>
      </c>
      <c r="G183" s="63">
        <f t="shared" si="2"/>
        <v>6770988.675</v>
      </c>
      <c r="H183" s="64">
        <f t="shared" si="3"/>
        <v>15256184.63</v>
      </c>
      <c r="I183" s="65" t="str">
        <f t="shared" si="4"/>
        <v>720 (469-1,056)</v>
      </c>
      <c r="J183" s="66" t="str">
        <f t="shared" si="5"/>
        <v>10,401,576 (6,770,989-15,256,185)</v>
      </c>
      <c r="K183" s="62"/>
      <c r="L183" s="62"/>
      <c r="M183" s="62"/>
      <c r="N183" s="62"/>
      <c r="O183" s="62"/>
      <c r="P183" s="62"/>
      <c r="Q183" s="62"/>
      <c r="R183" s="62"/>
      <c r="S183" s="62"/>
    </row>
    <row r="184">
      <c r="A184" s="59" t="s">
        <v>46</v>
      </c>
      <c r="B184" s="60">
        <v>43932.08</v>
      </c>
      <c r="C184" s="61">
        <v>4510.53</v>
      </c>
      <c r="D184" s="61">
        <v>3162.69</v>
      </c>
      <c r="E184" s="61">
        <v>6384.34</v>
      </c>
      <c r="F184" s="62">
        <f t="shared" si="1"/>
        <v>198156964.8</v>
      </c>
      <c r="G184" s="63">
        <f t="shared" si="2"/>
        <v>138943550.1</v>
      </c>
      <c r="H184" s="64">
        <f t="shared" si="3"/>
        <v>280477335.6</v>
      </c>
      <c r="I184" s="65" t="str">
        <f t="shared" si="4"/>
        <v>4,511 (3,163-6,384)</v>
      </c>
      <c r="J184" s="66" t="str">
        <f t="shared" si="5"/>
        <v>198,156,965 (138,943,550-280,477,336)</v>
      </c>
      <c r="K184" s="62"/>
      <c r="L184" s="62"/>
      <c r="M184" s="62"/>
      <c r="N184" s="62"/>
      <c r="O184" s="62"/>
      <c r="P184" s="62"/>
      <c r="Q184" s="62"/>
      <c r="R184" s="62"/>
      <c r="S184" s="62"/>
    </row>
    <row r="185">
      <c r="A185" s="59" t="s">
        <v>137</v>
      </c>
      <c r="B185" s="60">
        <v>20407.8</v>
      </c>
      <c r="C185" s="61">
        <v>263.78</v>
      </c>
      <c r="D185" s="61">
        <v>165.63</v>
      </c>
      <c r="E185" s="61">
        <v>414.87</v>
      </c>
      <c r="F185" s="62">
        <f t="shared" si="1"/>
        <v>5383169.484</v>
      </c>
      <c r="G185" s="63">
        <f t="shared" si="2"/>
        <v>3380143.914</v>
      </c>
      <c r="H185" s="64">
        <f t="shared" si="3"/>
        <v>8466583.986</v>
      </c>
      <c r="I185" s="65" t="str">
        <f t="shared" si="4"/>
        <v>264 (166-415)</v>
      </c>
      <c r="J185" s="66" t="str">
        <f t="shared" si="5"/>
        <v>5,383,169 (3,380,144-8,466,584)</v>
      </c>
      <c r="K185" s="62"/>
      <c r="L185" s="62"/>
      <c r="M185" s="62"/>
      <c r="N185" s="62"/>
      <c r="O185" s="62"/>
      <c r="P185" s="62"/>
      <c r="Q185" s="62"/>
      <c r="R185" s="62"/>
      <c r="S185" s="62"/>
    </row>
    <row r="186">
      <c r="A186" s="59" t="s">
        <v>69</v>
      </c>
      <c r="B186" s="60">
        <v>6151.0</v>
      </c>
      <c r="C186" s="61">
        <v>0.74</v>
      </c>
      <c r="D186" s="61">
        <v>0.33</v>
      </c>
      <c r="E186" s="61">
        <v>1.43</v>
      </c>
      <c r="F186" s="62">
        <f t="shared" si="1"/>
        <v>4551.74</v>
      </c>
      <c r="G186" s="63">
        <f t="shared" si="2"/>
        <v>2029.83</v>
      </c>
      <c r="H186" s="64">
        <f t="shared" si="3"/>
        <v>8795.93</v>
      </c>
      <c r="I186" s="65" t="str">
        <f t="shared" si="4"/>
        <v>1 (0-1)</v>
      </c>
      <c r="J186" s="66" t="str">
        <f t="shared" si="5"/>
        <v>4,552 (2,030-8,796)</v>
      </c>
      <c r="K186" s="62"/>
      <c r="L186" s="62"/>
      <c r="M186" s="62"/>
      <c r="N186" s="62"/>
      <c r="O186" s="62"/>
      <c r="P186" s="62"/>
      <c r="Q186" s="62"/>
      <c r="R186" s="62"/>
      <c r="S186" s="62"/>
    </row>
    <row r="187">
      <c r="A187" s="59" t="s">
        <v>216</v>
      </c>
      <c r="B187" s="60">
        <v>49793.0</v>
      </c>
      <c r="C187" s="61">
        <v>2.37</v>
      </c>
      <c r="D187" s="61">
        <v>1.49</v>
      </c>
      <c r="E187" s="61">
        <v>3.63</v>
      </c>
      <c r="F187" s="62">
        <f t="shared" si="1"/>
        <v>118009.41</v>
      </c>
      <c r="G187" s="63">
        <f t="shared" si="2"/>
        <v>74191.57</v>
      </c>
      <c r="H187" s="64">
        <f t="shared" si="3"/>
        <v>180748.59</v>
      </c>
      <c r="I187" s="65" t="str">
        <f t="shared" si="4"/>
        <v>2 (1-4)</v>
      </c>
      <c r="J187" s="66" t="str">
        <f t="shared" si="5"/>
        <v>118,009 (74,192-180,749)</v>
      </c>
      <c r="K187" s="62"/>
      <c r="L187" s="62"/>
      <c r="M187" s="62"/>
      <c r="N187" s="62"/>
      <c r="O187" s="62"/>
      <c r="P187" s="62"/>
      <c r="Q187" s="62"/>
      <c r="R187" s="62"/>
      <c r="S187" s="62"/>
    </row>
    <row r="188">
      <c r="A188" s="59" t="s">
        <v>102</v>
      </c>
      <c r="B188" s="60">
        <v>3275.763</v>
      </c>
      <c r="C188" s="61">
        <v>2487.21</v>
      </c>
      <c r="D188" s="61">
        <v>1137.94</v>
      </c>
      <c r="E188" s="61">
        <v>5879.18</v>
      </c>
      <c r="F188" s="62">
        <f t="shared" si="1"/>
        <v>8147510.491</v>
      </c>
      <c r="G188" s="63">
        <f t="shared" si="2"/>
        <v>3727621.748</v>
      </c>
      <c r="H188" s="64">
        <f t="shared" si="3"/>
        <v>19258800.31</v>
      </c>
      <c r="I188" s="65" t="str">
        <f t="shared" si="4"/>
        <v>2,487 (1,138-5,879)</v>
      </c>
      <c r="J188" s="66" t="str">
        <f t="shared" si="5"/>
        <v>8,147,510 (3,727,622-19,258,800)</v>
      </c>
      <c r="K188" s="62"/>
      <c r="L188" s="62"/>
      <c r="M188" s="62"/>
      <c r="N188" s="62"/>
      <c r="O188" s="62"/>
      <c r="P188" s="62"/>
      <c r="Q188" s="62"/>
      <c r="R188" s="62"/>
      <c r="S188" s="62"/>
    </row>
    <row r="189">
      <c r="A189" s="59" t="s">
        <v>158</v>
      </c>
      <c r="B189" s="60">
        <v>18550.46</v>
      </c>
      <c r="C189" s="61">
        <v>767.89</v>
      </c>
      <c r="D189" s="61">
        <v>471.08</v>
      </c>
      <c r="E189" s="61">
        <v>1219.25</v>
      </c>
      <c r="F189" s="62">
        <f t="shared" si="1"/>
        <v>14244712.73</v>
      </c>
      <c r="G189" s="63">
        <f t="shared" si="2"/>
        <v>8738750.697</v>
      </c>
      <c r="H189" s="64">
        <f t="shared" si="3"/>
        <v>22617648.36</v>
      </c>
      <c r="I189" s="65" t="str">
        <f t="shared" si="4"/>
        <v>768 (471-1,219)</v>
      </c>
      <c r="J189" s="66" t="str">
        <f t="shared" si="5"/>
        <v>14,244,713 (8,738,751-22,617,648)</v>
      </c>
      <c r="K189" s="62"/>
      <c r="L189" s="62"/>
      <c r="M189" s="62"/>
      <c r="N189" s="62"/>
      <c r="O189" s="62"/>
      <c r="P189" s="62"/>
      <c r="Q189" s="62"/>
      <c r="R189" s="62"/>
      <c r="S189" s="62"/>
    </row>
    <row r="190">
      <c r="A190" s="59" t="s">
        <v>47</v>
      </c>
      <c r="B190" s="60">
        <v>77958.9</v>
      </c>
      <c r="C190" s="61">
        <v>381.37</v>
      </c>
      <c r="D190" s="61">
        <v>232.39</v>
      </c>
      <c r="E190" s="61">
        <v>595.02</v>
      </c>
      <c r="F190" s="62">
        <f t="shared" si="1"/>
        <v>29731185.69</v>
      </c>
      <c r="G190" s="63">
        <f t="shared" si="2"/>
        <v>18116868.77</v>
      </c>
      <c r="H190" s="64">
        <f t="shared" si="3"/>
        <v>46387104.68</v>
      </c>
      <c r="I190" s="65" t="str">
        <f t="shared" si="4"/>
        <v>381 (232-595)</v>
      </c>
      <c r="J190" s="66" t="str">
        <f t="shared" si="5"/>
        <v>29,731,186 (18,116,869-46,387,105)</v>
      </c>
      <c r="K190" s="62"/>
      <c r="L190" s="62"/>
      <c r="M190" s="62"/>
      <c r="N190" s="62"/>
      <c r="O190" s="62"/>
      <c r="P190" s="62"/>
      <c r="Q190" s="62"/>
      <c r="R190" s="62"/>
      <c r="S190" s="62"/>
    </row>
    <row r="191">
      <c r="A191" s="59" t="s">
        <v>194</v>
      </c>
      <c r="B191" s="60">
        <v>60620.38</v>
      </c>
      <c r="C191" s="61">
        <v>1474.43</v>
      </c>
      <c r="D191" s="61">
        <v>898.47</v>
      </c>
      <c r="E191" s="61">
        <v>2251.81</v>
      </c>
      <c r="F191" s="62">
        <f t="shared" si="1"/>
        <v>89380506.88</v>
      </c>
      <c r="G191" s="63">
        <f t="shared" si="2"/>
        <v>54465592.82</v>
      </c>
      <c r="H191" s="64">
        <f t="shared" si="3"/>
        <v>136505577.9</v>
      </c>
      <c r="I191" s="65" t="str">
        <f t="shared" si="4"/>
        <v>1,474 (898-2,252)</v>
      </c>
      <c r="J191" s="66" t="str">
        <f t="shared" si="5"/>
        <v>89,380,507 (54,465,593-136,505,578)</v>
      </c>
      <c r="K191" s="62"/>
      <c r="L191" s="62"/>
      <c r="M191" s="62"/>
      <c r="N191" s="62"/>
      <c r="O191" s="62"/>
      <c r="P191" s="62"/>
      <c r="Q191" s="62"/>
      <c r="R191" s="62"/>
      <c r="S191" s="62"/>
    </row>
    <row r="192">
      <c r="A192" s="59" t="s">
        <v>167</v>
      </c>
      <c r="B192" s="60">
        <v>85809.9</v>
      </c>
      <c r="C192" s="61">
        <v>4229.58</v>
      </c>
      <c r="D192" s="61">
        <v>2549.9</v>
      </c>
      <c r="E192" s="61">
        <v>6569.71</v>
      </c>
      <c r="F192" s="62">
        <f t="shared" si="1"/>
        <v>362939836.8</v>
      </c>
      <c r="G192" s="63">
        <f t="shared" si="2"/>
        <v>218806664</v>
      </c>
      <c r="H192" s="64">
        <f t="shared" si="3"/>
        <v>563746158.1</v>
      </c>
      <c r="I192" s="65" t="str">
        <f t="shared" si="4"/>
        <v>4,230 (2,550-6,570)</v>
      </c>
      <c r="J192" s="66" t="str">
        <f t="shared" si="5"/>
        <v>362,939,837 (218,806,664-563,746,158)</v>
      </c>
      <c r="K192" s="62"/>
      <c r="L192" s="62"/>
      <c r="M192" s="62"/>
      <c r="N192" s="62"/>
      <c r="O192" s="62"/>
      <c r="P192" s="62"/>
      <c r="Q192" s="62"/>
      <c r="R192" s="62"/>
      <c r="S192" s="62"/>
    </row>
    <row r="193">
      <c r="A193" s="59" t="s">
        <v>170</v>
      </c>
      <c r="B193" s="60">
        <v>36417.87</v>
      </c>
      <c r="C193" s="61">
        <v>32.04</v>
      </c>
      <c r="D193" s="61">
        <v>20.17</v>
      </c>
      <c r="E193" s="61">
        <v>49.15</v>
      </c>
      <c r="F193" s="62">
        <f t="shared" si="1"/>
        <v>1166828.555</v>
      </c>
      <c r="G193" s="63">
        <f t="shared" si="2"/>
        <v>734548.4379</v>
      </c>
      <c r="H193" s="64">
        <f t="shared" si="3"/>
        <v>1789938.311</v>
      </c>
      <c r="I193" s="65" t="str">
        <f t="shared" si="4"/>
        <v>32 (20-49)</v>
      </c>
      <c r="J193" s="66" t="str">
        <f t="shared" si="5"/>
        <v>1,166,829 (734,548-1,789,938)</v>
      </c>
      <c r="K193" s="62"/>
      <c r="L193" s="62"/>
      <c r="M193" s="62"/>
      <c r="N193" s="62"/>
      <c r="O193" s="62"/>
      <c r="P193" s="62"/>
      <c r="Q193" s="62"/>
      <c r="R193" s="62"/>
      <c r="S193" s="62"/>
    </row>
    <row r="194">
      <c r="A194" s="59" t="s">
        <v>138</v>
      </c>
      <c r="B194" s="60">
        <v>11878.55</v>
      </c>
      <c r="C194" s="61">
        <v>1987.47</v>
      </c>
      <c r="D194" s="61">
        <v>1329.24</v>
      </c>
      <c r="E194" s="61">
        <v>2908.6</v>
      </c>
      <c r="F194" s="62">
        <f t="shared" si="1"/>
        <v>23608261.77</v>
      </c>
      <c r="G194" s="63">
        <f t="shared" si="2"/>
        <v>15789443.8</v>
      </c>
      <c r="H194" s="64">
        <f t="shared" si="3"/>
        <v>34549950.53</v>
      </c>
      <c r="I194" s="65" t="str">
        <f t="shared" si="4"/>
        <v>1,987 (1,329-2,909)</v>
      </c>
      <c r="J194" s="66" t="str">
        <f t="shared" si="5"/>
        <v>23,608,262 (15,789,444-34,549,951)</v>
      </c>
      <c r="K194" s="62"/>
      <c r="L194" s="62"/>
      <c r="M194" s="62"/>
      <c r="N194" s="62"/>
      <c r="O194" s="62"/>
      <c r="P194" s="62"/>
      <c r="Q194" s="62"/>
      <c r="R194" s="62"/>
      <c r="S194" s="62"/>
    </row>
    <row r="195">
      <c r="A195" s="59" t="s">
        <v>70</v>
      </c>
      <c r="B195" s="60">
        <v>3602.407</v>
      </c>
      <c r="C195" s="61">
        <v>23.83</v>
      </c>
      <c r="D195" s="61">
        <v>7.74</v>
      </c>
      <c r="E195" s="61">
        <v>61.8</v>
      </c>
      <c r="F195" s="62">
        <f t="shared" si="1"/>
        <v>85845.35881</v>
      </c>
      <c r="G195" s="63">
        <f t="shared" si="2"/>
        <v>27882.63018</v>
      </c>
      <c r="H195" s="64">
        <f t="shared" si="3"/>
        <v>222628.7526</v>
      </c>
      <c r="I195" s="65" t="str">
        <f t="shared" si="4"/>
        <v>24 (8-62)</v>
      </c>
      <c r="J195" s="66" t="str">
        <f t="shared" si="5"/>
        <v>85,845 (27,883-222,629)</v>
      </c>
      <c r="K195" s="62"/>
      <c r="L195" s="62"/>
      <c r="M195" s="62"/>
      <c r="N195" s="62"/>
      <c r="O195" s="62"/>
      <c r="P195" s="62"/>
      <c r="Q195" s="62"/>
      <c r="R195" s="62"/>
      <c r="S195" s="62"/>
    </row>
    <row r="196">
      <c r="A196" s="59" t="s">
        <v>225</v>
      </c>
      <c r="B196" s="60">
        <v>17349.2</v>
      </c>
      <c r="C196" s="61">
        <v>1187.91</v>
      </c>
      <c r="D196" s="61">
        <v>796.92</v>
      </c>
      <c r="E196" s="61">
        <v>1747.57</v>
      </c>
      <c r="F196" s="62">
        <f t="shared" si="1"/>
        <v>20609288.17</v>
      </c>
      <c r="G196" s="63">
        <f t="shared" si="2"/>
        <v>13825924.46</v>
      </c>
      <c r="H196" s="64">
        <f t="shared" si="3"/>
        <v>30318941.44</v>
      </c>
      <c r="I196" s="65" t="str">
        <f t="shared" si="4"/>
        <v>1,188 (797-1,748)</v>
      </c>
      <c r="J196" s="66" t="str">
        <f t="shared" si="5"/>
        <v>20,609,288 (13,825,924-30,318,941)</v>
      </c>
      <c r="K196" s="62"/>
      <c r="L196" s="62"/>
      <c r="M196" s="62"/>
      <c r="N196" s="62"/>
      <c r="O196" s="62"/>
      <c r="P196" s="62"/>
      <c r="Q196" s="62"/>
      <c r="R196" s="62"/>
      <c r="S196" s="62"/>
    </row>
    <row r="197">
      <c r="A197" s="59" t="s">
        <v>83</v>
      </c>
      <c r="B197" s="60">
        <v>16385.51</v>
      </c>
      <c r="C197" s="61">
        <v>1927.73</v>
      </c>
      <c r="D197" s="61">
        <v>1231.43</v>
      </c>
      <c r="E197" s="61">
        <v>2955.78</v>
      </c>
      <c r="F197" s="62">
        <f t="shared" si="1"/>
        <v>31586839.19</v>
      </c>
      <c r="G197" s="63">
        <f t="shared" si="2"/>
        <v>20177608.58</v>
      </c>
      <c r="H197" s="64">
        <f t="shared" si="3"/>
        <v>48431962.75</v>
      </c>
      <c r="I197" s="65" t="str">
        <f t="shared" si="4"/>
        <v>1,928 (1,231-2,956)</v>
      </c>
      <c r="J197" s="66" t="str">
        <f t="shared" si="5"/>
        <v>31,586,839 (20,177,609-48,431,963)</v>
      </c>
      <c r="K197" s="62"/>
      <c r="L197" s="62"/>
      <c r="M197" s="62"/>
      <c r="N197" s="62"/>
      <c r="O197" s="62"/>
      <c r="P197" s="62"/>
      <c r="Q197" s="62"/>
      <c r="R197" s="62"/>
      <c r="S197" s="62"/>
    </row>
    <row r="198">
      <c r="A198" s="59" t="s">
        <v>48</v>
      </c>
      <c r="B198" s="60">
        <v>3164.3</v>
      </c>
      <c r="C198" s="61">
        <v>8533.91</v>
      </c>
      <c r="D198" s="61">
        <v>2983.74</v>
      </c>
      <c r="E198" s="61">
        <v>29975.04</v>
      </c>
      <c r="F198" s="62">
        <f t="shared" si="1"/>
        <v>27003851.41</v>
      </c>
      <c r="G198" s="63">
        <f t="shared" si="2"/>
        <v>9441448.482</v>
      </c>
      <c r="H198" s="64">
        <f t="shared" si="3"/>
        <v>94850019.07</v>
      </c>
      <c r="I198" s="65" t="str">
        <f t="shared" si="4"/>
        <v>8,534 (2,984-29,975)</v>
      </c>
      <c r="J198" s="66" t="str">
        <f t="shared" si="5"/>
        <v>27,003,851 (9,441,448-94,850,019)</v>
      </c>
      <c r="K198" s="62"/>
      <c r="L198" s="62"/>
      <c r="M198" s="62"/>
      <c r="N198" s="62"/>
      <c r="O198" s="62"/>
      <c r="P198" s="62"/>
      <c r="Q198" s="62"/>
      <c r="R198" s="62"/>
      <c r="S198" s="62"/>
    </row>
    <row r="199">
      <c r="A199" s="59" t="s">
        <v>104</v>
      </c>
      <c r="B199" s="60">
        <v>4223.95</v>
      </c>
      <c r="C199" s="61">
        <v>1653.8</v>
      </c>
      <c r="D199" s="61">
        <v>707.59</v>
      </c>
      <c r="E199" s="61">
        <v>4012.6</v>
      </c>
      <c r="F199" s="62">
        <f t="shared" si="1"/>
        <v>6985568.51</v>
      </c>
      <c r="G199" s="63">
        <f t="shared" si="2"/>
        <v>2988824.781</v>
      </c>
      <c r="H199" s="64">
        <f t="shared" si="3"/>
        <v>16949021.77</v>
      </c>
      <c r="I199" s="65" t="str">
        <f t="shared" si="4"/>
        <v>1,654 (708-4,013)</v>
      </c>
      <c r="J199" s="66" t="str">
        <f t="shared" si="5"/>
        <v>6,985,569 (2,988,825-16,949,022)</v>
      </c>
      <c r="K199" s="62"/>
      <c r="L199" s="62"/>
      <c r="M199" s="62"/>
      <c r="N199" s="62"/>
      <c r="O199" s="62"/>
      <c r="P199" s="62"/>
      <c r="Q199" s="62"/>
      <c r="R199" s="62"/>
      <c r="S199" s="62"/>
    </row>
    <row r="200">
      <c r="A200" s="59" t="s">
        <v>110</v>
      </c>
      <c r="B200" s="60">
        <v>3921.698</v>
      </c>
      <c r="C200" s="61">
        <v>2548.75</v>
      </c>
      <c r="D200" s="61">
        <v>1419.21</v>
      </c>
      <c r="E200" s="61">
        <v>4551.21</v>
      </c>
      <c r="F200" s="62">
        <f t="shared" si="1"/>
        <v>9995427.778</v>
      </c>
      <c r="G200" s="63">
        <f t="shared" si="2"/>
        <v>5565713.019</v>
      </c>
      <c r="H200" s="64">
        <f t="shared" si="3"/>
        <v>17848471.15</v>
      </c>
      <c r="I200" s="65" t="str">
        <f t="shared" si="4"/>
        <v>2,549 (1,419-4,551)</v>
      </c>
      <c r="J200" s="66" t="str">
        <f t="shared" si="5"/>
        <v>9,995,428 (5,565,713-17,848,471)</v>
      </c>
      <c r="K200" s="62"/>
      <c r="L200" s="62"/>
      <c r="M200" s="62"/>
      <c r="N200" s="62"/>
      <c r="O200" s="62"/>
      <c r="P200" s="62"/>
      <c r="Q200" s="62"/>
      <c r="R200" s="62"/>
      <c r="S200" s="62"/>
    </row>
    <row r="201">
      <c r="A201" s="67"/>
      <c r="B201" s="68"/>
      <c r="C201" s="62"/>
      <c r="D201" s="62"/>
      <c r="E201" s="62"/>
      <c r="F201" s="62"/>
      <c r="G201" s="63"/>
      <c r="H201" s="64"/>
      <c r="I201" s="69"/>
      <c r="J201" s="64"/>
      <c r="K201" s="62"/>
      <c r="L201" s="62"/>
      <c r="M201" s="62"/>
      <c r="N201" s="62"/>
      <c r="O201" s="62"/>
      <c r="P201" s="62"/>
      <c r="Q201" s="62"/>
      <c r="R201" s="62"/>
      <c r="S201" s="62"/>
    </row>
    <row r="202">
      <c r="A202" s="67"/>
      <c r="B202" s="68"/>
      <c r="C202" s="62"/>
      <c r="D202" s="62"/>
      <c r="E202" s="62"/>
      <c r="F202" s="62"/>
      <c r="G202" s="63"/>
      <c r="H202" s="64"/>
      <c r="I202" s="69"/>
      <c r="J202" s="64"/>
      <c r="K202" s="62"/>
      <c r="L202" s="62"/>
      <c r="M202" s="62"/>
      <c r="N202" s="62"/>
      <c r="O202" s="62"/>
      <c r="P202" s="62"/>
      <c r="Q202" s="62"/>
      <c r="R202" s="62"/>
      <c r="S202" s="62"/>
    </row>
    <row r="203">
      <c r="A203" s="67"/>
      <c r="B203" s="68"/>
      <c r="C203" s="62"/>
      <c r="D203" s="62"/>
      <c r="E203" s="62"/>
      <c r="F203" s="62"/>
      <c r="G203" s="63"/>
      <c r="H203" s="64"/>
      <c r="I203" s="69"/>
      <c r="J203" s="64"/>
      <c r="K203" s="62"/>
      <c r="L203" s="62"/>
      <c r="M203" s="62"/>
      <c r="N203" s="62"/>
      <c r="O203" s="62"/>
      <c r="P203" s="62"/>
      <c r="Q203" s="62"/>
      <c r="R203" s="62"/>
      <c r="S203" s="62"/>
    </row>
    <row r="204">
      <c r="A204" s="67"/>
      <c r="B204" s="68"/>
      <c r="C204" s="62"/>
      <c r="D204" s="62"/>
      <c r="E204" s="62"/>
      <c r="F204" s="62"/>
      <c r="G204" s="63"/>
      <c r="H204" s="64"/>
      <c r="I204" s="69"/>
      <c r="J204" s="64"/>
      <c r="K204" s="62"/>
      <c r="L204" s="62"/>
      <c r="M204" s="62"/>
      <c r="N204" s="62"/>
      <c r="O204" s="62"/>
      <c r="P204" s="62"/>
      <c r="Q204" s="62"/>
      <c r="R204" s="62"/>
      <c r="S204" s="62"/>
    </row>
    <row r="205">
      <c r="A205" s="67"/>
      <c r="B205" s="68"/>
      <c r="C205" s="62"/>
      <c r="D205" s="62"/>
      <c r="E205" s="62"/>
      <c r="F205" s="62"/>
      <c r="G205" s="63"/>
      <c r="H205" s="64"/>
      <c r="I205" s="69"/>
      <c r="J205" s="64"/>
      <c r="K205" s="62"/>
      <c r="L205" s="62"/>
      <c r="M205" s="62"/>
      <c r="N205" s="62"/>
      <c r="O205" s="62"/>
      <c r="P205" s="62"/>
      <c r="Q205" s="62"/>
      <c r="R205" s="62"/>
      <c r="S205" s="62"/>
    </row>
    <row r="206">
      <c r="A206" s="67"/>
      <c r="B206" s="68"/>
      <c r="C206" s="62"/>
      <c r="D206" s="62"/>
      <c r="E206" s="62"/>
      <c r="F206" s="62"/>
      <c r="G206" s="63"/>
      <c r="H206" s="64"/>
      <c r="I206" s="69"/>
      <c r="J206" s="64"/>
      <c r="K206" s="62"/>
      <c r="L206" s="62"/>
      <c r="M206" s="62"/>
      <c r="N206" s="62"/>
      <c r="O206" s="62"/>
      <c r="P206" s="62"/>
      <c r="Q206" s="62"/>
      <c r="R206" s="62"/>
      <c r="S206" s="62"/>
    </row>
    <row r="207">
      <c r="A207" s="67"/>
      <c r="B207" s="68"/>
      <c r="C207" s="62"/>
      <c r="D207" s="62"/>
      <c r="E207" s="62"/>
      <c r="F207" s="62"/>
      <c r="G207" s="63"/>
      <c r="H207" s="64"/>
      <c r="I207" s="69"/>
      <c r="J207" s="64"/>
      <c r="K207" s="62"/>
      <c r="L207" s="62"/>
      <c r="M207" s="62"/>
      <c r="N207" s="62"/>
      <c r="O207" s="62"/>
      <c r="P207" s="62"/>
      <c r="Q207" s="62"/>
      <c r="R207" s="62"/>
      <c r="S207" s="62"/>
    </row>
    <row r="208">
      <c r="A208" s="67"/>
      <c r="B208" s="68"/>
      <c r="C208" s="62"/>
      <c r="D208" s="62"/>
      <c r="E208" s="62"/>
      <c r="F208" s="62"/>
      <c r="G208" s="63"/>
      <c r="H208" s="64"/>
      <c r="I208" s="69"/>
      <c r="J208" s="64"/>
      <c r="K208" s="62"/>
      <c r="L208" s="62"/>
      <c r="M208" s="62"/>
      <c r="N208" s="62"/>
      <c r="O208" s="62"/>
      <c r="P208" s="62"/>
      <c r="Q208" s="62"/>
      <c r="R208" s="62"/>
      <c r="S208" s="62"/>
    </row>
    <row r="209">
      <c r="A209" s="67"/>
      <c r="B209" s="68"/>
      <c r="C209" s="62"/>
      <c r="D209" s="62"/>
      <c r="E209" s="62"/>
      <c r="F209" s="62"/>
      <c r="G209" s="63"/>
      <c r="H209" s="64"/>
      <c r="I209" s="69"/>
      <c r="J209" s="64"/>
      <c r="K209" s="62"/>
      <c r="L209" s="62"/>
      <c r="M209" s="62"/>
      <c r="N209" s="62"/>
      <c r="O209" s="62"/>
      <c r="P209" s="62"/>
      <c r="Q209" s="62"/>
      <c r="R209" s="62"/>
      <c r="S209" s="62"/>
    </row>
    <row r="210">
      <c r="A210" s="67"/>
      <c r="B210" s="68"/>
      <c r="C210" s="62"/>
      <c r="D210" s="62"/>
      <c r="E210" s="62"/>
      <c r="F210" s="62"/>
      <c r="G210" s="63"/>
      <c r="H210" s="64"/>
      <c r="I210" s="69"/>
      <c r="J210" s="64"/>
      <c r="K210" s="62"/>
      <c r="L210" s="62"/>
      <c r="M210" s="62"/>
      <c r="N210" s="62"/>
      <c r="O210" s="62"/>
      <c r="P210" s="62"/>
      <c r="Q210" s="62"/>
      <c r="R210" s="62"/>
      <c r="S210" s="62"/>
    </row>
    <row r="211">
      <c r="A211" s="67"/>
      <c r="B211" s="68"/>
      <c r="C211" s="62"/>
      <c r="D211" s="62"/>
      <c r="E211" s="62"/>
      <c r="F211" s="62"/>
      <c r="G211" s="63"/>
      <c r="H211" s="64"/>
      <c r="I211" s="69"/>
      <c r="J211" s="64"/>
      <c r="K211" s="62"/>
      <c r="L211" s="62"/>
      <c r="M211" s="62"/>
      <c r="N211" s="62"/>
      <c r="O211" s="62"/>
      <c r="P211" s="62"/>
      <c r="Q211" s="62"/>
      <c r="R211" s="62"/>
      <c r="S211" s="62"/>
    </row>
    <row r="212">
      <c r="A212" s="67"/>
      <c r="B212" s="68"/>
      <c r="C212" s="62"/>
      <c r="D212" s="62"/>
      <c r="E212" s="62"/>
      <c r="F212" s="62"/>
      <c r="G212" s="63"/>
      <c r="H212" s="64"/>
      <c r="I212" s="69"/>
      <c r="J212" s="64"/>
      <c r="K212" s="62"/>
      <c r="L212" s="62"/>
      <c r="M212" s="62"/>
      <c r="N212" s="62"/>
      <c r="O212" s="62"/>
      <c r="P212" s="62"/>
      <c r="Q212" s="62"/>
      <c r="R212" s="62"/>
      <c r="S212" s="62"/>
    </row>
    <row r="213">
      <c r="A213" s="67"/>
      <c r="B213" s="68"/>
      <c r="C213" s="62"/>
      <c r="D213" s="62"/>
      <c r="E213" s="62"/>
      <c r="F213" s="62"/>
      <c r="G213" s="63"/>
      <c r="H213" s="64"/>
      <c r="I213" s="69"/>
      <c r="J213" s="64"/>
      <c r="K213" s="62"/>
      <c r="L213" s="62"/>
      <c r="M213" s="62"/>
      <c r="N213" s="62"/>
      <c r="O213" s="62"/>
      <c r="P213" s="62"/>
      <c r="Q213" s="62"/>
      <c r="R213" s="62"/>
      <c r="S213" s="62"/>
    </row>
    <row r="214">
      <c r="A214" s="67"/>
      <c r="B214" s="68"/>
      <c r="C214" s="62"/>
      <c r="D214" s="62"/>
      <c r="E214" s="62"/>
      <c r="F214" s="62"/>
      <c r="G214" s="63"/>
      <c r="H214" s="64"/>
      <c r="I214" s="69"/>
      <c r="J214" s="64"/>
      <c r="K214" s="62"/>
      <c r="L214" s="62"/>
      <c r="M214" s="62"/>
      <c r="N214" s="62"/>
      <c r="O214" s="62"/>
      <c r="P214" s="62"/>
      <c r="Q214" s="62"/>
      <c r="R214" s="62"/>
      <c r="S214" s="62"/>
    </row>
    <row r="215">
      <c r="A215" s="67"/>
      <c r="B215" s="68"/>
      <c r="C215" s="62"/>
      <c r="D215" s="62"/>
      <c r="E215" s="62"/>
      <c r="F215" s="62"/>
      <c r="G215" s="63"/>
      <c r="H215" s="64"/>
      <c r="I215" s="69"/>
      <c r="J215" s="64"/>
      <c r="K215" s="62"/>
      <c r="L215" s="62"/>
      <c r="M215" s="62"/>
      <c r="N215" s="62"/>
      <c r="O215" s="62"/>
      <c r="P215" s="62"/>
      <c r="Q215" s="62"/>
      <c r="R215" s="62"/>
      <c r="S215" s="62"/>
    </row>
    <row r="216">
      <c r="A216" s="67"/>
      <c r="B216" s="68"/>
      <c r="C216" s="62"/>
      <c r="D216" s="62"/>
      <c r="E216" s="62"/>
      <c r="F216" s="62"/>
      <c r="G216" s="63"/>
      <c r="H216" s="64"/>
      <c r="I216" s="69"/>
      <c r="J216" s="64"/>
      <c r="K216" s="62"/>
      <c r="L216" s="62"/>
      <c r="M216" s="62"/>
      <c r="N216" s="62"/>
      <c r="O216" s="62"/>
      <c r="P216" s="62"/>
      <c r="Q216" s="62"/>
      <c r="R216" s="62"/>
      <c r="S216" s="62"/>
    </row>
    <row r="217">
      <c r="A217" s="67"/>
      <c r="B217" s="68"/>
      <c r="C217" s="62"/>
      <c r="D217" s="62"/>
      <c r="E217" s="62"/>
      <c r="F217" s="62"/>
      <c r="G217" s="63"/>
      <c r="H217" s="64"/>
      <c r="I217" s="69"/>
      <c r="J217" s="64"/>
      <c r="K217" s="62"/>
      <c r="L217" s="62"/>
      <c r="M217" s="62"/>
      <c r="N217" s="62"/>
      <c r="O217" s="62"/>
      <c r="P217" s="62"/>
      <c r="Q217" s="62"/>
      <c r="R217" s="62"/>
      <c r="S217" s="62"/>
    </row>
    <row r="218">
      <c r="A218" s="67"/>
      <c r="B218" s="68"/>
      <c r="C218" s="62"/>
      <c r="D218" s="62"/>
      <c r="E218" s="62"/>
      <c r="F218" s="62"/>
      <c r="G218" s="63"/>
      <c r="H218" s="64"/>
      <c r="I218" s="69"/>
      <c r="J218" s="64"/>
      <c r="K218" s="62"/>
      <c r="L218" s="62"/>
      <c r="M218" s="62"/>
      <c r="N218" s="62"/>
      <c r="O218" s="62"/>
      <c r="P218" s="62"/>
      <c r="Q218" s="62"/>
      <c r="R218" s="62"/>
      <c r="S218" s="62"/>
    </row>
    <row r="219">
      <c r="A219" s="67"/>
      <c r="B219" s="68"/>
      <c r="C219" s="62"/>
      <c r="D219" s="62"/>
      <c r="E219" s="62"/>
      <c r="F219" s="62"/>
      <c r="G219" s="63"/>
      <c r="H219" s="64"/>
      <c r="I219" s="69"/>
      <c r="J219" s="64"/>
      <c r="K219" s="62"/>
      <c r="L219" s="62"/>
      <c r="M219" s="62"/>
      <c r="N219" s="62"/>
      <c r="O219" s="62"/>
      <c r="P219" s="62"/>
      <c r="Q219" s="62"/>
      <c r="R219" s="62"/>
      <c r="S219" s="62"/>
    </row>
    <row r="220">
      <c r="A220" s="67"/>
      <c r="B220" s="68"/>
      <c r="C220" s="62"/>
      <c r="D220" s="62"/>
      <c r="E220" s="62"/>
      <c r="F220" s="62"/>
      <c r="G220" s="63"/>
      <c r="H220" s="64"/>
      <c r="I220" s="69"/>
      <c r="J220" s="64"/>
      <c r="K220" s="62"/>
      <c r="L220" s="62"/>
      <c r="M220" s="62"/>
      <c r="N220" s="62"/>
      <c r="O220" s="62"/>
      <c r="P220" s="62"/>
      <c r="Q220" s="62"/>
      <c r="R220" s="62"/>
      <c r="S220" s="62"/>
    </row>
    <row r="221">
      <c r="A221" s="67"/>
      <c r="B221" s="68"/>
      <c r="C221" s="62"/>
      <c r="D221" s="62"/>
      <c r="E221" s="62"/>
      <c r="F221" s="62"/>
      <c r="G221" s="63"/>
      <c r="H221" s="64"/>
      <c r="I221" s="69"/>
      <c r="J221" s="64"/>
      <c r="K221" s="62"/>
      <c r="L221" s="62"/>
      <c r="M221" s="62"/>
      <c r="N221" s="62"/>
      <c r="O221" s="62"/>
      <c r="P221" s="62"/>
      <c r="Q221" s="62"/>
      <c r="R221" s="62"/>
      <c r="S221" s="62"/>
    </row>
    <row r="222">
      <c r="A222" s="67"/>
      <c r="B222" s="68"/>
      <c r="C222" s="62"/>
      <c r="D222" s="62"/>
      <c r="E222" s="62"/>
      <c r="F222" s="62"/>
      <c r="G222" s="63"/>
      <c r="H222" s="64"/>
      <c r="I222" s="69"/>
      <c r="J222" s="64"/>
      <c r="K222" s="62"/>
      <c r="L222" s="62"/>
      <c r="M222" s="62"/>
      <c r="N222" s="62"/>
      <c r="O222" s="62"/>
      <c r="P222" s="62"/>
      <c r="Q222" s="62"/>
      <c r="R222" s="62"/>
      <c r="S222" s="62"/>
    </row>
    <row r="223">
      <c r="A223" s="67"/>
      <c r="B223" s="68"/>
      <c r="C223" s="62"/>
      <c r="D223" s="62"/>
      <c r="E223" s="62"/>
      <c r="F223" s="62"/>
      <c r="G223" s="63"/>
      <c r="H223" s="64"/>
      <c r="I223" s="69"/>
      <c r="J223" s="64"/>
      <c r="K223" s="62"/>
      <c r="L223" s="62"/>
      <c r="M223" s="62"/>
      <c r="N223" s="62"/>
      <c r="O223" s="62"/>
      <c r="P223" s="62"/>
      <c r="Q223" s="62"/>
      <c r="R223" s="62"/>
      <c r="S223" s="62"/>
    </row>
    <row r="224">
      <c r="A224" s="67"/>
      <c r="B224" s="68"/>
      <c r="C224" s="62"/>
      <c r="D224" s="62"/>
      <c r="E224" s="62"/>
      <c r="F224" s="62"/>
      <c r="G224" s="63"/>
      <c r="H224" s="64"/>
      <c r="I224" s="69"/>
      <c r="J224" s="64"/>
      <c r="K224" s="62"/>
      <c r="L224" s="62"/>
      <c r="M224" s="62"/>
      <c r="N224" s="62"/>
      <c r="O224" s="62"/>
      <c r="P224" s="62"/>
      <c r="Q224" s="62"/>
      <c r="R224" s="62"/>
      <c r="S224" s="62"/>
    </row>
    <row r="225">
      <c r="A225" s="67"/>
      <c r="B225" s="68"/>
      <c r="C225" s="62"/>
      <c r="D225" s="62"/>
      <c r="E225" s="62"/>
      <c r="F225" s="62"/>
      <c r="G225" s="63"/>
      <c r="H225" s="64"/>
      <c r="I225" s="69"/>
      <c r="J225" s="64"/>
      <c r="K225" s="62"/>
      <c r="L225" s="62"/>
      <c r="M225" s="62"/>
      <c r="N225" s="62"/>
      <c r="O225" s="62"/>
      <c r="P225" s="62"/>
      <c r="Q225" s="62"/>
      <c r="R225" s="62"/>
      <c r="S225" s="62"/>
    </row>
    <row r="226">
      <c r="A226" s="67"/>
      <c r="B226" s="68"/>
      <c r="C226" s="62"/>
      <c r="D226" s="62"/>
      <c r="E226" s="62"/>
      <c r="F226" s="62"/>
      <c r="G226" s="63"/>
      <c r="H226" s="64"/>
      <c r="I226" s="69"/>
      <c r="J226" s="64"/>
      <c r="K226" s="62"/>
      <c r="L226" s="62"/>
      <c r="M226" s="62"/>
      <c r="N226" s="62"/>
      <c r="O226" s="62"/>
      <c r="P226" s="62"/>
      <c r="Q226" s="62"/>
      <c r="R226" s="62"/>
      <c r="S226" s="62"/>
    </row>
    <row r="227">
      <c r="A227" s="67"/>
      <c r="B227" s="68"/>
      <c r="C227" s="62"/>
      <c r="D227" s="62"/>
      <c r="E227" s="62"/>
      <c r="F227" s="62"/>
      <c r="G227" s="63"/>
      <c r="H227" s="64"/>
      <c r="I227" s="69"/>
      <c r="J227" s="64"/>
      <c r="K227" s="62"/>
      <c r="L227" s="62"/>
      <c r="M227" s="62"/>
      <c r="N227" s="62"/>
      <c r="O227" s="62"/>
      <c r="P227" s="62"/>
      <c r="Q227" s="62"/>
      <c r="R227" s="62"/>
      <c r="S227" s="62"/>
    </row>
    <row r="228">
      <c r="A228" s="67"/>
      <c r="B228" s="68"/>
      <c r="C228" s="62"/>
      <c r="D228" s="62"/>
      <c r="E228" s="62"/>
      <c r="F228" s="62"/>
      <c r="G228" s="63"/>
      <c r="H228" s="64"/>
      <c r="I228" s="69"/>
      <c r="J228" s="64"/>
      <c r="K228" s="62"/>
      <c r="L228" s="62"/>
      <c r="M228" s="62"/>
      <c r="N228" s="62"/>
      <c r="O228" s="62"/>
      <c r="P228" s="62"/>
      <c r="Q228" s="62"/>
      <c r="R228" s="62"/>
      <c r="S228" s="62"/>
    </row>
    <row r="229">
      <c r="A229" s="67"/>
      <c r="B229" s="68"/>
      <c r="C229" s="62"/>
      <c r="D229" s="62"/>
      <c r="E229" s="62"/>
      <c r="F229" s="62"/>
      <c r="G229" s="63"/>
      <c r="H229" s="64"/>
      <c r="I229" s="69"/>
      <c r="J229" s="64"/>
      <c r="K229" s="62"/>
      <c r="L229" s="62"/>
      <c r="M229" s="62"/>
      <c r="N229" s="62"/>
      <c r="O229" s="62"/>
      <c r="P229" s="62"/>
      <c r="Q229" s="62"/>
      <c r="R229" s="62"/>
      <c r="S229" s="62"/>
    </row>
    <row r="230">
      <c r="A230" s="67"/>
      <c r="B230" s="68"/>
      <c r="C230" s="62"/>
      <c r="D230" s="62"/>
      <c r="E230" s="62"/>
      <c r="F230" s="62"/>
      <c r="G230" s="63"/>
      <c r="H230" s="64"/>
      <c r="I230" s="69"/>
      <c r="J230" s="64"/>
      <c r="K230" s="62"/>
      <c r="L230" s="62"/>
      <c r="M230" s="62"/>
      <c r="N230" s="62"/>
      <c r="O230" s="62"/>
      <c r="P230" s="62"/>
      <c r="Q230" s="62"/>
      <c r="R230" s="62"/>
      <c r="S230" s="62"/>
    </row>
    <row r="231">
      <c r="A231" s="67"/>
      <c r="B231" s="68"/>
      <c r="C231" s="62"/>
      <c r="D231" s="62"/>
      <c r="E231" s="62"/>
      <c r="F231" s="62"/>
      <c r="G231" s="63"/>
      <c r="H231" s="64"/>
      <c r="I231" s="69"/>
      <c r="J231" s="64"/>
      <c r="K231" s="62"/>
      <c r="L231" s="62"/>
      <c r="M231" s="62"/>
      <c r="N231" s="62"/>
      <c r="O231" s="62"/>
      <c r="P231" s="62"/>
      <c r="Q231" s="62"/>
      <c r="R231" s="62"/>
      <c r="S231" s="62"/>
    </row>
    <row r="232">
      <c r="A232" s="67"/>
      <c r="B232" s="68"/>
      <c r="C232" s="62"/>
      <c r="D232" s="62"/>
      <c r="E232" s="62"/>
      <c r="F232" s="62"/>
      <c r="G232" s="63"/>
      <c r="H232" s="64"/>
      <c r="I232" s="69"/>
      <c r="J232" s="64"/>
      <c r="K232" s="62"/>
      <c r="L232" s="62"/>
      <c r="M232" s="62"/>
      <c r="N232" s="62"/>
      <c r="O232" s="62"/>
      <c r="P232" s="62"/>
      <c r="Q232" s="62"/>
      <c r="R232" s="62"/>
      <c r="S232" s="62"/>
    </row>
    <row r="233">
      <c r="A233" s="67"/>
      <c r="B233" s="68"/>
      <c r="C233" s="62"/>
      <c r="D233" s="62"/>
      <c r="E233" s="62"/>
      <c r="F233" s="62"/>
      <c r="G233" s="63"/>
      <c r="H233" s="64"/>
      <c r="I233" s="69"/>
      <c r="J233" s="64"/>
      <c r="K233" s="62"/>
      <c r="L233" s="62"/>
      <c r="M233" s="62"/>
      <c r="N233" s="62"/>
      <c r="O233" s="62"/>
      <c r="P233" s="62"/>
      <c r="Q233" s="62"/>
      <c r="R233" s="62"/>
      <c r="S233" s="62"/>
    </row>
    <row r="234">
      <c r="A234" s="67"/>
      <c r="B234" s="68"/>
      <c r="C234" s="62"/>
      <c r="D234" s="62"/>
      <c r="E234" s="62"/>
      <c r="F234" s="62"/>
      <c r="G234" s="63"/>
      <c r="H234" s="64"/>
      <c r="I234" s="69"/>
      <c r="J234" s="64"/>
      <c r="K234" s="62"/>
      <c r="L234" s="62"/>
      <c r="M234" s="62"/>
      <c r="N234" s="62"/>
      <c r="O234" s="62"/>
      <c r="P234" s="62"/>
      <c r="Q234" s="62"/>
      <c r="R234" s="62"/>
      <c r="S234" s="62"/>
    </row>
    <row r="235">
      <c r="A235" s="67"/>
      <c r="B235" s="68"/>
      <c r="C235" s="62"/>
      <c r="D235" s="62"/>
      <c r="E235" s="62"/>
      <c r="F235" s="62"/>
      <c r="G235" s="63"/>
      <c r="H235" s="64"/>
      <c r="I235" s="69"/>
      <c r="J235" s="64"/>
      <c r="K235" s="62"/>
      <c r="L235" s="62"/>
      <c r="M235" s="62"/>
      <c r="N235" s="62"/>
      <c r="O235" s="62"/>
      <c r="P235" s="62"/>
      <c r="Q235" s="62"/>
      <c r="R235" s="62"/>
      <c r="S235" s="62"/>
    </row>
    <row r="236">
      <c r="A236" s="67"/>
      <c r="B236" s="68"/>
      <c r="C236" s="62"/>
      <c r="D236" s="62"/>
      <c r="E236" s="62"/>
      <c r="F236" s="62"/>
      <c r="G236" s="63"/>
      <c r="H236" s="64"/>
      <c r="I236" s="69"/>
      <c r="J236" s="64"/>
      <c r="K236" s="62"/>
      <c r="L236" s="62"/>
      <c r="M236" s="62"/>
      <c r="N236" s="62"/>
      <c r="O236" s="62"/>
      <c r="P236" s="62"/>
      <c r="Q236" s="62"/>
      <c r="R236" s="62"/>
      <c r="S236" s="62"/>
    </row>
    <row r="237">
      <c r="A237" s="67"/>
      <c r="B237" s="68"/>
      <c r="C237" s="62"/>
      <c r="D237" s="62"/>
      <c r="E237" s="62"/>
      <c r="F237" s="62"/>
      <c r="G237" s="63"/>
      <c r="H237" s="64"/>
      <c r="I237" s="69"/>
      <c r="J237" s="64"/>
      <c r="K237" s="62"/>
      <c r="L237" s="62"/>
      <c r="M237" s="62"/>
      <c r="N237" s="62"/>
      <c r="O237" s="62"/>
      <c r="P237" s="62"/>
      <c r="Q237" s="62"/>
      <c r="R237" s="62"/>
      <c r="S237" s="62"/>
    </row>
    <row r="238">
      <c r="A238" s="67"/>
      <c r="B238" s="68"/>
      <c r="C238" s="62"/>
      <c r="D238" s="62"/>
      <c r="E238" s="62"/>
      <c r="F238" s="62"/>
      <c r="G238" s="63"/>
      <c r="H238" s="64"/>
      <c r="I238" s="69"/>
      <c r="J238" s="64"/>
      <c r="K238" s="62"/>
      <c r="L238" s="62"/>
      <c r="M238" s="62"/>
      <c r="N238" s="62"/>
      <c r="O238" s="62"/>
      <c r="P238" s="62"/>
      <c r="Q238" s="62"/>
      <c r="R238" s="62"/>
      <c r="S238" s="62"/>
    </row>
    <row r="239">
      <c r="A239" s="67"/>
      <c r="B239" s="68"/>
      <c r="C239" s="62"/>
      <c r="D239" s="62"/>
      <c r="E239" s="62"/>
      <c r="F239" s="62"/>
      <c r="G239" s="63"/>
      <c r="H239" s="64"/>
      <c r="I239" s="69"/>
      <c r="J239" s="64"/>
      <c r="K239" s="62"/>
      <c r="L239" s="62"/>
      <c r="M239" s="62"/>
      <c r="N239" s="62"/>
      <c r="O239" s="62"/>
      <c r="P239" s="62"/>
      <c r="Q239" s="62"/>
      <c r="R239" s="62"/>
      <c r="S239" s="62"/>
    </row>
    <row r="240">
      <c r="A240" s="67"/>
      <c r="B240" s="68"/>
      <c r="C240" s="62"/>
      <c r="D240" s="62"/>
      <c r="E240" s="62"/>
      <c r="F240" s="62"/>
      <c r="G240" s="63"/>
      <c r="H240" s="64"/>
      <c r="I240" s="69"/>
      <c r="J240" s="64"/>
      <c r="K240" s="62"/>
      <c r="L240" s="62"/>
      <c r="M240" s="62"/>
      <c r="N240" s="62"/>
      <c r="O240" s="62"/>
      <c r="P240" s="62"/>
      <c r="Q240" s="62"/>
      <c r="R240" s="62"/>
      <c r="S240" s="62"/>
    </row>
    <row r="241">
      <c r="A241" s="67"/>
      <c r="B241" s="68"/>
      <c r="C241" s="62"/>
      <c r="D241" s="62"/>
      <c r="E241" s="62"/>
      <c r="F241" s="62"/>
      <c r="G241" s="63"/>
      <c r="H241" s="64"/>
      <c r="I241" s="69"/>
      <c r="J241" s="64"/>
      <c r="K241" s="62"/>
      <c r="L241" s="62"/>
      <c r="M241" s="62"/>
      <c r="N241" s="62"/>
      <c r="O241" s="62"/>
      <c r="P241" s="62"/>
      <c r="Q241" s="62"/>
      <c r="R241" s="62"/>
      <c r="S241" s="62"/>
    </row>
    <row r="242">
      <c r="A242" s="67"/>
      <c r="B242" s="68"/>
      <c r="C242" s="62"/>
      <c r="D242" s="62"/>
      <c r="E242" s="62"/>
      <c r="F242" s="62"/>
      <c r="G242" s="63"/>
      <c r="H242" s="64"/>
      <c r="I242" s="69"/>
      <c r="J242" s="64"/>
      <c r="K242" s="62"/>
      <c r="L242" s="62"/>
      <c r="M242" s="62"/>
      <c r="N242" s="62"/>
      <c r="O242" s="62"/>
      <c r="P242" s="62"/>
      <c r="Q242" s="62"/>
      <c r="R242" s="62"/>
      <c r="S242" s="62"/>
    </row>
    <row r="243">
      <c r="A243" s="67"/>
      <c r="B243" s="68"/>
      <c r="C243" s="62"/>
      <c r="D243" s="62"/>
      <c r="E243" s="62"/>
      <c r="F243" s="62"/>
      <c r="G243" s="63"/>
      <c r="H243" s="64"/>
      <c r="I243" s="69"/>
      <c r="J243" s="64"/>
      <c r="K243" s="62"/>
      <c r="L243" s="62"/>
      <c r="M243" s="62"/>
      <c r="N243" s="62"/>
      <c r="O243" s="62"/>
      <c r="P243" s="62"/>
      <c r="Q243" s="62"/>
      <c r="R243" s="62"/>
      <c r="S243" s="62"/>
    </row>
    <row r="244">
      <c r="A244" s="67"/>
      <c r="B244" s="68"/>
      <c r="C244" s="62"/>
      <c r="D244" s="62"/>
      <c r="E244" s="62"/>
      <c r="F244" s="62"/>
      <c r="G244" s="63"/>
      <c r="H244" s="64"/>
      <c r="I244" s="69"/>
      <c r="J244" s="64"/>
      <c r="K244" s="62"/>
      <c r="L244" s="62"/>
      <c r="M244" s="62"/>
      <c r="N244" s="62"/>
      <c r="O244" s="62"/>
      <c r="P244" s="62"/>
      <c r="Q244" s="62"/>
      <c r="R244" s="62"/>
      <c r="S244" s="62"/>
    </row>
    <row r="245">
      <c r="A245" s="67"/>
      <c r="B245" s="68"/>
      <c r="C245" s="62"/>
      <c r="D245" s="62"/>
      <c r="E245" s="62"/>
      <c r="F245" s="62"/>
      <c r="G245" s="63"/>
      <c r="H245" s="64"/>
      <c r="I245" s="69"/>
      <c r="J245" s="64"/>
      <c r="K245" s="62"/>
      <c r="L245" s="62"/>
      <c r="M245" s="62"/>
      <c r="N245" s="62"/>
      <c r="O245" s="62"/>
      <c r="P245" s="62"/>
      <c r="Q245" s="62"/>
      <c r="R245" s="62"/>
      <c r="S245" s="62"/>
    </row>
    <row r="246">
      <c r="A246" s="67"/>
      <c r="B246" s="68"/>
      <c r="C246" s="62"/>
      <c r="D246" s="62"/>
      <c r="E246" s="62"/>
      <c r="F246" s="62"/>
      <c r="G246" s="63"/>
      <c r="H246" s="64"/>
      <c r="I246" s="69"/>
      <c r="J246" s="64"/>
      <c r="K246" s="62"/>
      <c r="L246" s="62"/>
      <c r="M246" s="62"/>
      <c r="N246" s="62"/>
      <c r="O246" s="62"/>
      <c r="P246" s="62"/>
      <c r="Q246" s="62"/>
      <c r="R246" s="62"/>
      <c r="S246" s="62"/>
    </row>
    <row r="247">
      <c r="A247" s="67"/>
      <c r="B247" s="68"/>
      <c r="C247" s="62"/>
      <c r="D247" s="62"/>
      <c r="E247" s="62"/>
      <c r="F247" s="62"/>
      <c r="G247" s="63"/>
      <c r="H247" s="64"/>
      <c r="I247" s="69"/>
      <c r="J247" s="64"/>
      <c r="K247" s="62"/>
      <c r="L247" s="62"/>
      <c r="M247" s="62"/>
      <c r="N247" s="62"/>
      <c r="O247" s="62"/>
      <c r="P247" s="62"/>
      <c r="Q247" s="62"/>
      <c r="R247" s="62"/>
      <c r="S247" s="62"/>
    </row>
    <row r="248">
      <c r="A248" s="67"/>
      <c r="B248" s="68"/>
      <c r="C248" s="62"/>
      <c r="D248" s="62"/>
      <c r="E248" s="62"/>
      <c r="F248" s="62"/>
      <c r="G248" s="63"/>
      <c r="H248" s="64"/>
      <c r="I248" s="69"/>
      <c r="J248" s="64"/>
      <c r="K248" s="62"/>
      <c r="L248" s="62"/>
      <c r="M248" s="62"/>
      <c r="N248" s="62"/>
      <c r="O248" s="62"/>
      <c r="P248" s="62"/>
      <c r="Q248" s="62"/>
      <c r="R248" s="62"/>
      <c r="S248" s="62"/>
    </row>
    <row r="249">
      <c r="A249" s="67"/>
      <c r="B249" s="68"/>
      <c r="C249" s="62"/>
      <c r="D249" s="62"/>
      <c r="E249" s="62"/>
      <c r="F249" s="62"/>
      <c r="G249" s="63"/>
      <c r="H249" s="64"/>
      <c r="I249" s="69"/>
      <c r="J249" s="64"/>
      <c r="K249" s="62"/>
      <c r="L249" s="62"/>
      <c r="M249" s="62"/>
      <c r="N249" s="62"/>
      <c r="O249" s="62"/>
      <c r="P249" s="62"/>
      <c r="Q249" s="62"/>
      <c r="R249" s="62"/>
      <c r="S249" s="62"/>
    </row>
    <row r="250">
      <c r="A250" s="67"/>
      <c r="B250" s="68"/>
      <c r="C250" s="62"/>
      <c r="D250" s="62"/>
      <c r="E250" s="62"/>
      <c r="F250" s="62"/>
      <c r="G250" s="63"/>
      <c r="H250" s="64"/>
      <c r="I250" s="69"/>
      <c r="J250" s="64"/>
      <c r="K250" s="62"/>
      <c r="L250" s="62"/>
      <c r="M250" s="62"/>
      <c r="N250" s="62"/>
      <c r="O250" s="62"/>
      <c r="P250" s="62"/>
      <c r="Q250" s="62"/>
      <c r="R250" s="62"/>
      <c r="S250" s="62"/>
    </row>
    <row r="251">
      <c r="A251" s="67"/>
      <c r="B251" s="68"/>
      <c r="C251" s="62"/>
      <c r="D251" s="62"/>
      <c r="E251" s="62"/>
      <c r="F251" s="62"/>
      <c r="G251" s="63"/>
      <c r="H251" s="64"/>
      <c r="I251" s="69"/>
      <c r="J251" s="64"/>
      <c r="K251" s="62"/>
      <c r="L251" s="62"/>
      <c r="M251" s="62"/>
      <c r="N251" s="62"/>
      <c r="O251" s="62"/>
      <c r="P251" s="62"/>
      <c r="Q251" s="62"/>
      <c r="R251" s="62"/>
      <c r="S251" s="62"/>
    </row>
    <row r="252">
      <c r="A252" s="67"/>
      <c r="B252" s="68"/>
      <c r="C252" s="62"/>
      <c r="D252" s="62"/>
      <c r="E252" s="62"/>
      <c r="F252" s="62"/>
      <c r="G252" s="63"/>
      <c r="H252" s="64"/>
      <c r="I252" s="69"/>
      <c r="J252" s="64"/>
      <c r="K252" s="62"/>
      <c r="L252" s="62"/>
      <c r="M252" s="62"/>
      <c r="N252" s="62"/>
      <c r="O252" s="62"/>
      <c r="P252" s="62"/>
      <c r="Q252" s="62"/>
      <c r="R252" s="62"/>
      <c r="S252" s="62"/>
    </row>
    <row r="253">
      <c r="A253" s="67"/>
      <c r="B253" s="68"/>
      <c r="C253" s="62"/>
      <c r="D253" s="62"/>
      <c r="E253" s="62"/>
      <c r="F253" s="62"/>
      <c r="G253" s="63"/>
      <c r="H253" s="64"/>
      <c r="I253" s="69"/>
      <c r="J253" s="64"/>
      <c r="K253" s="62"/>
      <c r="L253" s="62"/>
      <c r="M253" s="62"/>
      <c r="N253" s="62"/>
      <c r="O253" s="62"/>
      <c r="P253" s="62"/>
      <c r="Q253" s="62"/>
      <c r="R253" s="62"/>
      <c r="S253" s="62"/>
    </row>
    <row r="254">
      <c r="A254" s="67"/>
      <c r="B254" s="68"/>
      <c r="C254" s="62"/>
      <c r="D254" s="62"/>
      <c r="E254" s="62"/>
      <c r="F254" s="62"/>
      <c r="G254" s="63"/>
      <c r="H254" s="64"/>
      <c r="I254" s="69"/>
      <c r="J254" s="64"/>
      <c r="K254" s="62"/>
      <c r="L254" s="62"/>
      <c r="M254" s="62"/>
      <c r="N254" s="62"/>
      <c r="O254" s="62"/>
      <c r="P254" s="62"/>
      <c r="Q254" s="62"/>
      <c r="R254" s="62"/>
      <c r="S254" s="62"/>
    </row>
    <row r="255">
      <c r="A255" s="67"/>
      <c r="B255" s="68"/>
      <c r="C255" s="62"/>
      <c r="D255" s="62"/>
      <c r="E255" s="62"/>
      <c r="F255" s="62"/>
      <c r="G255" s="63"/>
      <c r="H255" s="64"/>
      <c r="I255" s="69"/>
      <c r="J255" s="64"/>
      <c r="K255" s="62"/>
      <c r="L255" s="62"/>
      <c r="M255" s="62"/>
      <c r="N255" s="62"/>
      <c r="O255" s="62"/>
      <c r="P255" s="62"/>
      <c r="Q255" s="62"/>
      <c r="R255" s="62"/>
      <c r="S255" s="62"/>
    </row>
    <row r="256">
      <c r="A256" s="67"/>
      <c r="B256" s="68"/>
      <c r="C256" s="62"/>
      <c r="D256" s="62"/>
      <c r="E256" s="62"/>
      <c r="F256" s="62"/>
      <c r="G256" s="63"/>
      <c r="H256" s="64"/>
      <c r="I256" s="69"/>
      <c r="J256" s="64"/>
      <c r="K256" s="62"/>
      <c r="L256" s="62"/>
      <c r="M256" s="62"/>
      <c r="N256" s="62"/>
      <c r="O256" s="62"/>
      <c r="P256" s="62"/>
      <c r="Q256" s="62"/>
      <c r="R256" s="62"/>
      <c r="S256" s="62"/>
    </row>
    <row r="257">
      <c r="A257" s="67"/>
      <c r="B257" s="68"/>
      <c r="C257" s="62"/>
      <c r="D257" s="62"/>
      <c r="E257" s="62"/>
      <c r="F257" s="62"/>
      <c r="G257" s="63"/>
      <c r="H257" s="64"/>
      <c r="I257" s="69"/>
      <c r="J257" s="64"/>
      <c r="K257" s="62"/>
      <c r="L257" s="62"/>
      <c r="M257" s="62"/>
      <c r="N257" s="62"/>
      <c r="O257" s="62"/>
      <c r="P257" s="62"/>
      <c r="Q257" s="62"/>
      <c r="R257" s="62"/>
      <c r="S257" s="62"/>
    </row>
    <row r="258">
      <c r="A258" s="67"/>
      <c r="B258" s="68"/>
      <c r="C258" s="62"/>
      <c r="D258" s="62"/>
      <c r="E258" s="62"/>
      <c r="F258" s="62"/>
      <c r="G258" s="63"/>
      <c r="H258" s="64"/>
      <c r="I258" s="69"/>
      <c r="J258" s="64"/>
      <c r="K258" s="62"/>
      <c r="L258" s="62"/>
      <c r="M258" s="62"/>
      <c r="N258" s="62"/>
      <c r="O258" s="62"/>
      <c r="P258" s="62"/>
      <c r="Q258" s="62"/>
      <c r="R258" s="62"/>
      <c r="S258" s="62"/>
    </row>
    <row r="259">
      <c r="A259" s="67"/>
      <c r="B259" s="68"/>
      <c r="C259" s="62"/>
      <c r="D259" s="62"/>
      <c r="E259" s="62"/>
      <c r="F259" s="62"/>
      <c r="G259" s="63"/>
      <c r="H259" s="64"/>
      <c r="I259" s="69"/>
      <c r="J259" s="64"/>
      <c r="K259" s="62"/>
      <c r="L259" s="62"/>
      <c r="M259" s="62"/>
      <c r="N259" s="62"/>
      <c r="O259" s="62"/>
      <c r="P259" s="62"/>
      <c r="Q259" s="62"/>
      <c r="R259" s="62"/>
      <c r="S259" s="62"/>
    </row>
    <row r="260">
      <c r="A260" s="67"/>
      <c r="B260" s="68"/>
      <c r="C260" s="62"/>
      <c r="D260" s="62"/>
      <c r="E260" s="62"/>
      <c r="F260" s="62"/>
      <c r="G260" s="63"/>
      <c r="H260" s="64"/>
      <c r="I260" s="69"/>
      <c r="J260" s="64"/>
      <c r="K260" s="62"/>
      <c r="L260" s="62"/>
      <c r="M260" s="62"/>
      <c r="N260" s="62"/>
      <c r="O260" s="62"/>
      <c r="P260" s="62"/>
      <c r="Q260" s="62"/>
      <c r="R260" s="62"/>
      <c r="S260" s="62"/>
    </row>
    <row r="261">
      <c r="A261" s="67"/>
      <c r="B261" s="68"/>
      <c r="C261" s="62"/>
      <c r="D261" s="62"/>
      <c r="E261" s="62"/>
      <c r="F261" s="62"/>
      <c r="G261" s="63"/>
      <c r="H261" s="64"/>
      <c r="I261" s="69"/>
      <c r="J261" s="64"/>
      <c r="K261" s="62"/>
      <c r="L261" s="62"/>
      <c r="M261" s="62"/>
      <c r="N261" s="62"/>
      <c r="O261" s="62"/>
      <c r="P261" s="62"/>
      <c r="Q261" s="62"/>
      <c r="R261" s="62"/>
      <c r="S261" s="62"/>
    </row>
    <row r="262">
      <c r="A262" s="67"/>
      <c r="B262" s="68"/>
      <c r="C262" s="62"/>
      <c r="D262" s="62"/>
      <c r="E262" s="62"/>
      <c r="F262" s="62"/>
      <c r="G262" s="63"/>
      <c r="H262" s="64"/>
      <c r="I262" s="69"/>
      <c r="J262" s="64"/>
      <c r="K262" s="62"/>
      <c r="L262" s="62"/>
      <c r="M262" s="62"/>
      <c r="N262" s="62"/>
      <c r="O262" s="62"/>
      <c r="P262" s="62"/>
      <c r="Q262" s="62"/>
      <c r="R262" s="62"/>
      <c r="S262" s="62"/>
    </row>
    <row r="263">
      <c r="A263" s="67"/>
      <c r="B263" s="68"/>
      <c r="C263" s="62"/>
      <c r="D263" s="62"/>
      <c r="E263" s="62"/>
      <c r="F263" s="62"/>
      <c r="G263" s="63"/>
      <c r="H263" s="64"/>
      <c r="I263" s="69"/>
      <c r="J263" s="64"/>
      <c r="K263" s="62"/>
      <c r="L263" s="62"/>
      <c r="M263" s="62"/>
      <c r="N263" s="62"/>
      <c r="O263" s="62"/>
      <c r="P263" s="62"/>
      <c r="Q263" s="62"/>
      <c r="R263" s="62"/>
      <c r="S263" s="62"/>
    </row>
    <row r="264">
      <c r="A264" s="67"/>
      <c r="B264" s="68"/>
      <c r="C264" s="62"/>
      <c r="D264" s="62"/>
      <c r="E264" s="62"/>
      <c r="F264" s="62"/>
      <c r="G264" s="63"/>
      <c r="H264" s="64"/>
      <c r="I264" s="69"/>
      <c r="J264" s="64"/>
      <c r="K264" s="62"/>
      <c r="L264" s="62"/>
      <c r="M264" s="62"/>
      <c r="N264" s="62"/>
      <c r="O264" s="62"/>
      <c r="P264" s="62"/>
      <c r="Q264" s="62"/>
      <c r="R264" s="62"/>
      <c r="S264" s="62"/>
    </row>
    <row r="265">
      <c r="A265" s="67"/>
      <c r="B265" s="68"/>
      <c r="C265" s="62"/>
      <c r="D265" s="62"/>
      <c r="E265" s="62"/>
      <c r="F265" s="62"/>
      <c r="G265" s="63"/>
      <c r="H265" s="64"/>
      <c r="I265" s="69"/>
      <c r="J265" s="64"/>
      <c r="K265" s="62"/>
      <c r="L265" s="62"/>
      <c r="M265" s="62"/>
      <c r="N265" s="62"/>
      <c r="O265" s="62"/>
      <c r="P265" s="62"/>
      <c r="Q265" s="62"/>
      <c r="R265" s="62"/>
      <c r="S265" s="62"/>
    </row>
    <row r="266">
      <c r="A266" s="67"/>
      <c r="B266" s="68"/>
      <c r="C266" s="62"/>
      <c r="D266" s="62"/>
      <c r="E266" s="62"/>
      <c r="F266" s="62"/>
      <c r="G266" s="63"/>
      <c r="H266" s="64"/>
      <c r="I266" s="69"/>
      <c r="J266" s="64"/>
      <c r="K266" s="62"/>
      <c r="L266" s="62"/>
      <c r="M266" s="62"/>
      <c r="N266" s="62"/>
      <c r="O266" s="62"/>
      <c r="P266" s="62"/>
      <c r="Q266" s="62"/>
      <c r="R266" s="62"/>
      <c r="S266" s="62"/>
    </row>
    <row r="267">
      <c r="A267" s="67"/>
      <c r="B267" s="68"/>
      <c r="C267" s="62"/>
      <c r="D267" s="62"/>
      <c r="E267" s="62"/>
      <c r="F267" s="62"/>
      <c r="G267" s="63"/>
      <c r="H267" s="64"/>
      <c r="I267" s="69"/>
      <c r="J267" s="64"/>
      <c r="K267" s="62"/>
      <c r="L267" s="62"/>
      <c r="M267" s="62"/>
      <c r="N267" s="62"/>
      <c r="O267" s="62"/>
      <c r="P267" s="62"/>
      <c r="Q267" s="62"/>
      <c r="R267" s="62"/>
      <c r="S267" s="62"/>
    </row>
    <row r="268">
      <c r="A268" s="67"/>
      <c r="B268" s="68"/>
      <c r="C268" s="62"/>
      <c r="D268" s="62"/>
      <c r="E268" s="62"/>
      <c r="F268" s="62"/>
      <c r="G268" s="63"/>
      <c r="H268" s="64"/>
      <c r="I268" s="69"/>
      <c r="J268" s="64"/>
      <c r="K268" s="62"/>
      <c r="L268" s="62"/>
      <c r="M268" s="62"/>
      <c r="N268" s="62"/>
      <c r="O268" s="62"/>
      <c r="P268" s="62"/>
      <c r="Q268" s="62"/>
      <c r="R268" s="62"/>
      <c r="S268" s="62"/>
    </row>
    <row r="269">
      <c r="A269" s="67"/>
      <c r="B269" s="68"/>
      <c r="C269" s="62"/>
      <c r="D269" s="62"/>
      <c r="E269" s="62"/>
      <c r="F269" s="62"/>
      <c r="G269" s="63"/>
      <c r="H269" s="64"/>
      <c r="I269" s="69"/>
      <c r="J269" s="64"/>
      <c r="K269" s="62"/>
      <c r="L269" s="62"/>
      <c r="M269" s="62"/>
      <c r="N269" s="62"/>
      <c r="O269" s="62"/>
      <c r="P269" s="62"/>
      <c r="Q269" s="62"/>
      <c r="R269" s="62"/>
      <c r="S269" s="62"/>
    </row>
    <row r="270">
      <c r="A270" s="67"/>
      <c r="B270" s="68"/>
      <c r="C270" s="62"/>
      <c r="D270" s="62"/>
      <c r="E270" s="62"/>
      <c r="F270" s="62"/>
      <c r="G270" s="63"/>
      <c r="H270" s="64"/>
      <c r="I270" s="69"/>
      <c r="J270" s="64"/>
      <c r="K270" s="62"/>
      <c r="L270" s="62"/>
      <c r="M270" s="62"/>
      <c r="N270" s="62"/>
      <c r="O270" s="62"/>
      <c r="P270" s="62"/>
      <c r="Q270" s="62"/>
      <c r="R270" s="62"/>
      <c r="S270" s="62"/>
    </row>
    <row r="271">
      <c r="A271" s="67"/>
      <c r="B271" s="68"/>
      <c r="C271" s="62"/>
      <c r="D271" s="62"/>
      <c r="E271" s="62"/>
      <c r="F271" s="62"/>
      <c r="G271" s="63"/>
      <c r="H271" s="64"/>
      <c r="I271" s="69"/>
      <c r="J271" s="64"/>
      <c r="K271" s="62"/>
      <c r="L271" s="62"/>
      <c r="M271" s="62"/>
      <c r="N271" s="62"/>
      <c r="O271" s="62"/>
      <c r="P271" s="62"/>
      <c r="Q271" s="62"/>
      <c r="R271" s="62"/>
      <c r="S271" s="62"/>
    </row>
    <row r="272">
      <c r="A272" s="67"/>
      <c r="B272" s="68"/>
      <c r="C272" s="62"/>
      <c r="D272" s="62"/>
      <c r="E272" s="62"/>
      <c r="F272" s="62"/>
      <c r="G272" s="63"/>
      <c r="H272" s="64"/>
      <c r="I272" s="69"/>
      <c r="J272" s="64"/>
      <c r="K272" s="62"/>
      <c r="L272" s="62"/>
      <c r="M272" s="62"/>
      <c r="N272" s="62"/>
      <c r="O272" s="62"/>
      <c r="P272" s="62"/>
      <c r="Q272" s="62"/>
      <c r="R272" s="62"/>
      <c r="S272" s="62"/>
    </row>
    <row r="273">
      <c r="A273" s="67"/>
      <c r="B273" s="68"/>
      <c r="C273" s="62"/>
      <c r="D273" s="62"/>
      <c r="E273" s="62"/>
      <c r="F273" s="62"/>
      <c r="G273" s="63"/>
      <c r="H273" s="64"/>
      <c r="I273" s="69"/>
      <c r="J273" s="64"/>
      <c r="K273" s="62"/>
      <c r="L273" s="62"/>
      <c r="M273" s="62"/>
      <c r="N273" s="62"/>
      <c r="O273" s="62"/>
      <c r="P273" s="62"/>
      <c r="Q273" s="62"/>
      <c r="R273" s="62"/>
      <c r="S273" s="62"/>
    </row>
    <row r="274">
      <c r="A274" s="67"/>
      <c r="B274" s="68"/>
      <c r="C274" s="62"/>
      <c r="D274" s="62"/>
      <c r="E274" s="62"/>
      <c r="F274" s="62"/>
      <c r="G274" s="63"/>
      <c r="H274" s="64"/>
      <c r="I274" s="69"/>
      <c r="J274" s="64"/>
      <c r="K274" s="62"/>
      <c r="L274" s="62"/>
      <c r="M274" s="62"/>
      <c r="N274" s="62"/>
      <c r="O274" s="62"/>
      <c r="P274" s="62"/>
      <c r="Q274" s="62"/>
      <c r="R274" s="62"/>
      <c r="S274" s="62"/>
    </row>
    <row r="275">
      <c r="A275" s="67"/>
      <c r="B275" s="68"/>
      <c r="C275" s="62"/>
      <c r="D275" s="62"/>
      <c r="E275" s="62"/>
      <c r="F275" s="62"/>
      <c r="G275" s="63"/>
      <c r="H275" s="64"/>
      <c r="I275" s="69"/>
      <c r="J275" s="64"/>
      <c r="K275" s="62"/>
      <c r="L275" s="62"/>
      <c r="M275" s="62"/>
      <c r="N275" s="62"/>
      <c r="O275" s="62"/>
      <c r="P275" s="62"/>
      <c r="Q275" s="62"/>
      <c r="R275" s="62"/>
      <c r="S275" s="62"/>
    </row>
    <row r="276">
      <c r="A276" s="67"/>
      <c r="B276" s="68"/>
      <c r="C276" s="62"/>
      <c r="D276" s="62"/>
      <c r="E276" s="62"/>
      <c r="F276" s="62"/>
      <c r="G276" s="63"/>
      <c r="H276" s="64"/>
      <c r="I276" s="69"/>
      <c r="J276" s="64"/>
      <c r="K276" s="62"/>
      <c r="L276" s="62"/>
      <c r="M276" s="62"/>
      <c r="N276" s="62"/>
      <c r="O276" s="62"/>
      <c r="P276" s="62"/>
      <c r="Q276" s="62"/>
      <c r="R276" s="62"/>
      <c r="S276" s="62"/>
    </row>
    <row r="277">
      <c r="A277" s="67"/>
      <c r="B277" s="68"/>
      <c r="C277" s="62"/>
      <c r="D277" s="62"/>
      <c r="E277" s="62"/>
      <c r="F277" s="62"/>
      <c r="G277" s="63"/>
      <c r="H277" s="64"/>
      <c r="I277" s="69"/>
      <c r="J277" s="64"/>
      <c r="K277" s="62"/>
      <c r="L277" s="62"/>
      <c r="M277" s="62"/>
      <c r="N277" s="62"/>
      <c r="O277" s="62"/>
      <c r="P277" s="62"/>
      <c r="Q277" s="62"/>
      <c r="R277" s="62"/>
      <c r="S277" s="62"/>
    </row>
    <row r="278">
      <c r="A278" s="67"/>
      <c r="B278" s="68"/>
      <c r="C278" s="62"/>
      <c r="D278" s="62"/>
      <c r="E278" s="62"/>
      <c r="F278" s="62"/>
      <c r="G278" s="63"/>
      <c r="H278" s="64"/>
      <c r="I278" s="69"/>
      <c r="J278" s="64"/>
      <c r="K278" s="62"/>
      <c r="L278" s="62"/>
      <c r="M278" s="62"/>
      <c r="N278" s="62"/>
      <c r="O278" s="62"/>
      <c r="P278" s="62"/>
      <c r="Q278" s="62"/>
      <c r="R278" s="62"/>
      <c r="S278" s="62"/>
    </row>
    <row r="279">
      <c r="A279" s="67"/>
      <c r="B279" s="68"/>
      <c r="C279" s="62"/>
      <c r="D279" s="62"/>
      <c r="E279" s="62"/>
      <c r="F279" s="62"/>
      <c r="G279" s="63"/>
      <c r="H279" s="64"/>
      <c r="I279" s="69"/>
      <c r="J279" s="64"/>
      <c r="K279" s="62"/>
      <c r="L279" s="62"/>
      <c r="M279" s="62"/>
      <c r="N279" s="62"/>
      <c r="O279" s="62"/>
      <c r="P279" s="62"/>
      <c r="Q279" s="62"/>
      <c r="R279" s="62"/>
      <c r="S279" s="62"/>
    </row>
    <row r="280">
      <c r="A280" s="67"/>
      <c r="B280" s="68"/>
      <c r="C280" s="62"/>
      <c r="D280" s="62"/>
      <c r="E280" s="62"/>
      <c r="F280" s="62"/>
      <c r="G280" s="63"/>
      <c r="H280" s="64"/>
      <c r="I280" s="69"/>
      <c r="J280" s="64"/>
      <c r="K280" s="62"/>
      <c r="L280" s="62"/>
      <c r="M280" s="62"/>
      <c r="N280" s="62"/>
      <c r="O280" s="62"/>
      <c r="P280" s="62"/>
      <c r="Q280" s="62"/>
      <c r="R280" s="62"/>
      <c r="S280" s="62"/>
    </row>
    <row r="281">
      <c r="A281" s="67"/>
      <c r="B281" s="68"/>
      <c r="C281" s="62"/>
      <c r="D281" s="62"/>
      <c r="E281" s="62"/>
      <c r="F281" s="62"/>
      <c r="G281" s="63"/>
      <c r="H281" s="64"/>
      <c r="I281" s="69"/>
      <c r="J281" s="64"/>
      <c r="K281" s="62"/>
      <c r="L281" s="62"/>
      <c r="M281" s="62"/>
      <c r="N281" s="62"/>
      <c r="O281" s="62"/>
      <c r="P281" s="62"/>
      <c r="Q281" s="62"/>
      <c r="R281" s="62"/>
      <c r="S281" s="62"/>
    </row>
    <row r="282">
      <c r="A282" s="67"/>
      <c r="B282" s="68"/>
      <c r="C282" s="62"/>
      <c r="D282" s="62"/>
      <c r="E282" s="62"/>
      <c r="F282" s="62"/>
      <c r="G282" s="63"/>
      <c r="H282" s="64"/>
      <c r="I282" s="69"/>
      <c r="J282" s="64"/>
      <c r="K282" s="62"/>
      <c r="L282" s="62"/>
      <c r="M282" s="62"/>
      <c r="N282" s="62"/>
      <c r="O282" s="62"/>
      <c r="P282" s="62"/>
      <c r="Q282" s="62"/>
      <c r="R282" s="62"/>
      <c r="S282" s="62"/>
    </row>
    <row r="283">
      <c r="A283" s="67"/>
      <c r="B283" s="68"/>
      <c r="C283" s="62"/>
      <c r="D283" s="62"/>
      <c r="E283" s="62"/>
      <c r="F283" s="62"/>
      <c r="G283" s="63"/>
      <c r="H283" s="64"/>
      <c r="I283" s="69"/>
      <c r="J283" s="64"/>
      <c r="K283" s="62"/>
      <c r="L283" s="62"/>
      <c r="M283" s="62"/>
      <c r="N283" s="62"/>
      <c r="O283" s="62"/>
      <c r="P283" s="62"/>
      <c r="Q283" s="62"/>
      <c r="R283" s="62"/>
      <c r="S283" s="62"/>
    </row>
    <row r="284">
      <c r="A284" s="67"/>
      <c r="B284" s="68"/>
      <c r="C284" s="62"/>
      <c r="D284" s="62"/>
      <c r="E284" s="62"/>
      <c r="F284" s="62"/>
      <c r="G284" s="63"/>
      <c r="H284" s="64"/>
      <c r="I284" s="69"/>
      <c r="J284" s="64"/>
      <c r="K284" s="62"/>
      <c r="L284" s="62"/>
      <c r="M284" s="62"/>
      <c r="N284" s="62"/>
      <c r="O284" s="62"/>
      <c r="P284" s="62"/>
      <c r="Q284" s="62"/>
      <c r="R284" s="62"/>
      <c r="S284" s="62"/>
    </row>
    <row r="285">
      <c r="A285" s="67"/>
      <c r="B285" s="68"/>
      <c r="C285" s="62"/>
      <c r="D285" s="62"/>
      <c r="E285" s="62"/>
      <c r="F285" s="62"/>
      <c r="G285" s="63"/>
      <c r="H285" s="64"/>
      <c r="I285" s="69"/>
      <c r="J285" s="64"/>
      <c r="K285" s="62"/>
      <c r="L285" s="62"/>
      <c r="M285" s="62"/>
      <c r="N285" s="62"/>
      <c r="O285" s="62"/>
      <c r="P285" s="62"/>
      <c r="Q285" s="62"/>
      <c r="R285" s="62"/>
      <c r="S285" s="62"/>
    </row>
    <row r="286">
      <c r="A286" s="67"/>
      <c r="B286" s="68"/>
      <c r="C286" s="62"/>
      <c r="D286" s="62"/>
      <c r="E286" s="62"/>
      <c r="F286" s="62"/>
      <c r="G286" s="63"/>
      <c r="H286" s="64"/>
      <c r="I286" s="69"/>
      <c r="J286" s="64"/>
      <c r="K286" s="62"/>
      <c r="L286" s="62"/>
      <c r="M286" s="62"/>
      <c r="N286" s="62"/>
      <c r="O286" s="62"/>
      <c r="P286" s="62"/>
      <c r="Q286" s="62"/>
      <c r="R286" s="62"/>
      <c r="S286" s="62"/>
    </row>
    <row r="287">
      <c r="A287" s="67"/>
      <c r="B287" s="68"/>
      <c r="C287" s="62"/>
      <c r="D287" s="62"/>
      <c r="E287" s="62"/>
      <c r="F287" s="62"/>
      <c r="G287" s="63"/>
      <c r="H287" s="64"/>
      <c r="I287" s="69"/>
      <c r="J287" s="64"/>
      <c r="K287" s="62"/>
      <c r="L287" s="62"/>
      <c r="M287" s="62"/>
      <c r="N287" s="62"/>
      <c r="O287" s="62"/>
      <c r="P287" s="62"/>
      <c r="Q287" s="62"/>
      <c r="R287" s="62"/>
      <c r="S287" s="62"/>
    </row>
    <row r="288">
      <c r="A288" s="67"/>
      <c r="B288" s="68"/>
      <c r="C288" s="62"/>
      <c r="D288" s="62"/>
      <c r="E288" s="62"/>
      <c r="F288" s="62"/>
      <c r="G288" s="63"/>
      <c r="H288" s="64"/>
      <c r="I288" s="69"/>
      <c r="J288" s="64"/>
      <c r="K288" s="62"/>
      <c r="L288" s="62"/>
      <c r="M288" s="62"/>
      <c r="N288" s="62"/>
      <c r="O288" s="62"/>
      <c r="P288" s="62"/>
      <c r="Q288" s="62"/>
      <c r="R288" s="62"/>
      <c r="S288" s="62"/>
    </row>
    <row r="289">
      <c r="A289" s="67"/>
      <c r="B289" s="68"/>
      <c r="C289" s="62"/>
      <c r="D289" s="62"/>
      <c r="E289" s="62"/>
      <c r="F289" s="62"/>
      <c r="G289" s="63"/>
      <c r="H289" s="64"/>
      <c r="I289" s="69"/>
      <c r="J289" s="64"/>
      <c r="K289" s="62"/>
      <c r="L289" s="62"/>
      <c r="M289" s="62"/>
      <c r="N289" s="62"/>
      <c r="O289" s="62"/>
      <c r="P289" s="62"/>
      <c r="Q289" s="62"/>
      <c r="R289" s="62"/>
      <c r="S289" s="62"/>
    </row>
    <row r="290">
      <c r="A290" s="67"/>
      <c r="B290" s="68"/>
      <c r="C290" s="62"/>
      <c r="D290" s="62"/>
      <c r="E290" s="62"/>
      <c r="F290" s="62"/>
      <c r="G290" s="63"/>
      <c r="H290" s="64"/>
      <c r="I290" s="69"/>
      <c r="J290" s="64"/>
      <c r="K290" s="62"/>
      <c r="L290" s="62"/>
      <c r="M290" s="62"/>
      <c r="N290" s="62"/>
      <c r="O290" s="62"/>
      <c r="P290" s="62"/>
      <c r="Q290" s="62"/>
      <c r="R290" s="62"/>
      <c r="S290" s="62"/>
    </row>
    <row r="291">
      <c r="A291" s="67"/>
      <c r="B291" s="68"/>
      <c r="C291" s="62"/>
      <c r="D291" s="62"/>
      <c r="E291" s="62"/>
      <c r="F291" s="62"/>
      <c r="G291" s="63"/>
      <c r="H291" s="64"/>
      <c r="I291" s="69"/>
      <c r="J291" s="64"/>
      <c r="K291" s="62"/>
      <c r="L291" s="62"/>
      <c r="M291" s="62"/>
      <c r="N291" s="62"/>
      <c r="O291" s="62"/>
      <c r="P291" s="62"/>
      <c r="Q291" s="62"/>
      <c r="R291" s="62"/>
      <c r="S291" s="62"/>
    </row>
    <row r="292">
      <c r="A292" s="67"/>
      <c r="B292" s="68"/>
      <c r="C292" s="62"/>
      <c r="D292" s="62"/>
      <c r="E292" s="62"/>
      <c r="F292" s="62"/>
      <c r="G292" s="63"/>
      <c r="H292" s="64"/>
      <c r="I292" s="69"/>
      <c r="J292" s="64"/>
      <c r="K292" s="62"/>
      <c r="L292" s="62"/>
      <c r="M292" s="62"/>
      <c r="N292" s="62"/>
      <c r="O292" s="62"/>
      <c r="P292" s="62"/>
      <c r="Q292" s="62"/>
      <c r="R292" s="62"/>
      <c r="S292" s="62"/>
    </row>
    <row r="293">
      <c r="A293" s="67"/>
      <c r="B293" s="68"/>
      <c r="C293" s="62"/>
      <c r="D293" s="62"/>
      <c r="E293" s="62"/>
      <c r="F293" s="62"/>
      <c r="G293" s="63"/>
      <c r="H293" s="64"/>
      <c r="I293" s="69"/>
      <c r="J293" s="64"/>
      <c r="K293" s="62"/>
      <c r="L293" s="62"/>
      <c r="M293" s="62"/>
      <c r="N293" s="62"/>
      <c r="O293" s="62"/>
      <c r="P293" s="62"/>
      <c r="Q293" s="62"/>
      <c r="R293" s="62"/>
      <c r="S293" s="62"/>
    </row>
    <row r="294">
      <c r="A294" s="67"/>
      <c r="B294" s="68"/>
      <c r="C294" s="62"/>
      <c r="D294" s="62"/>
      <c r="E294" s="62"/>
      <c r="F294" s="62"/>
      <c r="G294" s="63"/>
      <c r="H294" s="64"/>
      <c r="I294" s="69"/>
      <c r="J294" s="64"/>
      <c r="K294" s="62"/>
      <c r="L294" s="62"/>
      <c r="M294" s="62"/>
      <c r="N294" s="62"/>
      <c r="O294" s="62"/>
      <c r="P294" s="62"/>
      <c r="Q294" s="62"/>
      <c r="R294" s="62"/>
      <c r="S294" s="62"/>
    </row>
    <row r="295">
      <c r="A295" s="67"/>
      <c r="B295" s="68"/>
      <c r="C295" s="62"/>
      <c r="D295" s="62"/>
      <c r="E295" s="62"/>
      <c r="F295" s="62"/>
      <c r="G295" s="63"/>
      <c r="H295" s="64"/>
      <c r="I295" s="69"/>
      <c r="J295" s="64"/>
      <c r="K295" s="62"/>
      <c r="L295" s="62"/>
      <c r="M295" s="62"/>
      <c r="N295" s="62"/>
      <c r="O295" s="62"/>
      <c r="P295" s="62"/>
      <c r="Q295" s="62"/>
      <c r="R295" s="62"/>
      <c r="S295" s="62"/>
    </row>
    <row r="296">
      <c r="A296" s="67"/>
      <c r="B296" s="68"/>
      <c r="C296" s="62"/>
      <c r="D296" s="62"/>
      <c r="E296" s="62"/>
      <c r="F296" s="62"/>
      <c r="G296" s="63"/>
      <c r="H296" s="64"/>
      <c r="I296" s="69"/>
      <c r="J296" s="64"/>
      <c r="K296" s="62"/>
      <c r="L296" s="62"/>
      <c r="M296" s="62"/>
      <c r="N296" s="62"/>
      <c r="O296" s="62"/>
      <c r="P296" s="62"/>
      <c r="Q296" s="62"/>
      <c r="R296" s="62"/>
      <c r="S296" s="62"/>
    </row>
    <row r="297">
      <c r="A297" s="67"/>
      <c r="B297" s="68"/>
      <c r="C297" s="62"/>
      <c r="D297" s="62"/>
      <c r="E297" s="62"/>
      <c r="F297" s="62"/>
      <c r="G297" s="63"/>
      <c r="H297" s="64"/>
      <c r="I297" s="69"/>
      <c r="J297" s="64"/>
      <c r="K297" s="62"/>
      <c r="L297" s="62"/>
      <c r="M297" s="62"/>
      <c r="N297" s="62"/>
      <c r="O297" s="62"/>
      <c r="P297" s="62"/>
      <c r="Q297" s="62"/>
      <c r="R297" s="62"/>
      <c r="S297" s="62"/>
    </row>
    <row r="298">
      <c r="A298" s="67"/>
      <c r="B298" s="68"/>
      <c r="C298" s="62"/>
      <c r="D298" s="62"/>
      <c r="E298" s="62"/>
      <c r="F298" s="62"/>
      <c r="G298" s="63"/>
      <c r="H298" s="64"/>
      <c r="I298" s="69"/>
      <c r="J298" s="64"/>
      <c r="K298" s="62"/>
      <c r="L298" s="62"/>
      <c r="M298" s="62"/>
      <c r="N298" s="62"/>
      <c r="O298" s="62"/>
      <c r="P298" s="62"/>
      <c r="Q298" s="62"/>
      <c r="R298" s="62"/>
      <c r="S298" s="62"/>
    </row>
    <row r="299">
      <c r="A299" s="67"/>
      <c r="B299" s="68"/>
      <c r="C299" s="62"/>
      <c r="D299" s="62"/>
      <c r="E299" s="62"/>
      <c r="F299" s="62"/>
      <c r="G299" s="63"/>
      <c r="H299" s="64"/>
      <c r="I299" s="69"/>
      <c r="J299" s="64"/>
      <c r="K299" s="62"/>
      <c r="L299" s="62"/>
      <c r="M299" s="62"/>
      <c r="N299" s="62"/>
      <c r="O299" s="62"/>
      <c r="P299" s="62"/>
      <c r="Q299" s="62"/>
      <c r="R299" s="62"/>
      <c r="S299" s="62"/>
    </row>
    <row r="300">
      <c r="A300" s="67"/>
      <c r="B300" s="68"/>
      <c r="C300" s="62"/>
      <c r="D300" s="62"/>
      <c r="E300" s="62"/>
      <c r="F300" s="62"/>
      <c r="G300" s="63"/>
      <c r="H300" s="64"/>
      <c r="I300" s="69"/>
      <c r="J300" s="64"/>
      <c r="K300" s="62"/>
      <c r="L300" s="62"/>
      <c r="M300" s="62"/>
      <c r="N300" s="62"/>
      <c r="O300" s="62"/>
      <c r="P300" s="62"/>
      <c r="Q300" s="62"/>
      <c r="R300" s="62"/>
      <c r="S300" s="62"/>
    </row>
    <row r="301">
      <c r="A301" s="67"/>
      <c r="B301" s="68"/>
      <c r="C301" s="62"/>
      <c r="D301" s="62"/>
      <c r="E301" s="62"/>
      <c r="F301" s="62"/>
      <c r="G301" s="63"/>
      <c r="H301" s="64"/>
      <c r="I301" s="69"/>
      <c r="J301" s="64"/>
      <c r="K301" s="62"/>
      <c r="L301" s="62"/>
      <c r="M301" s="62"/>
      <c r="N301" s="62"/>
      <c r="O301" s="62"/>
      <c r="P301" s="62"/>
      <c r="Q301" s="62"/>
      <c r="R301" s="62"/>
      <c r="S301" s="62"/>
    </row>
    <row r="302">
      <c r="A302" s="67"/>
      <c r="B302" s="68"/>
      <c r="C302" s="62"/>
      <c r="D302" s="62"/>
      <c r="E302" s="62"/>
      <c r="F302" s="62"/>
      <c r="G302" s="63"/>
      <c r="H302" s="64"/>
      <c r="I302" s="69"/>
      <c r="J302" s="64"/>
      <c r="K302" s="62"/>
      <c r="L302" s="62"/>
      <c r="M302" s="62"/>
      <c r="N302" s="62"/>
      <c r="O302" s="62"/>
      <c r="P302" s="62"/>
      <c r="Q302" s="62"/>
      <c r="R302" s="62"/>
      <c r="S302" s="62"/>
    </row>
    <row r="303">
      <c r="A303" s="67"/>
      <c r="B303" s="68"/>
      <c r="C303" s="62"/>
      <c r="D303" s="62"/>
      <c r="E303" s="62"/>
      <c r="F303" s="62"/>
      <c r="G303" s="63"/>
      <c r="H303" s="64"/>
      <c r="I303" s="69"/>
      <c r="J303" s="64"/>
      <c r="K303" s="62"/>
      <c r="L303" s="62"/>
      <c r="M303" s="62"/>
      <c r="N303" s="62"/>
      <c r="O303" s="62"/>
      <c r="P303" s="62"/>
      <c r="Q303" s="62"/>
      <c r="R303" s="62"/>
      <c r="S303" s="62"/>
    </row>
    <row r="304">
      <c r="A304" s="67"/>
      <c r="B304" s="68"/>
      <c r="C304" s="62"/>
      <c r="D304" s="62"/>
      <c r="E304" s="62"/>
      <c r="F304" s="62"/>
      <c r="G304" s="63"/>
      <c r="H304" s="64"/>
      <c r="I304" s="69"/>
      <c r="J304" s="64"/>
      <c r="K304" s="62"/>
      <c r="L304" s="62"/>
      <c r="M304" s="62"/>
      <c r="N304" s="62"/>
      <c r="O304" s="62"/>
      <c r="P304" s="62"/>
      <c r="Q304" s="62"/>
      <c r="R304" s="62"/>
      <c r="S304" s="62"/>
    </row>
    <row r="305">
      <c r="A305" s="67"/>
      <c r="B305" s="68"/>
      <c r="C305" s="62"/>
      <c r="D305" s="62"/>
      <c r="E305" s="62"/>
      <c r="F305" s="62"/>
      <c r="G305" s="63"/>
      <c r="H305" s="64"/>
      <c r="I305" s="69"/>
      <c r="J305" s="64"/>
      <c r="K305" s="62"/>
      <c r="L305" s="62"/>
      <c r="M305" s="62"/>
      <c r="N305" s="62"/>
      <c r="O305" s="62"/>
      <c r="P305" s="62"/>
      <c r="Q305" s="62"/>
      <c r="R305" s="62"/>
      <c r="S305" s="62"/>
    </row>
    <row r="306">
      <c r="A306" s="67"/>
      <c r="B306" s="68"/>
      <c r="C306" s="62"/>
      <c r="D306" s="62"/>
      <c r="E306" s="62"/>
      <c r="F306" s="62"/>
      <c r="G306" s="63"/>
      <c r="H306" s="64"/>
      <c r="I306" s="69"/>
      <c r="J306" s="64"/>
      <c r="K306" s="62"/>
      <c r="L306" s="62"/>
      <c r="M306" s="62"/>
      <c r="N306" s="62"/>
      <c r="O306" s="62"/>
      <c r="P306" s="62"/>
      <c r="Q306" s="62"/>
      <c r="R306" s="62"/>
      <c r="S306" s="62"/>
    </row>
    <row r="307">
      <c r="A307" s="67"/>
      <c r="B307" s="68"/>
      <c r="C307" s="62"/>
      <c r="D307" s="62"/>
      <c r="E307" s="62"/>
      <c r="F307" s="62"/>
      <c r="G307" s="63"/>
      <c r="H307" s="64"/>
      <c r="I307" s="69"/>
      <c r="J307" s="64"/>
      <c r="K307" s="62"/>
      <c r="L307" s="62"/>
      <c r="M307" s="62"/>
      <c r="N307" s="62"/>
      <c r="O307" s="62"/>
      <c r="P307" s="62"/>
      <c r="Q307" s="62"/>
      <c r="R307" s="62"/>
      <c r="S307" s="62"/>
    </row>
    <row r="308">
      <c r="A308" s="67"/>
      <c r="B308" s="68"/>
      <c r="C308" s="62"/>
      <c r="D308" s="62"/>
      <c r="E308" s="62"/>
      <c r="F308" s="62"/>
      <c r="G308" s="63"/>
      <c r="H308" s="64"/>
      <c r="I308" s="69"/>
      <c r="J308" s="64"/>
      <c r="K308" s="62"/>
      <c r="L308" s="62"/>
      <c r="M308" s="62"/>
      <c r="N308" s="62"/>
      <c r="O308" s="62"/>
      <c r="P308" s="62"/>
      <c r="Q308" s="62"/>
      <c r="R308" s="62"/>
      <c r="S308" s="62"/>
    </row>
    <row r="309">
      <c r="A309" s="67"/>
      <c r="B309" s="68"/>
      <c r="C309" s="62"/>
      <c r="D309" s="62"/>
      <c r="E309" s="62"/>
      <c r="F309" s="62"/>
      <c r="G309" s="63"/>
      <c r="H309" s="64"/>
      <c r="I309" s="69"/>
      <c r="J309" s="64"/>
      <c r="K309" s="62"/>
      <c r="L309" s="62"/>
      <c r="M309" s="62"/>
      <c r="N309" s="62"/>
      <c r="O309" s="62"/>
      <c r="P309" s="62"/>
      <c r="Q309" s="62"/>
      <c r="R309" s="62"/>
      <c r="S309" s="62"/>
    </row>
    <row r="310">
      <c r="A310" s="67"/>
      <c r="B310" s="68"/>
      <c r="C310" s="62"/>
      <c r="D310" s="62"/>
      <c r="E310" s="62"/>
      <c r="F310" s="62"/>
      <c r="G310" s="63"/>
      <c r="H310" s="64"/>
      <c r="I310" s="69"/>
      <c r="J310" s="64"/>
      <c r="K310" s="62"/>
      <c r="L310" s="62"/>
      <c r="M310" s="62"/>
      <c r="N310" s="62"/>
      <c r="O310" s="62"/>
      <c r="P310" s="62"/>
      <c r="Q310" s="62"/>
      <c r="R310" s="62"/>
      <c r="S310" s="62"/>
    </row>
    <row r="311">
      <c r="A311" s="67"/>
      <c r="B311" s="68"/>
      <c r="C311" s="62"/>
      <c r="D311" s="62"/>
      <c r="E311" s="62"/>
      <c r="F311" s="62"/>
      <c r="G311" s="63"/>
      <c r="H311" s="64"/>
      <c r="I311" s="69"/>
      <c r="J311" s="64"/>
      <c r="K311" s="62"/>
      <c r="L311" s="62"/>
      <c r="M311" s="62"/>
      <c r="N311" s="62"/>
      <c r="O311" s="62"/>
      <c r="P311" s="62"/>
      <c r="Q311" s="62"/>
      <c r="R311" s="62"/>
      <c r="S311" s="62"/>
    </row>
    <row r="312">
      <c r="A312" s="67"/>
      <c r="B312" s="68"/>
      <c r="C312" s="62"/>
      <c r="D312" s="62"/>
      <c r="E312" s="62"/>
      <c r="F312" s="62"/>
      <c r="G312" s="63"/>
      <c r="H312" s="64"/>
      <c r="I312" s="69"/>
      <c r="J312" s="64"/>
      <c r="K312" s="62"/>
      <c r="L312" s="62"/>
      <c r="M312" s="62"/>
      <c r="N312" s="62"/>
      <c r="O312" s="62"/>
      <c r="P312" s="62"/>
      <c r="Q312" s="62"/>
      <c r="R312" s="62"/>
      <c r="S312" s="62"/>
    </row>
    <row r="313">
      <c r="A313" s="67"/>
      <c r="B313" s="68"/>
      <c r="C313" s="62"/>
      <c r="D313" s="62"/>
      <c r="E313" s="62"/>
      <c r="F313" s="62"/>
      <c r="G313" s="63"/>
      <c r="H313" s="64"/>
      <c r="I313" s="69"/>
      <c r="J313" s="64"/>
      <c r="K313" s="62"/>
      <c r="L313" s="62"/>
      <c r="M313" s="62"/>
      <c r="N313" s="62"/>
      <c r="O313" s="62"/>
      <c r="P313" s="62"/>
      <c r="Q313" s="62"/>
      <c r="R313" s="62"/>
      <c r="S313" s="62"/>
    </row>
    <row r="314">
      <c r="A314" s="67"/>
      <c r="B314" s="68"/>
      <c r="C314" s="62"/>
      <c r="D314" s="62"/>
      <c r="E314" s="62"/>
      <c r="F314" s="62"/>
      <c r="G314" s="63"/>
      <c r="H314" s="64"/>
      <c r="I314" s="69"/>
      <c r="J314" s="64"/>
      <c r="K314" s="62"/>
      <c r="L314" s="62"/>
      <c r="M314" s="62"/>
      <c r="N314" s="62"/>
      <c r="O314" s="62"/>
      <c r="P314" s="62"/>
      <c r="Q314" s="62"/>
      <c r="R314" s="62"/>
      <c r="S314" s="62"/>
    </row>
    <row r="315">
      <c r="A315" s="67"/>
      <c r="B315" s="68"/>
      <c r="C315" s="62"/>
      <c r="D315" s="62"/>
      <c r="E315" s="62"/>
      <c r="F315" s="62"/>
      <c r="G315" s="63"/>
      <c r="H315" s="64"/>
      <c r="I315" s="69"/>
      <c r="J315" s="64"/>
      <c r="K315" s="62"/>
      <c r="L315" s="62"/>
      <c r="M315" s="62"/>
      <c r="N315" s="62"/>
      <c r="O315" s="62"/>
      <c r="P315" s="62"/>
      <c r="Q315" s="62"/>
      <c r="R315" s="62"/>
      <c r="S315" s="62"/>
    </row>
    <row r="316">
      <c r="A316" s="67"/>
      <c r="B316" s="68"/>
      <c r="C316" s="62"/>
      <c r="D316" s="62"/>
      <c r="E316" s="62"/>
      <c r="F316" s="62"/>
      <c r="G316" s="63"/>
      <c r="H316" s="64"/>
      <c r="I316" s="69"/>
      <c r="J316" s="64"/>
      <c r="K316" s="62"/>
      <c r="L316" s="62"/>
      <c r="M316" s="62"/>
      <c r="N316" s="62"/>
      <c r="O316" s="62"/>
      <c r="P316" s="62"/>
      <c r="Q316" s="62"/>
      <c r="R316" s="62"/>
      <c r="S316" s="62"/>
    </row>
    <row r="317">
      <c r="A317" s="67"/>
      <c r="B317" s="68"/>
      <c r="C317" s="62"/>
      <c r="D317" s="62"/>
      <c r="E317" s="62"/>
      <c r="F317" s="62"/>
      <c r="G317" s="63"/>
      <c r="H317" s="64"/>
      <c r="I317" s="69"/>
      <c r="J317" s="64"/>
      <c r="K317" s="62"/>
      <c r="L317" s="62"/>
      <c r="M317" s="62"/>
      <c r="N317" s="62"/>
      <c r="O317" s="62"/>
      <c r="P317" s="62"/>
      <c r="Q317" s="62"/>
      <c r="R317" s="62"/>
      <c r="S317" s="62"/>
    </row>
    <row r="318">
      <c r="A318" s="67"/>
      <c r="B318" s="68"/>
      <c r="C318" s="62"/>
      <c r="D318" s="62"/>
      <c r="E318" s="62"/>
      <c r="F318" s="62"/>
      <c r="G318" s="63"/>
      <c r="H318" s="64"/>
      <c r="I318" s="69"/>
      <c r="J318" s="64"/>
      <c r="K318" s="62"/>
      <c r="L318" s="62"/>
      <c r="M318" s="62"/>
      <c r="N318" s="62"/>
      <c r="O318" s="62"/>
      <c r="P318" s="62"/>
      <c r="Q318" s="62"/>
      <c r="R318" s="62"/>
      <c r="S318" s="62"/>
    </row>
    <row r="319">
      <c r="A319" s="67"/>
      <c r="B319" s="68"/>
      <c r="C319" s="62"/>
      <c r="D319" s="62"/>
      <c r="E319" s="62"/>
      <c r="F319" s="62"/>
      <c r="G319" s="63"/>
      <c r="H319" s="64"/>
      <c r="I319" s="69"/>
      <c r="J319" s="64"/>
      <c r="K319" s="62"/>
      <c r="L319" s="62"/>
      <c r="M319" s="62"/>
      <c r="N319" s="62"/>
      <c r="O319" s="62"/>
      <c r="P319" s="62"/>
      <c r="Q319" s="62"/>
      <c r="R319" s="62"/>
      <c r="S319" s="62"/>
    </row>
    <row r="320">
      <c r="A320" s="67"/>
      <c r="B320" s="68"/>
      <c r="C320" s="62"/>
      <c r="D320" s="62"/>
      <c r="E320" s="62"/>
      <c r="F320" s="62"/>
      <c r="G320" s="63"/>
      <c r="H320" s="64"/>
      <c r="I320" s="69"/>
      <c r="J320" s="64"/>
      <c r="K320" s="62"/>
      <c r="L320" s="62"/>
      <c r="M320" s="62"/>
      <c r="N320" s="62"/>
      <c r="O320" s="62"/>
      <c r="P320" s="62"/>
      <c r="Q320" s="62"/>
      <c r="R320" s="62"/>
      <c r="S320" s="62"/>
    </row>
    <row r="321">
      <c r="A321" s="67"/>
      <c r="B321" s="68"/>
      <c r="C321" s="62"/>
      <c r="D321" s="62"/>
      <c r="E321" s="62"/>
      <c r="F321" s="62"/>
      <c r="G321" s="63"/>
      <c r="H321" s="64"/>
      <c r="I321" s="69"/>
      <c r="J321" s="64"/>
      <c r="K321" s="62"/>
      <c r="L321" s="62"/>
      <c r="M321" s="62"/>
      <c r="N321" s="62"/>
      <c r="O321" s="62"/>
      <c r="P321" s="62"/>
      <c r="Q321" s="62"/>
      <c r="R321" s="62"/>
      <c r="S321" s="62"/>
    </row>
    <row r="322">
      <c r="A322" s="67"/>
      <c r="B322" s="68"/>
      <c r="C322" s="62"/>
      <c r="D322" s="62"/>
      <c r="E322" s="62"/>
      <c r="F322" s="62"/>
      <c r="G322" s="63"/>
      <c r="H322" s="64"/>
      <c r="I322" s="69"/>
      <c r="J322" s="64"/>
      <c r="K322" s="62"/>
      <c r="L322" s="62"/>
      <c r="M322" s="62"/>
      <c r="N322" s="62"/>
      <c r="O322" s="62"/>
      <c r="P322" s="62"/>
      <c r="Q322" s="62"/>
      <c r="R322" s="62"/>
      <c r="S322" s="62"/>
    </row>
    <row r="323">
      <c r="A323" s="67"/>
      <c r="B323" s="68"/>
      <c r="C323" s="62"/>
      <c r="D323" s="62"/>
      <c r="E323" s="62"/>
      <c r="F323" s="62"/>
      <c r="G323" s="63"/>
      <c r="H323" s="64"/>
      <c r="I323" s="69"/>
      <c r="J323" s="64"/>
      <c r="K323" s="62"/>
      <c r="L323" s="62"/>
      <c r="M323" s="62"/>
      <c r="N323" s="62"/>
      <c r="O323" s="62"/>
      <c r="P323" s="62"/>
      <c r="Q323" s="62"/>
      <c r="R323" s="62"/>
      <c r="S323" s="62"/>
    </row>
    <row r="324">
      <c r="A324" s="67"/>
      <c r="B324" s="68"/>
      <c r="C324" s="62"/>
      <c r="D324" s="62"/>
      <c r="E324" s="62"/>
      <c r="F324" s="62"/>
      <c r="G324" s="63"/>
      <c r="H324" s="64"/>
      <c r="I324" s="69"/>
      <c r="J324" s="64"/>
      <c r="K324" s="62"/>
      <c r="L324" s="62"/>
      <c r="M324" s="62"/>
      <c r="N324" s="62"/>
      <c r="O324" s="62"/>
      <c r="P324" s="62"/>
      <c r="Q324" s="62"/>
      <c r="R324" s="62"/>
      <c r="S324" s="62"/>
    </row>
    <row r="325">
      <c r="A325" s="67"/>
      <c r="B325" s="68"/>
      <c r="C325" s="62"/>
      <c r="D325" s="62"/>
      <c r="E325" s="62"/>
      <c r="F325" s="62"/>
      <c r="G325" s="63"/>
      <c r="H325" s="64"/>
      <c r="I325" s="69"/>
      <c r="J325" s="64"/>
      <c r="K325" s="62"/>
      <c r="L325" s="62"/>
      <c r="M325" s="62"/>
      <c r="N325" s="62"/>
      <c r="O325" s="62"/>
      <c r="P325" s="62"/>
      <c r="Q325" s="62"/>
      <c r="R325" s="62"/>
      <c r="S325" s="62"/>
    </row>
    <row r="326">
      <c r="A326" s="67"/>
      <c r="B326" s="68"/>
      <c r="C326" s="62"/>
      <c r="D326" s="62"/>
      <c r="E326" s="62"/>
      <c r="F326" s="62"/>
      <c r="G326" s="63"/>
      <c r="H326" s="64"/>
      <c r="I326" s="69"/>
      <c r="J326" s="64"/>
      <c r="K326" s="62"/>
      <c r="L326" s="62"/>
      <c r="M326" s="62"/>
      <c r="N326" s="62"/>
      <c r="O326" s="62"/>
      <c r="P326" s="62"/>
      <c r="Q326" s="62"/>
      <c r="R326" s="62"/>
      <c r="S326" s="62"/>
    </row>
    <row r="327">
      <c r="A327" s="67"/>
      <c r="B327" s="68"/>
      <c r="C327" s="62"/>
      <c r="D327" s="62"/>
      <c r="E327" s="62"/>
      <c r="F327" s="62"/>
      <c r="G327" s="63"/>
      <c r="H327" s="64"/>
      <c r="I327" s="69"/>
      <c r="J327" s="64"/>
      <c r="K327" s="62"/>
      <c r="L327" s="62"/>
      <c r="M327" s="62"/>
      <c r="N327" s="62"/>
      <c r="O327" s="62"/>
      <c r="P327" s="62"/>
      <c r="Q327" s="62"/>
      <c r="R327" s="62"/>
      <c r="S327" s="62"/>
    </row>
    <row r="328">
      <c r="A328" s="67"/>
      <c r="B328" s="68"/>
      <c r="C328" s="62"/>
      <c r="D328" s="62"/>
      <c r="E328" s="62"/>
      <c r="F328" s="62"/>
      <c r="G328" s="63"/>
      <c r="H328" s="64"/>
      <c r="I328" s="69"/>
      <c r="J328" s="64"/>
      <c r="K328" s="62"/>
      <c r="L328" s="62"/>
      <c r="M328" s="62"/>
      <c r="N328" s="62"/>
      <c r="O328" s="62"/>
      <c r="P328" s="62"/>
      <c r="Q328" s="62"/>
      <c r="R328" s="62"/>
      <c r="S328" s="62"/>
    </row>
    <row r="329">
      <c r="A329" s="67"/>
      <c r="B329" s="68"/>
      <c r="C329" s="62"/>
      <c r="D329" s="62"/>
      <c r="E329" s="62"/>
      <c r="F329" s="62"/>
      <c r="G329" s="63"/>
      <c r="H329" s="64"/>
      <c r="I329" s="69"/>
      <c r="J329" s="64"/>
      <c r="K329" s="62"/>
      <c r="L329" s="62"/>
      <c r="M329" s="62"/>
      <c r="N329" s="62"/>
      <c r="O329" s="62"/>
      <c r="P329" s="62"/>
      <c r="Q329" s="62"/>
      <c r="R329" s="62"/>
      <c r="S329" s="62"/>
    </row>
    <row r="330">
      <c r="A330" s="67"/>
      <c r="B330" s="68"/>
      <c r="C330" s="62"/>
      <c r="D330" s="62"/>
      <c r="E330" s="62"/>
      <c r="F330" s="62"/>
      <c r="G330" s="63"/>
      <c r="H330" s="64"/>
      <c r="I330" s="69"/>
      <c r="J330" s="64"/>
      <c r="K330" s="62"/>
      <c r="L330" s="62"/>
      <c r="M330" s="62"/>
      <c r="N330" s="62"/>
      <c r="O330" s="62"/>
      <c r="P330" s="62"/>
      <c r="Q330" s="62"/>
      <c r="R330" s="62"/>
      <c r="S330" s="62"/>
    </row>
    <row r="331">
      <c r="A331" s="67"/>
      <c r="B331" s="68"/>
      <c r="C331" s="62"/>
      <c r="D331" s="62"/>
      <c r="E331" s="62"/>
      <c r="F331" s="62"/>
      <c r="G331" s="63"/>
      <c r="H331" s="64"/>
      <c r="I331" s="69"/>
      <c r="J331" s="64"/>
      <c r="K331" s="62"/>
      <c r="L331" s="62"/>
      <c r="M331" s="62"/>
      <c r="N331" s="62"/>
      <c r="O331" s="62"/>
      <c r="P331" s="62"/>
      <c r="Q331" s="62"/>
      <c r="R331" s="62"/>
      <c r="S331" s="62"/>
    </row>
    <row r="332">
      <c r="A332" s="67"/>
      <c r="B332" s="68"/>
      <c r="C332" s="62"/>
      <c r="D332" s="62"/>
      <c r="E332" s="62"/>
      <c r="F332" s="62"/>
      <c r="G332" s="63"/>
      <c r="H332" s="64"/>
      <c r="I332" s="69"/>
      <c r="J332" s="64"/>
      <c r="K332" s="62"/>
      <c r="L332" s="62"/>
      <c r="M332" s="62"/>
      <c r="N332" s="62"/>
      <c r="O332" s="62"/>
      <c r="P332" s="62"/>
      <c r="Q332" s="62"/>
      <c r="R332" s="62"/>
      <c r="S332" s="62"/>
    </row>
    <row r="333">
      <c r="A333" s="67"/>
      <c r="B333" s="68"/>
      <c r="C333" s="62"/>
      <c r="D333" s="62"/>
      <c r="E333" s="62"/>
      <c r="F333" s="62"/>
      <c r="G333" s="63"/>
      <c r="H333" s="64"/>
      <c r="I333" s="69"/>
      <c r="J333" s="64"/>
      <c r="K333" s="62"/>
      <c r="L333" s="62"/>
      <c r="M333" s="62"/>
      <c r="N333" s="62"/>
      <c r="O333" s="62"/>
      <c r="P333" s="62"/>
      <c r="Q333" s="62"/>
      <c r="R333" s="62"/>
      <c r="S333" s="62"/>
    </row>
    <row r="334">
      <c r="A334" s="67"/>
      <c r="B334" s="68"/>
      <c r="C334" s="62"/>
      <c r="D334" s="62"/>
      <c r="E334" s="62"/>
      <c r="F334" s="62"/>
      <c r="G334" s="63"/>
      <c r="H334" s="64"/>
      <c r="I334" s="69"/>
      <c r="J334" s="64"/>
      <c r="K334" s="62"/>
      <c r="L334" s="62"/>
      <c r="M334" s="62"/>
      <c r="N334" s="62"/>
      <c r="O334" s="62"/>
      <c r="P334" s="62"/>
      <c r="Q334" s="62"/>
      <c r="R334" s="62"/>
      <c r="S334" s="62"/>
    </row>
    <row r="335">
      <c r="A335" s="67"/>
      <c r="B335" s="68"/>
      <c r="C335" s="62"/>
      <c r="D335" s="62"/>
      <c r="E335" s="62"/>
      <c r="F335" s="62"/>
      <c r="G335" s="63"/>
      <c r="H335" s="64"/>
      <c r="I335" s="69"/>
      <c r="J335" s="64"/>
      <c r="K335" s="62"/>
      <c r="L335" s="62"/>
      <c r="M335" s="62"/>
      <c r="N335" s="62"/>
      <c r="O335" s="62"/>
      <c r="P335" s="62"/>
      <c r="Q335" s="62"/>
      <c r="R335" s="62"/>
      <c r="S335" s="62"/>
    </row>
    <row r="336">
      <c r="A336" s="67"/>
      <c r="B336" s="68"/>
      <c r="C336" s="62"/>
      <c r="D336" s="62"/>
      <c r="E336" s="62"/>
      <c r="F336" s="62"/>
      <c r="G336" s="63"/>
      <c r="H336" s="64"/>
      <c r="I336" s="69"/>
      <c r="J336" s="64"/>
      <c r="K336" s="62"/>
      <c r="L336" s="62"/>
      <c r="M336" s="62"/>
      <c r="N336" s="62"/>
      <c r="O336" s="62"/>
      <c r="P336" s="62"/>
      <c r="Q336" s="62"/>
      <c r="R336" s="62"/>
      <c r="S336" s="62"/>
    </row>
    <row r="337">
      <c r="A337" s="67"/>
      <c r="B337" s="68"/>
      <c r="C337" s="62"/>
      <c r="D337" s="62"/>
      <c r="E337" s="62"/>
      <c r="F337" s="62"/>
      <c r="G337" s="63"/>
      <c r="H337" s="64"/>
      <c r="I337" s="69"/>
      <c r="J337" s="64"/>
      <c r="K337" s="62"/>
      <c r="L337" s="62"/>
      <c r="M337" s="62"/>
      <c r="N337" s="62"/>
      <c r="O337" s="62"/>
      <c r="P337" s="62"/>
      <c r="Q337" s="62"/>
      <c r="R337" s="62"/>
      <c r="S337" s="62"/>
    </row>
    <row r="338">
      <c r="A338" s="67"/>
      <c r="B338" s="68"/>
      <c r="C338" s="62"/>
      <c r="D338" s="62"/>
      <c r="E338" s="62"/>
      <c r="F338" s="62"/>
      <c r="G338" s="63"/>
      <c r="H338" s="64"/>
      <c r="I338" s="69"/>
      <c r="J338" s="64"/>
      <c r="K338" s="62"/>
      <c r="L338" s="62"/>
      <c r="M338" s="62"/>
      <c r="N338" s="62"/>
      <c r="O338" s="62"/>
      <c r="P338" s="62"/>
      <c r="Q338" s="62"/>
      <c r="R338" s="62"/>
      <c r="S338" s="62"/>
    </row>
    <row r="339">
      <c r="A339" s="67"/>
      <c r="B339" s="68"/>
      <c r="C339" s="62"/>
      <c r="D339" s="62"/>
      <c r="E339" s="62"/>
      <c r="F339" s="62"/>
      <c r="G339" s="63"/>
      <c r="H339" s="64"/>
      <c r="I339" s="69"/>
      <c r="J339" s="64"/>
      <c r="K339" s="62"/>
      <c r="L339" s="62"/>
      <c r="M339" s="62"/>
      <c r="N339" s="62"/>
      <c r="O339" s="62"/>
      <c r="P339" s="62"/>
      <c r="Q339" s="62"/>
      <c r="R339" s="62"/>
      <c r="S339" s="62"/>
    </row>
    <row r="340">
      <c r="A340" s="67"/>
      <c r="B340" s="68"/>
      <c r="C340" s="62"/>
      <c r="D340" s="62"/>
      <c r="E340" s="62"/>
      <c r="F340" s="62"/>
      <c r="G340" s="63"/>
      <c r="H340" s="64"/>
      <c r="I340" s="69"/>
      <c r="J340" s="64"/>
      <c r="K340" s="62"/>
      <c r="L340" s="62"/>
      <c r="M340" s="62"/>
      <c r="N340" s="62"/>
      <c r="O340" s="62"/>
      <c r="P340" s="62"/>
      <c r="Q340" s="62"/>
      <c r="R340" s="62"/>
      <c r="S340" s="62"/>
    </row>
    <row r="341">
      <c r="A341" s="67"/>
      <c r="B341" s="68"/>
      <c r="C341" s="62"/>
      <c r="D341" s="62"/>
      <c r="E341" s="62"/>
      <c r="F341" s="62"/>
      <c r="G341" s="63"/>
      <c r="H341" s="64"/>
      <c r="I341" s="69"/>
      <c r="J341" s="64"/>
      <c r="K341" s="62"/>
      <c r="L341" s="62"/>
      <c r="M341" s="62"/>
      <c r="N341" s="62"/>
      <c r="O341" s="62"/>
      <c r="P341" s="62"/>
      <c r="Q341" s="62"/>
      <c r="R341" s="62"/>
      <c r="S341" s="62"/>
    </row>
    <row r="342">
      <c r="A342" s="67"/>
      <c r="B342" s="68"/>
      <c r="C342" s="62"/>
      <c r="D342" s="62"/>
      <c r="E342" s="62"/>
      <c r="F342" s="62"/>
      <c r="G342" s="63"/>
      <c r="H342" s="64"/>
      <c r="I342" s="69"/>
      <c r="J342" s="64"/>
      <c r="K342" s="62"/>
      <c r="L342" s="62"/>
      <c r="M342" s="62"/>
      <c r="N342" s="62"/>
      <c r="O342" s="62"/>
      <c r="P342" s="62"/>
      <c r="Q342" s="62"/>
      <c r="R342" s="62"/>
      <c r="S342" s="62"/>
    </row>
    <row r="343">
      <c r="A343" s="67"/>
      <c r="B343" s="68"/>
      <c r="C343" s="62"/>
      <c r="D343" s="62"/>
      <c r="E343" s="62"/>
      <c r="F343" s="62"/>
      <c r="G343" s="63"/>
      <c r="H343" s="64"/>
      <c r="I343" s="69"/>
      <c r="J343" s="64"/>
      <c r="K343" s="62"/>
      <c r="L343" s="62"/>
      <c r="M343" s="62"/>
      <c r="N343" s="62"/>
      <c r="O343" s="62"/>
      <c r="P343" s="62"/>
      <c r="Q343" s="62"/>
      <c r="R343" s="62"/>
      <c r="S343" s="62"/>
    </row>
    <row r="344">
      <c r="A344" s="67"/>
      <c r="B344" s="68"/>
      <c r="C344" s="62"/>
      <c r="D344" s="62"/>
      <c r="E344" s="62"/>
      <c r="F344" s="62"/>
      <c r="G344" s="63"/>
      <c r="H344" s="64"/>
      <c r="I344" s="69"/>
      <c r="J344" s="64"/>
      <c r="K344" s="62"/>
      <c r="L344" s="62"/>
      <c r="M344" s="62"/>
      <c r="N344" s="62"/>
      <c r="O344" s="62"/>
      <c r="P344" s="62"/>
      <c r="Q344" s="62"/>
      <c r="R344" s="62"/>
      <c r="S344" s="62"/>
    </row>
    <row r="345">
      <c r="A345" s="67"/>
      <c r="B345" s="68"/>
      <c r="C345" s="62"/>
      <c r="D345" s="62"/>
      <c r="E345" s="62"/>
      <c r="F345" s="62"/>
      <c r="G345" s="63"/>
      <c r="H345" s="64"/>
      <c r="I345" s="69"/>
      <c r="J345" s="64"/>
      <c r="K345" s="62"/>
      <c r="L345" s="62"/>
      <c r="M345" s="62"/>
      <c r="N345" s="62"/>
      <c r="O345" s="62"/>
      <c r="P345" s="62"/>
      <c r="Q345" s="62"/>
      <c r="R345" s="62"/>
      <c r="S345" s="62"/>
    </row>
    <row r="346">
      <c r="A346" s="67"/>
      <c r="B346" s="68"/>
      <c r="C346" s="62"/>
      <c r="D346" s="62"/>
      <c r="E346" s="62"/>
      <c r="F346" s="62"/>
      <c r="G346" s="63"/>
      <c r="H346" s="64"/>
      <c r="I346" s="69"/>
      <c r="J346" s="64"/>
      <c r="K346" s="62"/>
      <c r="L346" s="62"/>
      <c r="M346" s="62"/>
      <c r="N346" s="62"/>
      <c r="O346" s="62"/>
      <c r="P346" s="62"/>
      <c r="Q346" s="62"/>
      <c r="R346" s="62"/>
      <c r="S346" s="62"/>
    </row>
    <row r="347">
      <c r="A347" s="67"/>
      <c r="B347" s="68"/>
      <c r="C347" s="62"/>
      <c r="D347" s="62"/>
      <c r="E347" s="62"/>
      <c r="F347" s="62"/>
      <c r="G347" s="63"/>
      <c r="H347" s="64"/>
      <c r="I347" s="69"/>
      <c r="J347" s="64"/>
      <c r="K347" s="62"/>
      <c r="L347" s="62"/>
      <c r="M347" s="62"/>
      <c r="N347" s="62"/>
      <c r="O347" s="62"/>
      <c r="P347" s="62"/>
      <c r="Q347" s="62"/>
      <c r="R347" s="62"/>
      <c r="S347" s="62"/>
    </row>
    <row r="348">
      <c r="A348" s="67"/>
      <c r="B348" s="68"/>
      <c r="C348" s="62"/>
      <c r="D348" s="62"/>
      <c r="E348" s="62"/>
      <c r="F348" s="62"/>
      <c r="G348" s="63"/>
      <c r="H348" s="64"/>
      <c r="I348" s="69"/>
      <c r="J348" s="64"/>
      <c r="K348" s="62"/>
      <c r="L348" s="62"/>
      <c r="M348" s="62"/>
      <c r="N348" s="62"/>
      <c r="O348" s="62"/>
      <c r="P348" s="62"/>
      <c r="Q348" s="62"/>
      <c r="R348" s="62"/>
      <c r="S348" s="62"/>
    </row>
    <row r="349">
      <c r="A349" s="67"/>
      <c r="B349" s="68"/>
      <c r="C349" s="62"/>
      <c r="D349" s="62"/>
      <c r="E349" s="62"/>
      <c r="F349" s="62"/>
      <c r="G349" s="63"/>
      <c r="H349" s="64"/>
      <c r="I349" s="69"/>
      <c r="J349" s="64"/>
      <c r="K349" s="62"/>
      <c r="L349" s="62"/>
      <c r="M349" s="62"/>
      <c r="N349" s="62"/>
      <c r="O349" s="62"/>
      <c r="P349" s="62"/>
      <c r="Q349" s="62"/>
      <c r="R349" s="62"/>
      <c r="S349" s="62"/>
    </row>
    <row r="350">
      <c r="A350" s="67"/>
      <c r="B350" s="68"/>
      <c r="C350" s="62"/>
      <c r="D350" s="62"/>
      <c r="E350" s="62"/>
      <c r="F350" s="62"/>
      <c r="G350" s="63"/>
      <c r="H350" s="64"/>
      <c r="I350" s="69"/>
      <c r="J350" s="64"/>
      <c r="K350" s="62"/>
      <c r="L350" s="62"/>
      <c r="M350" s="62"/>
      <c r="N350" s="62"/>
      <c r="O350" s="62"/>
      <c r="P350" s="62"/>
      <c r="Q350" s="62"/>
      <c r="R350" s="62"/>
      <c r="S350" s="62"/>
    </row>
    <row r="351">
      <c r="A351" s="67"/>
      <c r="B351" s="68"/>
      <c r="C351" s="62"/>
      <c r="D351" s="62"/>
      <c r="E351" s="62"/>
      <c r="F351" s="62"/>
      <c r="G351" s="63"/>
      <c r="H351" s="64"/>
      <c r="I351" s="69"/>
      <c r="J351" s="64"/>
      <c r="K351" s="62"/>
      <c r="L351" s="62"/>
      <c r="M351" s="62"/>
      <c r="N351" s="62"/>
      <c r="O351" s="62"/>
      <c r="P351" s="62"/>
      <c r="Q351" s="62"/>
      <c r="R351" s="62"/>
      <c r="S351" s="62"/>
    </row>
    <row r="352">
      <c r="A352" s="67"/>
      <c r="B352" s="68"/>
      <c r="C352" s="62"/>
      <c r="D352" s="62"/>
      <c r="E352" s="62"/>
      <c r="F352" s="62"/>
      <c r="G352" s="63"/>
      <c r="H352" s="64"/>
      <c r="I352" s="69"/>
      <c r="J352" s="64"/>
      <c r="K352" s="62"/>
      <c r="L352" s="62"/>
      <c r="M352" s="62"/>
      <c r="N352" s="62"/>
      <c r="O352" s="62"/>
      <c r="P352" s="62"/>
      <c r="Q352" s="62"/>
      <c r="R352" s="62"/>
      <c r="S352" s="62"/>
    </row>
    <row r="353">
      <c r="A353" s="67"/>
      <c r="B353" s="68"/>
      <c r="C353" s="62"/>
      <c r="D353" s="62"/>
      <c r="E353" s="62"/>
      <c r="F353" s="62"/>
      <c r="G353" s="63"/>
      <c r="H353" s="64"/>
      <c r="I353" s="69"/>
      <c r="J353" s="64"/>
      <c r="K353" s="62"/>
      <c r="L353" s="62"/>
      <c r="M353" s="62"/>
      <c r="N353" s="62"/>
      <c r="O353" s="62"/>
      <c r="P353" s="62"/>
      <c r="Q353" s="62"/>
      <c r="R353" s="62"/>
      <c r="S353" s="62"/>
    </row>
    <row r="354">
      <c r="A354" s="67"/>
      <c r="B354" s="68"/>
      <c r="C354" s="62"/>
      <c r="D354" s="62"/>
      <c r="E354" s="62"/>
      <c r="F354" s="62"/>
      <c r="G354" s="63"/>
      <c r="H354" s="64"/>
      <c r="I354" s="69"/>
      <c r="J354" s="64"/>
      <c r="K354" s="62"/>
      <c r="L354" s="62"/>
      <c r="M354" s="62"/>
      <c r="N354" s="62"/>
      <c r="O354" s="62"/>
      <c r="P354" s="62"/>
      <c r="Q354" s="62"/>
      <c r="R354" s="62"/>
      <c r="S354" s="62"/>
    </row>
    <row r="355">
      <c r="A355" s="67"/>
      <c r="B355" s="68"/>
      <c r="C355" s="62"/>
      <c r="D355" s="62"/>
      <c r="E355" s="62"/>
      <c r="F355" s="62"/>
      <c r="G355" s="63"/>
      <c r="H355" s="64"/>
      <c r="I355" s="69"/>
      <c r="J355" s="64"/>
      <c r="K355" s="62"/>
      <c r="L355" s="62"/>
      <c r="M355" s="62"/>
      <c r="N355" s="62"/>
      <c r="O355" s="62"/>
      <c r="P355" s="62"/>
      <c r="Q355" s="62"/>
      <c r="R355" s="62"/>
      <c r="S355" s="62"/>
    </row>
    <row r="356">
      <c r="A356" s="67"/>
      <c r="B356" s="68"/>
      <c r="C356" s="62"/>
      <c r="D356" s="62"/>
      <c r="E356" s="62"/>
      <c r="F356" s="62"/>
      <c r="G356" s="63"/>
      <c r="H356" s="64"/>
      <c r="I356" s="69"/>
      <c r="J356" s="64"/>
      <c r="K356" s="62"/>
      <c r="L356" s="62"/>
      <c r="M356" s="62"/>
      <c r="N356" s="62"/>
      <c r="O356" s="62"/>
      <c r="P356" s="62"/>
      <c r="Q356" s="62"/>
      <c r="R356" s="62"/>
      <c r="S356" s="62"/>
    </row>
    <row r="357">
      <c r="A357" s="67"/>
      <c r="B357" s="68"/>
      <c r="C357" s="62"/>
      <c r="D357" s="62"/>
      <c r="E357" s="62"/>
      <c r="F357" s="62"/>
      <c r="G357" s="63"/>
      <c r="H357" s="64"/>
      <c r="I357" s="69"/>
      <c r="J357" s="64"/>
      <c r="K357" s="62"/>
      <c r="L357" s="62"/>
      <c r="M357" s="62"/>
      <c r="N357" s="62"/>
      <c r="O357" s="62"/>
      <c r="P357" s="62"/>
      <c r="Q357" s="62"/>
      <c r="R357" s="62"/>
      <c r="S357" s="62"/>
    </row>
    <row r="358">
      <c r="A358" s="67"/>
      <c r="B358" s="68"/>
      <c r="C358" s="62"/>
      <c r="D358" s="62"/>
      <c r="E358" s="62"/>
      <c r="F358" s="62"/>
      <c r="G358" s="63"/>
      <c r="H358" s="64"/>
      <c r="I358" s="69"/>
      <c r="J358" s="64"/>
      <c r="K358" s="62"/>
      <c r="L358" s="62"/>
      <c r="M358" s="62"/>
      <c r="N358" s="62"/>
      <c r="O358" s="62"/>
      <c r="P358" s="62"/>
      <c r="Q358" s="62"/>
      <c r="R358" s="62"/>
      <c r="S358" s="62"/>
    </row>
    <row r="359">
      <c r="A359" s="67"/>
      <c r="B359" s="68"/>
      <c r="C359" s="62"/>
      <c r="D359" s="62"/>
      <c r="E359" s="62"/>
      <c r="F359" s="62"/>
      <c r="G359" s="63"/>
      <c r="H359" s="64"/>
      <c r="I359" s="69"/>
      <c r="J359" s="64"/>
      <c r="K359" s="62"/>
      <c r="L359" s="62"/>
      <c r="M359" s="62"/>
      <c r="N359" s="62"/>
      <c r="O359" s="62"/>
      <c r="P359" s="62"/>
      <c r="Q359" s="62"/>
      <c r="R359" s="62"/>
      <c r="S359" s="62"/>
    </row>
    <row r="360">
      <c r="A360" s="67"/>
      <c r="B360" s="68"/>
      <c r="C360" s="62"/>
      <c r="D360" s="62"/>
      <c r="E360" s="62"/>
      <c r="F360" s="62"/>
      <c r="G360" s="63"/>
      <c r="H360" s="64"/>
      <c r="I360" s="69"/>
      <c r="J360" s="64"/>
      <c r="K360" s="62"/>
      <c r="L360" s="62"/>
      <c r="M360" s="62"/>
      <c r="N360" s="62"/>
      <c r="O360" s="62"/>
      <c r="P360" s="62"/>
      <c r="Q360" s="62"/>
      <c r="R360" s="62"/>
      <c r="S360" s="62"/>
    </row>
    <row r="361">
      <c r="A361" s="67"/>
      <c r="B361" s="68"/>
      <c r="C361" s="62"/>
      <c r="D361" s="62"/>
      <c r="E361" s="62"/>
      <c r="F361" s="62"/>
      <c r="G361" s="63"/>
      <c r="H361" s="64"/>
      <c r="I361" s="69"/>
      <c r="J361" s="64"/>
      <c r="K361" s="62"/>
      <c r="L361" s="62"/>
      <c r="M361" s="62"/>
      <c r="N361" s="62"/>
      <c r="O361" s="62"/>
      <c r="P361" s="62"/>
      <c r="Q361" s="62"/>
      <c r="R361" s="62"/>
      <c r="S361" s="62"/>
    </row>
    <row r="362">
      <c r="A362" s="67"/>
      <c r="B362" s="68"/>
      <c r="C362" s="62"/>
      <c r="D362" s="62"/>
      <c r="E362" s="62"/>
      <c r="F362" s="62"/>
      <c r="G362" s="63"/>
      <c r="H362" s="64"/>
      <c r="I362" s="69"/>
      <c r="J362" s="64"/>
      <c r="K362" s="62"/>
      <c r="L362" s="62"/>
      <c r="M362" s="62"/>
      <c r="N362" s="62"/>
      <c r="O362" s="62"/>
      <c r="P362" s="62"/>
      <c r="Q362" s="62"/>
      <c r="R362" s="62"/>
      <c r="S362" s="62"/>
    </row>
    <row r="363">
      <c r="A363" s="67"/>
      <c r="B363" s="68"/>
      <c r="C363" s="62"/>
      <c r="D363" s="62"/>
      <c r="E363" s="62"/>
      <c r="F363" s="62"/>
      <c r="G363" s="63"/>
      <c r="H363" s="64"/>
      <c r="I363" s="69"/>
      <c r="J363" s="64"/>
      <c r="K363" s="62"/>
      <c r="L363" s="62"/>
      <c r="M363" s="62"/>
      <c r="N363" s="62"/>
      <c r="O363" s="62"/>
      <c r="P363" s="62"/>
      <c r="Q363" s="62"/>
      <c r="R363" s="62"/>
      <c r="S363" s="62"/>
    </row>
    <row r="364">
      <c r="A364" s="67"/>
      <c r="B364" s="68"/>
      <c r="C364" s="62"/>
      <c r="D364" s="62"/>
      <c r="E364" s="62"/>
      <c r="F364" s="62"/>
      <c r="G364" s="63"/>
      <c r="H364" s="64"/>
      <c r="I364" s="69"/>
      <c r="J364" s="64"/>
      <c r="K364" s="62"/>
      <c r="L364" s="62"/>
      <c r="M364" s="62"/>
      <c r="N364" s="62"/>
      <c r="O364" s="62"/>
      <c r="P364" s="62"/>
      <c r="Q364" s="62"/>
      <c r="R364" s="62"/>
      <c r="S364" s="62"/>
    </row>
    <row r="365">
      <c r="A365" s="67"/>
      <c r="B365" s="68"/>
      <c r="C365" s="62"/>
      <c r="D365" s="62"/>
      <c r="E365" s="62"/>
      <c r="F365" s="62"/>
      <c r="G365" s="63"/>
      <c r="H365" s="64"/>
      <c r="I365" s="69"/>
      <c r="J365" s="64"/>
      <c r="K365" s="62"/>
      <c r="L365" s="62"/>
      <c r="M365" s="62"/>
      <c r="N365" s="62"/>
      <c r="O365" s="62"/>
      <c r="P365" s="62"/>
      <c r="Q365" s="62"/>
      <c r="R365" s="62"/>
      <c r="S365" s="62"/>
    </row>
    <row r="366">
      <c r="A366" s="67"/>
      <c r="B366" s="68"/>
      <c r="C366" s="62"/>
      <c r="D366" s="62"/>
      <c r="E366" s="62"/>
      <c r="F366" s="62"/>
      <c r="G366" s="63"/>
      <c r="H366" s="64"/>
      <c r="I366" s="69"/>
      <c r="J366" s="64"/>
      <c r="K366" s="62"/>
      <c r="L366" s="62"/>
      <c r="M366" s="62"/>
      <c r="N366" s="62"/>
      <c r="O366" s="62"/>
      <c r="P366" s="62"/>
      <c r="Q366" s="62"/>
      <c r="R366" s="62"/>
      <c r="S366" s="62"/>
    </row>
    <row r="367">
      <c r="A367" s="67"/>
      <c r="B367" s="68"/>
      <c r="C367" s="62"/>
      <c r="D367" s="62"/>
      <c r="E367" s="62"/>
      <c r="F367" s="62"/>
      <c r="G367" s="63"/>
      <c r="H367" s="64"/>
      <c r="I367" s="69"/>
      <c r="J367" s="64"/>
      <c r="K367" s="62"/>
      <c r="L367" s="62"/>
      <c r="M367" s="62"/>
      <c r="N367" s="62"/>
      <c r="O367" s="62"/>
      <c r="P367" s="62"/>
      <c r="Q367" s="62"/>
      <c r="R367" s="62"/>
      <c r="S367" s="62"/>
    </row>
    <row r="368">
      <c r="A368" s="67"/>
      <c r="B368" s="68"/>
      <c r="C368" s="62"/>
      <c r="D368" s="62"/>
      <c r="E368" s="62"/>
      <c r="F368" s="62"/>
      <c r="G368" s="63"/>
      <c r="H368" s="64"/>
      <c r="I368" s="69"/>
      <c r="J368" s="64"/>
      <c r="K368" s="62"/>
      <c r="L368" s="62"/>
      <c r="M368" s="62"/>
      <c r="N368" s="62"/>
      <c r="O368" s="62"/>
      <c r="P368" s="62"/>
      <c r="Q368" s="62"/>
      <c r="R368" s="62"/>
      <c r="S368" s="62"/>
    </row>
    <row r="369">
      <c r="A369" s="67"/>
      <c r="B369" s="68"/>
      <c r="C369" s="62"/>
      <c r="D369" s="62"/>
      <c r="E369" s="62"/>
      <c r="F369" s="62"/>
      <c r="G369" s="63"/>
      <c r="H369" s="64"/>
      <c r="I369" s="69"/>
      <c r="J369" s="64"/>
      <c r="K369" s="62"/>
      <c r="L369" s="62"/>
      <c r="M369" s="62"/>
      <c r="N369" s="62"/>
      <c r="O369" s="62"/>
      <c r="P369" s="62"/>
      <c r="Q369" s="62"/>
      <c r="R369" s="62"/>
      <c r="S369" s="62"/>
    </row>
    <row r="370">
      <c r="A370" s="67"/>
      <c r="B370" s="68"/>
      <c r="C370" s="62"/>
      <c r="D370" s="62"/>
      <c r="E370" s="62"/>
      <c r="F370" s="62"/>
      <c r="G370" s="63"/>
      <c r="H370" s="64"/>
      <c r="I370" s="69"/>
      <c r="J370" s="64"/>
      <c r="K370" s="62"/>
      <c r="L370" s="62"/>
      <c r="M370" s="62"/>
      <c r="N370" s="62"/>
      <c r="O370" s="62"/>
      <c r="P370" s="62"/>
      <c r="Q370" s="62"/>
      <c r="R370" s="62"/>
      <c r="S370" s="62"/>
    </row>
    <row r="371">
      <c r="A371" s="67"/>
      <c r="B371" s="68"/>
      <c r="C371" s="62"/>
      <c r="D371" s="62"/>
      <c r="E371" s="62"/>
      <c r="F371" s="62"/>
      <c r="G371" s="63"/>
      <c r="H371" s="64"/>
      <c r="I371" s="69"/>
      <c r="J371" s="64"/>
      <c r="K371" s="62"/>
      <c r="L371" s="62"/>
      <c r="M371" s="62"/>
      <c r="N371" s="62"/>
      <c r="O371" s="62"/>
      <c r="P371" s="62"/>
      <c r="Q371" s="62"/>
      <c r="R371" s="62"/>
      <c r="S371" s="62"/>
    </row>
    <row r="372">
      <c r="A372" s="67"/>
      <c r="B372" s="68"/>
      <c r="C372" s="62"/>
      <c r="D372" s="62"/>
      <c r="E372" s="62"/>
      <c r="F372" s="62"/>
      <c r="G372" s="63"/>
      <c r="H372" s="64"/>
      <c r="I372" s="69"/>
      <c r="J372" s="64"/>
      <c r="K372" s="62"/>
      <c r="L372" s="62"/>
      <c r="M372" s="62"/>
      <c r="N372" s="62"/>
      <c r="O372" s="62"/>
      <c r="P372" s="62"/>
      <c r="Q372" s="62"/>
      <c r="R372" s="62"/>
      <c r="S372" s="62"/>
    </row>
    <row r="373">
      <c r="A373" s="67"/>
      <c r="B373" s="68"/>
      <c r="C373" s="62"/>
      <c r="D373" s="62"/>
      <c r="E373" s="62"/>
      <c r="F373" s="62"/>
      <c r="G373" s="63"/>
      <c r="H373" s="64"/>
      <c r="I373" s="69"/>
      <c r="J373" s="64"/>
      <c r="K373" s="62"/>
      <c r="L373" s="62"/>
      <c r="M373" s="62"/>
      <c r="N373" s="62"/>
      <c r="O373" s="62"/>
      <c r="P373" s="62"/>
      <c r="Q373" s="62"/>
      <c r="R373" s="62"/>
      <c r="S373" s="62"/>
    </row>
    <row r="374">
      <c r="A374" s="67"/>
      <c r="B374" s="68"/>
      <c r="C374" s="62"/>
      <c r="D374" s="62"/>
      <c r="E374" s="62"/>
      <c r="F374" s="62"/>
      <c r="G374" s="63"/>
      <c r="H374" s="64"/>
      <c r="I374" s="69"/>
      <c r="J374" s="64"/>
      <c r="K374" s="62"/>
      <c r="L374" s="62"/>
      <c r="M374" s="62"/>
      <c r="N374" s="62"/>
      <c r="O374" s="62"/>
      <c r="P374" s="62"/>
      <c r="Q374" s="62"/>
      <c r="R374" s="62"/>
      <c r="S374" s="62"/>
    </row>
    <row r="375">
      <c r="A375" s="67"/>
      <c r="B375" s="68"/>
      <c r="C375" s="62"/>
      <c r="D375" s="62"/>
      <c r="E375" s="62"/>
      <c r="F375" s="62"/>
      <c r="G375" s="63"/>
      <c r="H375" s="64"/>
      <c r="I375" s="69"/>
      <c r="J375" s="64"/>
      <c r="K375" s="62"/>
      <c r="L375" s="62"/>
      <c r="M375" s="62"/>
      <c r="N375" s="62"/>
      <c r="O375" s="62"/>
      <c r="P375" s="62"/>
      <c r="Q375" s="62"/>
      <c r="R375" s="62"/>
      <c r="S375" s="62"/>
    </row>
    <row r="376">
      <c r="A376" s="67"/>
      <c r="B376" s="68"/>
      <c r="C376" s="62"/>
      <c r="D376" s="62"/>
      <c r="E376" s="62"/>
      <c r="F376" s="62"/>
      <c r="G376" s="63"/>
      <c r="H376" s="64"/>
      <c r="I376" s="69"/>
      <c r="J376" s="64"/>
      <c r="K376" s="62"/>
      <c r="L376" s="62"/>
      <c r="M376" s="62"/>
      <c r="N376" s="62"/>
      <c r="O376" s="62"/>
      <c r="P376" s="62"/>
      <c r="Q376" s="62"/>
      <c r="R376" s="62"/>
      <c r="S376" s="62"/>
    </row>
    <row r="377">
      <c r="A377" s="67"/>
      <c r="B377" s="68"/>
      <c r="C377" s="62"/>
      <c r="D377" s="62"/>
      <c r="E377" s="62"/>
      <c r="F377" s="62"/>
      <c r="G377" s="63"/>
      <c r="H377" s="64"/>
      <c r="I377" s="69"/>
      <c r="J377" s="64"/>
      <c r="K377" s="62"/>
      <c r="L377" s="62"/>
      <c r="M377" s="62"/>
      <c r="N377" s="62"/>
      <c r="O377" s="62"/>
      <c r="P377" s="62"/>
      <c r="Q377" s="62"/>
      <c r="R377" s="62"/>
      <c r="S377" s="62"/>
    </row>
    <row r="378">
      <c r="A378" s="67"/>
      <c r="B378" s="68"/>
      <c r="C378" s="62"/>
      <c r="D378" s="62"/>
      <c r="E378" s="62"/>
      <c r="F378" s="62"/>
      <c r="G378" s="63"/>
      <c r="H378" s="64"/>
      <c r="I378" s="69"/>
      <c r="J378" s="64"/>
      <c r="K378" s="62"/>
      <c r="L378" s="62"/>
      <c r="M378" s="62"/>
      <c r="N378" s="62"/>
      <c r="O378" s="62"/>
      <c r="P378" s="62"/>
      <c r="Q378" s="62"/>
      <c r="R378" s="62"/>
      <c r="S378" s="62"/>
    </row>
    <row r="379">
      <c r="A379" s="67"/>
      <c r="B379" s="68"/>
      <c r="C379" s="62"/>
      <c r="D379" s="62"/>
      <c r="E379" s="62"/>
      <c r="F379" s="62"/>
      <c r="G379" s="63"/>
      <c r="H379" s="64"/>
      <c r="I379" s="69"/>
      <c r="J379" s="64"/>
      <c r="K379" s="62"/>
      <c r="L379" s="62"/>
      <c r="M379" s="62"/>
      <c r="N379" s="62"/>
      <c r="O379" s="62"/>
      <c r="P379" s="62"/>
      <c r="Q379" s="62"/>
      <c r="R379" s="62"/>
      <c r="S379" s="62"/>
    </row>
    <row r="380">
      <c r="A380" s="67"/>
      <c r="B380" s="68"/>
      <c r="C380" s="62"/>
      <c r="D380" s="62"/>
      <c r="E380" s="62"/>
      <c r="F380" s="62"/>
      <c r="G380" s="63"/>
      <c r="H380" s="64"/>
      <c r="I380" s="69"/>
      <c r="J380" s="64"/>
      <c r="K380" s="62"/>
      <c r="L380" s="62"/>
      <c r="M380" s="62"/>
      <c r="N380" s="62"/>
      <c r="O380" s="62"/>
      <c r="P380" s="62"/>
      <c r="Q380" s="62"/>
      <c r="R380" s="62"/>
      <c r="S380" s="62"/>
    </row>
    <row r="381">
      <c r="A381" s="67"/>
      <c r="B381" s="68"/>
      <c r="C381" s="62"/>
      <c r="D381" s="62"/>
      <c r="E381" s="62"/>
      <c r="F381" s="62"/>
      <c r="G381" s="63"/>
      <c r="H381" s="64"/>
      <c r="I381" s="69"/>
      <c r="J381" s="64"/>
      <c r="K381" s="62"/>
      <c r="L381" s="62"/>
      <c r="M381" s="62"/>
      <c r="N381" s="62"/>
      <c r="O381" s="62"/>
      <c r="P381" s="62"/>
      <c r="Q381" s="62"/>
      <c r="R381" s="62"/>
      <c r="S381" s="62"/>
    </row>
    <row r="382">
      <c r="A382" s="67"/>
      <c r="B382" s="68"/>
      <c r="C382" s="62"/>
      <c r="D382" s="62"/>
      <c r="E382" s="62"/>
      <c r="F382" s="62"/>
      <c r="G382" s="63"/>
      <c r="H382" s="64"/>
      <c r="I382" s="69"/>
      <c r="J382" s="64"/>
      <c r="K382" s="62"/>
      <c r="L382" s="62"/>
      <c r="M382" s="62"/>
      <c r="N382" s="62"/>
      <c r="O382" s="62"/>
      <c r="P382" s="62"/>
      <c r="Q382" s="62"/>
      <c r="R382" s="62"/>
      <c r="S382" s="62"/>
    </row>
    <row r="383">
      <c r="A383" s="67"/>
      <c r="B383" s="68"/>
      <c r="C383" s="62"/>
      <c r="D383" s="62"/>
      <c r="E383" s="62"/>
      <c r="F383" s="62"/>
      <c r="G383" s="63"/>
      <c r="H383" s="64"/>
      <c r="I383" s="69"/>
      <c r="J383" s="64"/>
      <c r="K383" s="62"/>
      <c r="L383" s="62"/>
      <c r="M383" s="62"/>
      <c r="N383" s="62"/>
      <c r="O383" s="62"/>
      <c r="P383" s="62"/>
      <c r="Q383" s="62"/>
      <c r="R383" s="62"/>
      <c r="S383" s="62"/>
    </row>
    <row r="384">
      <c r="A384" s="67"/>
      <c r="B384" s="68"/>
      <c r="C384" s="62"/>
      <c r="D384" s="62"/>
      <c r="E384" s="62"/>
      <c r="F384" s="62"/>
      <c r="G384" s="63"/>
      <c r="H384" s="64"/>
      <c r="I384" s="69"/>
      <c r="J384" s="64"/>
      <c r="K384" s="62"/>
      <c r="L384" s="62"/>
      <c r="M384" s="62"/>
      <c r="N384" s="62"/>
      <c r="O384" s="62"/>
      <c r="P384" s="62"/>
      <c r="Q384" s="62"/>
      <c r="R384" s="62"/>
      <c r="S384" s="62"/>
    </row>
    <row r="385">
      <c r="A385" s="67"/>
      <c r="B385" s="68"/>
      <c r="C385" s="62"/>
      <c r="D385" s="62"/>
      <c r="E385" s="62"/>
      <c r="F385" s="62"/>
      <c r="G385" s="63"/>
      <c r="H385" s="64"/>
      <c r="I385" s="69"/>
      <c r="J385" s="64"/>
      <c r="K385" s="62"/>
      <c r="L385" s="62"/>
      <c r="M385" s="62"/>
      <c r="N385" s="62"/>
      <c r="O385" s="62"/>
      <c r="P385" s="62"/>
      <c r="Q385" s="62"/>
      <c r="R385" s="62"/>
      <c r="S385" s="62"/>
    </row>
    <row r="386">
      <c r="A386" s="67"/>
      <c r="B386" s="68"/>
      <c r="C386" s="62"/>
      <c r="D386" s="62"/>
      <c r="E386" s="62"/>
      <c r="F386" s="62"/>
      <c r="G386" s="63"/>
      <c r="H386" s="64"/>
      <c r="I386" s="69"/>
      <c r="J386" s="64"/>
      <c r="K386" s="62"/>
      <c r="L386" s="62"/>
      <c r="M386" s="62"/>
      <c r="N386" s="62"/>
      <c r="O386" s="62"/>
      <c r="P386" s="62"/>
      <c r="Q386" s="62"/>
      <c r="R386" s="62"/>
      <c r="S386" s="62"/>
    </row>
    <row r="387">
      <c r="A387" s="67"/>
      <c r="B387" s="68"/>
      <c r="C387" s="62"/>
      <c r="D387" s="62"/>
      <c r="E387" s="62"/>
      <c r="F387" s="62"/>
      <c r="G387" s="63"/>
      <c r="H387" s="64"/>
      <c r="I387" s="69"/>
      <c r="J387" s="64"/>
      <c r="K387" s="62"/>
      <c r="L387" s="62"/>
      <c r="M387" s="62"/>
      <c r="N387" s="62"/>
      <c r="O387" s="62"/>
      <c r="P387" s="62"/>
      <c r="Q387" s="62"/>
      <c r="R387" s="62"/>
      <c r="S387" s="62"/>
    </row>
    <row r="388">
      <c r="A388" s="67"/>
      <c r="B388" s="68"/>
      <c r="C388" s="62"/>
      <c r="D388" s="62"/>
      <c r="E388" s="62"/>
      <c r="F388" s="62"/>
      <c r="G388" s="63"/>
      <c r="H388" s="64"/>
      <c r="I388" s="69"/>
      <c r="J388" s="64"/>
      <c r="K388" s="62"/>
      <c r="L388" s="62"/>
      <c r="M388" s="62"/>
      <c r="N388" s="62"/>
      <c r="O388" s="62"/>
      <c r="P388" s="62"/>
      <c r="Q388" s="62"/>
      <c r="R388" s="62"/>
      <c r="S388" s="62"/>
    </row>
    <row r="389">
      <c r="A389" s="67"/>
      <c r="B389" s="68"/>
      <c r="C389" s="62"/>
      <c r="D389" s="62"/>
      <c r="E389" s="62"/>
      <c r="F389" s="62"/>
      <c r="G389" s="63"/>
      <c r="H389" s="64"/>
      <c r="I389" s="69"/>
      <c r="J389" s="64"/>
      <c r="K389" s="62"/>
      <c r="L389" s="62"/>
      <c r="M389" s="62"/>
      <c r="N389" s="62"/>
      <c r="O389" s="62"/>
      <c r="P389" s="62"/>
      <c r="Q389" s="62"/>
      <c r="R389" s="62"/>
      <c r="S389" s="62"/>
    </row>
    <row r="390">
      <c r="A390" s="67"/>
      <c r="B390" s="68"/>
      <c r="C390" s="62"/>
      <c r="D390" s="62"/>
      <c r="E390" s="62"/>
      <c r="F390" s="62"/>
      <c r="G390" s="63"/>
      <c r="H390" s="64"/>
      <c r="I390" s="69"/>
      <c r="J390" s="64"/>
      <c r="K390" s="62"/>
      <c r="L390" s="62"/>
      <c r="M390" s="62"/>
      <c r="N390" s="62"/>
      <c r="O390" s="62"/>
      <c r="P390" s="62"/>
      <c r="Q390" s="62"/>
      <c r="R390" s="62"/>
      <c r="S390" s="62"/>
    </row>
    <row r="391">
      <c r="A391" s="67"/>
      <c r="B391" s="68"/>
      <c r="C391" s="62"/>
      <c r="D391" s="62"/>
      <c r="E391" s="62"/>
      <c r="F391" s="62"/>
      <c r="G391" s="63"/>
      <c r="H391" s="64"/>
      <c r="I391" s="69"/>
      <c r="J391" s="64"/>
      <c r="K391" s="62"/>
      <c r="L391" s="62"/>
      <c r="M391" s="62"/>
      <c r="N391" s="62"/>
      <c r="O391" s="62"/>
      <c r="P391" s="62"/>
      <c r="Q391" s="62"/>
      <c r="R391" s="62"/>
      <c r="S391" s="62"/>
    </row>
    <row r="392">
      <c r="A392" s="67"/>
      <c r="B392" s="68"/>
      <c r="C392" s="62"/>
      <c r="D392" s="62"/>
      <c r="E392" s="62"/>
      <c r="F392" s="62"/>
      <c r="G392" s="63"/>
      <c r="H392" s="64"/>
      <c r="I392" s="69"/>
      <c r="J392" s="64"/>
      <c r="K392" s="62"/>
      <c r="L392" s="62"/>
      <c r="M392" s="62"/>
      <c r="N392" s="62"/>
      <c r="O392" s="62"/>
      <c r="P392" s="62"/>
      <c r="Q392" s="62"/>
      <c r="R392" s="62"/>
      <c r="S392" s="62"/>
    </row>
    <row r="393">
      <c r="A393" s="67"/>
      <c r="B393" s="68"/>
      <c r="C393" s="62"/>
      <c r="D393" s="62"/>
      <c r="E393" s="62"/>
      <c r="F393" s="62"/>
      <c r="G393" s="63"/>
      <c r="H393" s="64"/>
      <c r="I393" s="69"/>
      <c r="J393" s="64"/>
      <c r="K393" s="62"/>
      <c r="L393" s="62"/>
      <c r="M393" s="62"/>
      <c r="N393" s="62"/>
      <c r="O393" s="62"/>
      <c r="P393" s="62"/>
      <c r="Q393" s="62"/>
      <c r="R393" s="62"/>
      <c r="S393" s="62"/>
    </row>
    <row r="394">
      <c r="A394" s="67"/>
      <c r="B394" s="68"/>
      <c r="C394" s="62"/>
      <c r="D394" s="62"/>
      <c r="E394" s="62"/>
      <c r="F394" s="62"/>
      <c r="G394" s="63"/>
      <c r="H394" s="64"/>
      <c r="I394" s="69"/>
      <c r="J394" s="64"/>
      <c r="K394" s="62"/>
      <c r="L394" s="62"/>
      <c r="M394" s="62"/>
      <c r="N394" s="62"/>
      <c r="O394" s="62"/>
      <c r="P394" s="62"/>
      <c r="Q394" s="62"/>
      <c r="R394" s="62"/>
      <c r="S394" s="62"/>
    </row>
    <row r="395">
      <c r="A395" s="67"/>
      <c r="B395" s="68"/>
      <c r="C395" s="62"/>
      <c r="D395" s="62"/>
      <c r="E395" s="62"/>
      <c r="F395" s="62"/>
      <c r="G395" s="63"/>
      <c r="H395" s="64"/>
      <c r="I395" s="69"/>
      <c r="J395" s="64"/>
      <c r="K395" s="62"/>
      <c r="L395" s="62"/>
      <c r="M395" s="62"/>
      <c r="N395" s="62"/>
      <c r="O395" s="62"/>
      <c r="P395" s="62"/>
      <c r="Q395" s="62"/>
      <c r="R395" s="62"/>
      <c r="S395" s="62"/>
    </row>
    <row r="396">
      <c r="A396" s="67"/>
      <c r="B396" s="68"/>
      <c r="C396" s="62"/>
      <c r="D396" s="62"/>
      <c r="E396" s="62"/>
      <c r="F396" s="62"/>
      <c r="G396" s="63"/>
      <c r="H396" s="64"/>
      <c r="I396" s="69"/>
      <c r="J396" s="64"/>
      <c r="K396" s="62"/>
      <c r="L396" s="62"/>
      <c r="M396" s="62"/>
      <c r="N396" s="62"/>
      <c r="O396" s="62"/>
      <c r="P396" s="62"/>
      <c r="Q396" s="62"/>
      <c r="R396" s="62"/>
      <c r="S396" s="62"/>
    </row>
    <row r="397">
      <c r="A397" s="67"/>
      <c r="B397" s="68"/>
      <c r="C397" s="62"/>
      <c r="D397" s="62"/>
      <c r="E397" s="62"/>
      <c r="F397" s="62"/>
      <c r="G397" s="63"/>
      <c r="H397" s="64"/>
      <c r="I397" s="69"/>
      <c r="J397" s="64"/>
      <c r="K397" s="62"/>
      <c r="L397" s="62"/>
      <c r="M397" s="62"/>
      <c r="N397" s="62"/>
      <c r="O397" s="62"/>
      <c r="P397" s="62"/>
      <c r="Q397" s="62"/>
      <c r="R397" s="62"/>
      <c r="S397" s="62"/>
    </row>
    <row r="398">
      <c r="A398" s="67"/>
      <c r="B398" s="68"/>
      <c r="C398" s="62"/>
      <c r="D398" s="62"/>
      <c r="E398" s="62"/>
      <c r="F398" s="62"/>
      <c r="G398" s="63"/>
      <c r="H398" s="64"/>
      <c r="I398" s="69"/>
      <c r="J398" s="64"/>
      <c r="K398" s="62"/>
      <c r="L398" s="62"/>
      <c r="M398" s="62"/>
      <c r="N398" s="62"/>
      <c r="O398" s="62"/>
      <c r="P398" s="62"/>
      <c r="Q398" s="62"/>
      <c r="R398" s="62"/>
      <c r="S398" s="62"/>
    </row>
    <row r="399">
      <c r="A399" s="67"/>
      <c r="B399" s="68"/>
      <c r="C399" s="62"/>
      <c r="D399" s="62"/>
      <c r="E399" s="62"/>
      <c r="F399" s="62"/>
      <c r="G399" s="63"/>
      <c r="H399" s="64"/>
      <c r="I399" s="69"/>
      <c r="J399" s="64"/>
      <c r="K399" s="62"/>
      <c r="L399" s="62"/>
      <c r="M399" s="62"/>
      <c r="N399" s="62"/>
      <c r="O399" s="62"/>
      <c r="P399" s="62"/>
      <c r="Q399" s="62"/>
      <c r="R399" s="62"/>
      <c r="S399" s="62"/>
    </row>
    <row r="400">
      <c r="A400" s="67"/>
      <c r="B400" s="68"/>
      <c r="C400" s="62"/>
      <c r="D400" s="62"/>
      <c r="E400" s="62"/>
      <c r="F400" s="62"/>
      <c r="G400" s="63"/>
      <c r="H400" s="64"/>
      <c r="I400" s="69"/>
      <c r="J400" s="64"/>
      <c r="K400" s="62"/>
      <c r="L400" s="62"/>
      <c r="M400" s="62"/>
      <c r="N400" s="62"/>
      <c r="O400" s="62"/>
      <c r="P400" s="62"/>
      <c r="Q400" s="62"/>
      <c r="R400" s="62"/>
      <c r="S400" s="62"/>
    </row>
    <row r="401">
      <c r="A401" s="67"/>
      <c r="B401" s="68"/>
      <c r="C401" s="62"/>
      <c r="D401" s="62"/>
      <c r="E401" s="62"/>
      <c r="F401" s="62"/>
      <c r="G401" s="63"/>
      <c r="H401" s="64"/>
      <c r="I401" s="69"/>
      <c r="J401" s="64"/>
      <c r="K401" s="62"/>
      <c r="L401" s="62"/>
      <c r="M401" s="62"/>
      <c r="N401" s="62"/>
      <c r="O401" s="62"/>
      <c r="P401" s="62"/>
      <c r="Q401" s="62"/>
      <c r="R401" s="62"/>
      <c r="S401" s="62"/>
    </row>
    <row r="402">
      <c r="A402" s="67"/>
      <c r="B402" s="68"/>
      <c r="C402" s="62"/>
      <c r="D402" s="62"/>
      <c r="E402" s="62"/>
      <c r="F402" s="62"/>
      <c r="G402" s="63"/>
      <c r="H402" s="64"/>
      <c r="I402" s="69"/>
      <c r="J402" s="64"/>
      <c r="K402" s="62"/>
      <c r="L402" s="62"/>
      <c r="M402" s="62"/>
      <c r="N402" s="62"/>
      <c r="O402" s="62"/>
      <c r="P402" s="62"/>
      <c r="Q402" s="62"/>
      <c r="R402" s="62"/>
      <c r="S402" s="62"/>
    </row>
    <row r="403">
      <c r="A403" s="67"/>
      <c r="B403" s="68"/>
      <c r="C403" s="62"/>
      <c r="D403" s="62"/>
      <c r="E403" s="62"/>
      <c r="F403" s="62"/>
      <c r="G403" s="63"/>
      <c r="H403" s="64"/>
      <c r="I403" s="69"/>
      <c r="J403" s="64"/>
      <c r="K403" s="62"/>
      <c r="L403" s="62"/>
      <c r="M403" s="62"/>
      <c r="N403" s="62"/>
      <c r="O403" s="62"/>
      <c r="P403" s="62"/>
      <c r="Q403" s="62"/>
      <c r="R403" s="62"/>
      <c r="S403" s="62"/>
    </row>
    <row r="404">
      <c r="A404" s="67"/>
      <c r="B404" s="68"/>
      <c r="C404" s="62"/>
      <c r="D404" s="62"/>
      <c r="E404" s="62"/>
      <c r="F404" s="62"/>
      <c r="G404" s="63"/>
      <c r="H404" s="64"/>
      <c r="I404" s="69"/>
      <c r="J404" s="64"/>
      <c r="K404" s="62"/>
      <c r="L404" s="62"/>
      <c r="M404" s="62"/>
      <c r="N404" s="62"/>
      <c r="O404" s="62"/>
      <c r="P404" s="62"/>
      <c r="Q404" s="62"/>
      <c r="R404" s="62"/>
      <c r="S404" s="62"/>
    </row>
    <row r="405">
      <c r="A405" s="67"/>
      <c r="B405" s="68"/>
      <c r="C405" s="62"/>
      <c r="D405" s="62"/>
      <c r="E405" s="62"/>
      <c r="F405" s="62"/>
      <c r="G405" s="63"/>
      <c r="H405" s="64"/>
      <c r="I405" s="69"/>
      <c r="J405" s="64"/>
      <c r="K405" s="62"/>
      <c r="L405" s="62"/>
      <c r="M405" s="62"/>
      <c r="N405" s="62"/>
      <c r="O405" s="62"/>
      <c r="P405" s="62"/>
      <c r="Q405" s="62"/>
      <c r="R405" s="62"/>
      <c r="S405" s="62"/>
    </row>
    <row r="406">
      <c r="A406" s="67"/>
      <c r="B406" s="68"/>
      <c r="C406" s="62"/>
      <c r="D406" s="62"/>
      <c r="E406" s="62"/>
      <c r="F406" s="62"/>
      <c r="G406" s="63"/>
      <c r="H406" s="64"/>
      <c r="I406" s="69"/>
      <c r="J406" s="64"/>
      <c r="K406" s="62"/>
      <c r="L406" s="62"/>
      <c r="M406" s="62"/>
      <c r="N406" s="62"/>
      <c r="O406" s="62"/>
      <c r="P406" s="62"/>
      <c r="Q406" s="62"/>
      <c r="R406" s="62"/>
      <c r="S406" s="62"/>
    </row>
    <row r="407">
      <c r="A407" s="67"/>
      <c r="B407" s="68"/>
      <c r="C407" s="62"/>
      <c r="D407" s="62"/>
      <c r="E407" s="62"/>
      <c r="F407" s="62"/>
      <c r="G407" s="63"/>
      <c r="H407" s="64"/>
      <c r="I407" s="69"/>
      <c r="J407" s="64"/>
      <c r="K407" s="62"/>
      <c r="L407" s="62"/>
      <c r="M407" s="62"/>
      <c r="N407" s="62"/>
      <c r="O407" s="62"/>
      <c r="P407" s="62"/>
      <c r="Q407" s="62"/>
      <c r="R407" s="62"/>
      <c r="S407" s="62"/>
    </row>
    <row r="408">
      <c r="A408" s="67"/>
      <c r="B408" s="68"/>
      <c r="C408" s="62"/>
      <c r="D408" s="62"/>
      <c r="E408" s="62"/>
      <c r="F408" s="62"/>
      <c r="G408" s="63"/>
      <c r="H408" s="64"/>
      <c r="I408" s="69"/>
      <c r="J408" s="64"/>
      <c r="K408" s="62"/>
      <c r="L408" s="62"/>
      <c r="M408" s="62"/>
      <c r="N408" s="62"/>
      <c r="O408" s="62"/>
      <c r="P408" s="62"/>
      <c r="Q408" s="62"/>
      <c r="R408" s="62"/>
      <c r="S408" s="62"/>
    </row>
    <row r="409">
      <c r="A409" s="67"/>
      <c r="B409" s="68"/>
      <c r="C409" s="62"/>
      <c r="D409" s="62"/>
      <c r="E409" s="62"/>
      <c r="F409" s="62"/>
      <c r="G409" s="63"/>
      <c r="H409" s="64"/>
      <c r="I409" s="69"/>
      <c r="J409" s="64"/>
      <c r="K409" s="62"/>
      <c r="L409" s="62"/>
      <c r="M409" s="62"/>
      <c r="N409" s="62"/>
      <c r="O409" s="62"/>
      <c r="P409" s="62"/>
      <c r="Q409" s="62"/>
      <c r="R409" s="62"/>
      <c r="S409" s="62"/>
    </row>
    <row r="410">
      <c r="A410" s="67"/>
      <c r="B410" s="68"/>
      <c r="C410" s="62"/>
      <c r="D410" s="62"/>
      <c r="E410" s="62"/>
      <c r="F410" s="62"/>
      <c r="G410" s="63"/>
      <c r="H410" s="64"/>
      <c r="I410" s="69"/>
      <c r="J410" s="64"/>
      <c r="K410" s="62"/>
      <c r="L410" s="62"/>
      <c r="M410" s="62"/>
      <c r="N410" s="62"/>
      <c r="O410" s="62"/>
      <c r="P410" s="62"/>
      <c r="Q410" s="62"/>
      <c r="R410" s="62"/>
      <c r="S410" s="62"/>
    </row>
    <row r="411">
      <c r="A411" s="67"/>
      <c r="B411" s="68"/>
      <c r="C411" s="62"/>
      <c r="D411" s="62"/>
      <c r="E411" s="62"/>
      <c r="F411" s="62"/>
      <c r="G411" s="63"/>
      <c r="H411" s="64"/>
      <c r="I411" s="69"/>
      <c r="J411" s="64"/>
      <c r="K411" s="62"/>
      <c r="L411" s="62"/>
      <c r="M411" s="62"/>
      <c r="N411" s="62"/>
      <c r="O411" s="62"/>
      <c r="P411" s="62"/>
      <c r="Q411" s="62"/>
      <c r="R411" s="62"/>
      <c r="S411" s="62"/>
    </row>
    <row r="412">
      <c r="A412" s="67"/>
      <c r="B412" s="68"/>
      <c r="C412" s="62"/>
      <c r="D412" s="62"/>
      <c r="E412" s="62"/>
      <c r="F412" s="62"/>
      <c r="G412" s="63"/>
      <c r="H412" s="64"/>
      <c r="I412" s="69"/>
      <c r="J412" s="64"/>
      <c r="K412" s="62"/>
      <c r="L412" s="62"/>
      <c r="M412" s="62"/>
      <c r="N412" s="62"/>
      <c r="O412" s="62"/>
      <c r="P412" s="62"/>
      <c r="Q412" s="62"/>
      <c r="R412" s="62"/>
      <c r="S412" s="62"/>
    </row>
    <row r="413">
      <c r="A413" s="67"/>
      <c r="B413" s="68"/>
      <c r="C413" s="62"/>
      <c r="D413" s="62"/>
      <c r="E413" s="62"/>
      <c r="F413" s="62"/>
      <c r="G413" s="63"/>
      <c r="H413" s="64"/>
      <c r="I413" s="69"/>
      <c r="J413" s="64"/>
      <c r="K413" s="62"/>
      <c r="L413" s="62"/>
      <c r="M413" s="62"/>
      <c r="N413" s="62"/>
      <c r="O413" s="62"/>
      <c r="P413" s="62"/>
      <c r="Q413" s="62"/>
      <c r="R413" s="62"/>
      <c r="S413" s="62"/>
    </row>
    <row r="414">
      <c r="A414" s="67"/>
      <c r="B414" s="68"/>
      <c r="C414" s="62"/>
      <c r="D414" s="62"/>
      <c r="E414" s="62"/>
      <c r="F414" s="62"/>
      <c r="G414" s="63"/>
      <c r="H414" s="64"/>
      <c r="I414" s="69"/>
      <c r="J414" s="64"/>
      <c r="K414" s="62"/>
      <c r="L414" s="62"/>
      <c r="M414" s="62"/>
      <c r="N414" s="62"/>
      <c r="O414" s="62"/>
      <c r="P414" s="62"/>
      <c r="Q414" s="62"/>
      <c r="R414" s="62"/>
      <c r="S414" s="62"/>
    </row>
    <row r="415">
      <c r="A415" s="67"/>
      <c r="B415" s="68"/>
      <c r="C415" s="62"/>
      <c r="D415" s="62"/>
      <c r="E415" s="62"/>
      <c r="F415" s="62"/>
      <c r="G415" s="63"/>
      <c r="H415" s="64"/>
      <c r="I415" s="69"/>
      <c r="J415" s="64"/>
      <c r="K415" s="62"/>
      <c r="L415" s="62"/>
      <c r="M415" s="62"/>
      <c r="N415" s="62"/>
      <c r="O415" s="62"/>
      <c r="P415" s="62"/>
      <c r="Q415" s="62"/>
      <c r="R415" s="62"/>
      <c r="S415" s="62"/>
    </row>
    <row r="416">
      <c r="A416" s="67"/>
      <c r="B416" s="68"/>
      <c r="C416" s="62"/>
      <c r="D416" s="62"/>
      <c r="E416" s="62"/>
      <c r="F416" s="62"/>
      <c r="G416" s="63"/>
      <c r="H416" s="64"/>
      <c r="I416" s="69"/>
      <c r="J416" s="64"/>
      <c r="K416" s="62"/>
      <c r="L416" s="62"/>
      <c r="M416" s="62"/>
      <c r="N416" s="62"/>
      <c r="O416" s="62"/>
      <c r="P416" s="62"/>
      <c r="Q416" s="62"/>
      <c r="R416" s="62"/>
      <c r="S416" s="62"/>
    </row>
    <row r="417">
      <c r="A417" s="67"/>
      <c r="B417" s="68"/>
      <c r="C417" s="62"/>
      <c r="D417" s="62"/>
      <c r="E417" s="62"/>
      <c r="F417" s="62"/>
      <c r="G417" s="63"/>
      <c r="H417" s="64"/>
      <c r="I417" s="69"/>
      <c r="J417" s="64"/>
      <c r="K417" s="62"/>
      <c r="L417" s="62"/>
      <c r="M417" s="62"/>
      <c r="N417" s="62"/>
      <c r="O417" s="62"/>
      <c r="P417" s="62"/>
      <c r="Q417" s="62"/>
      <c r="R417" s="62"/>
      <c r="S417" s="62"/>
    </row>
    <row r="418">
      <c r="A418" s="67"/>
      <c r="B418" s="68"/>
      <c r="C418" s="62"/>
      <c r="D418" s="62"/>
      <c r="E418" s="62"/>
      <c r="F418" s="62"/>
      <c r="G418" s="63"/>
      <c r="H418" s="64"/>
      <c r="I418" s="69"/>
      <c r="J418" s="64"/>
      <c r="K418" s="62"/>
      <c r="L418" s="62"/>
      <c r="M418" s="62"/>
      <c r="N418" s="62"/>
      <c r="O418" s="62"/>
      <c r="P418" s="62"/>
      <c r="Q418" s="62"/>
      <c r="R418" s="62"/>
      <c r="S418" s="62"/>
    </row>
    <row r="419">
      <c r="A419" s="67"/>
      <c r="B419" s="68"/>
      <c r="C419" s="62"/>
      <c r="D419" s="62"/>
      <c r="E419" s="62"/>
      <c r="F419" s="62"/>
      <c r="G419" s="63"/>
      <c r="H419" s="64"/>
      <c r="I419" s="69"/>
      <c r="J419" s="64"/>
      <c r="K419" s="62"/>
      <c r="L419" s="62"/>
      <c r="M419" s="62"/>
      <c r="N419" s="62"/>
      <c r="O419" s="62"/>
      <c r="P419" s="62"/>
      <c r="Q419" s="62"/>
      <c r="R419" s="62"/>
      <c r="S419" s="62"/>
    </row>
    <row r="420">
      <c r="A420" s="67"/>
      <c r="B420" s="68"/>
      <c r="C420" s="62"/>
      <c r="D420" s="62"/>
      <c r="E420" s="62"/>
      <c r="F420" s="62"/>
      <c r="G420" s="63"/>
      <c r="H420" s="64"/>
      <c r="I420" s="69"/>
      <c r="J420" s="64"/>
      <c r="K420" s="62"/>
      <c r="L420" s="62"/>
      <c r="M420" s="62"/>
      <c r="N420" s="62"/>
      <c r="O420" s="62"/>
      <c r="P420" s="62"/>
      <c r="Q420" s="62"/>
      <c r="R420" s="62"/>
      <c r="S420" s="62"/>
    </row>
    <row r="421">
      <c r="A421" s="67"/>
      <c r="B421" s="68"/>
      <c r="C421" s="62"/>
      <c r="D421" s="62"/>
      <c r="E421" s="62"/>
      <c r="F421" s="62"/>
      <c r="G421" s="63"/>
      <c r="H421" s="64"/>
      <c r="I421" s="69"/>
      <c r="J421" s="64"/>
      <c r="K421" s="62"/>
      <c r="L421" s="62"/>
      <c r="M421" s="62"/>
      <c r="N421" s="62"/>
      <c r="O421" s="62"/>
      <c r="P421" s="62"/>
      <c r="Q421" s="62"/>
      <c r="R421" s="62"/>
      <c r="S421" s="62"/>
    </row>
    <row r="422">
      <c r="A422" s="67"/>
      <c r="B422" s="68"/>
      <c r="C422" s="62"/>
      <c r="D422" s="62"/>
      <c r="E422" s="62"/>
      <c r="F422" s="62"/>
      <c r="G422" s="63"/>
      <c r="H422" s="64"/>
      <c r="I422" s="69"/>
      <c r="J422" s="64"/>
      <c r="K422" s="62"/>
      <c r="L422" s="62"/>
      <c r="M422" s="62"/>
      <c r="N422" s="62"/>
      <c r="O422" s="62"/>
      <c r="P422" s="62"/>
      <c r="Q422" s="62"/>
      <c r="R422" s="62"/>
      <c r="S422" s="62"/>
    </row>
    <row r="423">
      <c r="A423" s="67"/>
      <c r="B423" s="68"/>
      <c r="C423" s="62"/>
      <c r="D423" s="62"/>
      <c r="E423" s="62"/>
      <c r="F423" s="62"/>
      <c r="G423" s="63"/>
      <c r="H423" s="64"/>
      <c r="I423" s="69"/>
      <c r="J423" s="64"/>
      <c r="K423" s="62"/>
      <c r="L423" s="62"/>
      <c r="M423" s="62"/>
      <c r="N423" s="62"/>
      <c r="O423" s="62"/>
      <c r="P423" s="62"/>
      <c r="Q423" s="62"/>
      <c r="R423" s="62"/>
      <c r="S423" s="62"/>
    </row>
    <row r="424">
      <c r="A424" s="67"/>
      <c r="B424" s="68"/>
      <c r="C424" s="62"/>
      <c r="D424" s="62"/>
      <c r="E424" s="62"/>
      <c r="F424" s="62"/>
      <c r="G424" s="63"/>
      <c r="H424" s="64"/>
      <c r="I424" s="69"/>
      <c r="J424" s="64"/>
      <c r="K424" s="62"/>
      <c r="L424" s="62"/>
      <c r="M424" s="62"/>
      <c r="N424" s="62"/>
      <c r="O424" s="62"/>
      <c r="P424" s="62"/>
      <c r="Q424" s="62"/>
      <c r="R424" s="62"/>
      <c r="S424" s="62"/>
    </row>
    <row r="425">
      <c r="A425" s="67"/>
      <c r="B425" s="68"/>
      <c r="C425" s="62"/>
      <c r="D425" s="62"/>
      <c r="E425" s="62"/>
      <c r="F425" s="62"/>
      <c r="G425" s="63"/>
      <c r="H425" s="64"/>
      <c r="I425" s="69"/>
      <c r="J425" s="64"/>
      <c r="K425" s="62"/>
      <c r="L425" s="62"/>
      <c r="M425" s="62"/>
      <c r="N425" s="62"/>
      <c r="O425" s="62"/>
      <c r="P425" s="62"/>
      <c r="Q425" s="62"/>
      <c r="R425" s="62"/>
      <c r="S425" s="62"/>
    </row>
    <row r="426">
      <c r="A426" s="67"/>
      <c r="B426" s="68"/>
      <c r="C426" s="62"/>
      <c r="D426" s="62"/>
      <c r="E426" s="62"/>
      <c r="F426" s="62"/>
      <c r="G426" s="63"/>
      <c r="H426" s="64"/>
      <c r="I426" s="69"/>
      <c r="J426" s="64"/>
      <c r="K426" s="62"/>
      <c r="L426" s="62"/>
      <c r="M426" s="62"/>
      <c r="N426" s="62"/>
      <c r="O426" s="62"/>
      <c r="P426" s="62"/>
      <c r="Q426" s="62"/>
      <c r="R426" s="62"/>
      <c r="S426" s="62"/>
    </row>
    <row r="427">
      <c r="A427" s="67"/>
      <c r="B427" s="68"/>
      <c r="C427" s="62"/>
      <c r="D427" s="62"/>
      <c r="E427" s="62"/>
      <c r="F427" s="62"/>
      <c r="G427" s="63"/>
      <c r="H427" s="64"/>
      <c r="I427" s="69"/>
      <c r="J427" s="64"/>
      <c r="K427" s="62"/>
      <c r="L427" s="62"/>
      <c r="M427" s="62"/>
      <c r="N427" s="62"/>
      <c r="O427" s="62"/>
      <c r="P427" s="62"/>
      <c r="Q427" s="62"/>
      <c r="R427" s="62"/>
      <c r="S427" s="62"/>
    </row>
    <row r="428">
      <c r="A428" s="67"/>
      <c r="B428" s="68"/>
      <c r="C428" s="62"/>
      <c r="D428" s="62"/>
      <c r="E428" s="62"/>
      <c r="F428" s="62"/>
      <c r="G428" s="63"/>
      <c r="H428" s="64"/>
      <c r="I428" s="69"/>
      <c r="J428" s="64"/>
      <c r="K428" s="62"/>
      <c r="L428" s="62"/>
      <c r="M428" s="62"/>
      <c r="N428" s="62"/>
      <c r="O428" s="62"/>
      <c r="P428" s="62"/>
      <c r="Q428" s="62"/>
      <c r="R428" s="62"/>
      <c r="S428" s="62"/>
    </row>
    <row r="429">
      <c r="A429" s="67"/>
      <c r="B429" s="68"/>
      <c r="C429" s="62"/>
      <c r="D429" s="62"/>
      <c r="E429" s="62"/>
      <c r="F429" s="62"/>
      <c r="G429" s="63"/>
      <c r="H429" s="64"/>
      <c r="I429" s="69"/>
      <c r="J429" s="64"/>
      <c r="K429" s="62"/>
      <c r="L429" s="62"/>
      <c r="M429" s="62"/>
      <c r="N429" s="62"/>
      <c r="O429" s="62"/>
      <c r="P429" s="62"/>
      <c r="Q429" s="62"/>
      <c r="R429" s="62"/>
      <c r="S429" s="62"/>
    </row>
    <row r="430">
      <c r="A430" s="67"/>
      <c r="B430" s="68"/>
      <c r="C430" s="62"/>
      <c r="D430" s="62"/>
      <c r="E430" s="62"/>
      <c r="F430" s="62"/>
      <c r="G430" s="63"/>
      <c r="H430" s="64"/>
      <c r="I430" s="69"/>
      <c r="J430" s="64"/>
      <c r="K430" s="62"/>
      <c r="L430" s="62"/>
      <c r="M430" s="62"/>
      <c r="N430" s="62"/>
      <c r="O430" s="62"/>
      <c r="P430" s="62"/>
      <c r="Q430" s="62"/>
      <c r="R430" s="62"/>
      <c r="S430" s="62"/>
    </row>
    <row r="431">
      <c r="A431" s="67"/>
      <c r="B431" s="68"/>
      <c r="C431" s="62"/>
      <c r="D431" s="62"/>
      <c r="E431" s="62"/>
      <c r="F431" s="62"/>
      <c r="G431" s="63"/>
      <c r="H431" s="64"/>
      <c r="I431" s="69"/>
      <c r="J431" s="64"/>
      <c r="K431" s="62"/>
      <c r="L431" s="62"/>
      <c r="M431" s="62"/>
      <c r="N431" s="62"/>
      <c r="O431" s="62"/>
      <c r="P431" s="62"/>
      <c r="Q431" s="62"/>
      <c r="R431" s="62"/>
      <c r="S431" s="62"/>
    </row>
    <row r="432">
      <c r="A432" s="67"/>
      <c r="B432" s="68"/>
      <c r="C432" s="62"/>
      <c r="D432" s="62"/>
      <c r="E432" s="62"/>
      <c r="F432" s="62"/>
      <c r="G432" s="63"/>
      <c r="H432" s="64"/>
      <c r="I432" s="69"/>
      <c r="J432" s="64"/>
      <c r="K432" s="62"/>
      <c r="L432" s="62"/>
      <c r="M432" s="62"/>
      <c r="N432" s="62"/>
      <c r="O432" s="62"/>
      <c r="P432" s="62"/>
      <c r="Q432" s="62"/>
      <c r="R432" s="62"/>
      <c r="S432" s="62"/>
    </row>
    <row r="433">
      <c r="A433" s="67"/>
      <c r="B433" s="68"/>
      <c r="C433" s="62"/>
      <c r="D433" s="62"/>
      <c r="E433" s="62"/>
      <c r="F433" s="62"/>
      <c r="G433" s="63"/>
      <c r="H433" s="64"/>
      <c r="I433" s="69"/>
      <c r="J433" s="64"/>
      <c r="K433" s="62"/>
      <c r="L433" s="62"/>
      <c r="M433" s="62"/>
      <c r="N433" s="62"/>
      <c r="O433" s="62"/>
      <c r="P433" s="62"/>
      <c r="Q433" s="62"/>
      <c r="R433" s="62"/>
      <c r="S433" s="62"/>
    </row>
    <row r="434">
      <c r="A434" s="67"/>
      <c r="B434" s="68"/>
      <c r="C434" s="62"/>
      <c r="D434" s="62"/>
      <c r="E434" s="62"/>
      <c r="F434" s="62"/>
      <c r="G434" s="63"/>
      <c r="H434" s="64"/>
      <c r="I434" s="69"/>
      <c r="J434" s="64"/>
      <c r="K434" s="62"/>
      <c r="L434" s="62"/>
      <c r="M434" s="62"/>
      <c r="N434" s="62"/>
      <c r="O434" s="62"/>
      <c r="P434" s="62"/>
      <c r="Q434" s="62"/>
      <c r="R434" s="62"/>
      <c r="S434" s="62"/>
    </row>
    <row r="435">
      <c r="A435" s="67"/>
      <c r="B435" s="68"/>
      <c r="C435" s="62"/>
      <c r="D435" s="62"/>
      <c r="E435" s="62"/>
      <c r="F435" s="62"/>
      <c r="G435" s="63"/>
      <c r="H435" s="64"/>
      <c r="I435" s="69"/>
      <c r="J435" s="64"/>
      <c r="K435" s="62"/>
      <c r="L435" s="62"/>
      <c r="M435" s="62"/>
      <c r="N435" s="62"/>
      <c r="O435" s="62"/>
      <c r="P435" s="62"/>
      <c r="Q435" s="62"/>
      <c r="R435" s="62"/>
      <c r="S435" s="62"/>
    </row>
    <row r="436">
      <c r="A436" s="67"/>
      <c r="B436" s="68"/>
      <c r="C436" s="62"/>
      <c r="D436" s="62"/>
      <c r="E436" s="62"/>
      <c r="F436" s="62"/>
      <c r="G436" s="63"/>
      <c r="H436" s="64"/>
      <c r="I436" s="69"/>
      <c r="J436" s="64"/>
      <c r="K436" s="62"/>
      <c r="L436" s="62"/>
      <c r="M436" s="62"/>
      <c r="N436" s="62"/>
      <c r="O436" s="62"/>
      <c r="P436" s="62"/>
      <c r="Q436" s="62"/>
      <c r="R436" s="62"/>
      <c r="S436" s="62"/>
    </row>
    <row r="437">
      <c r="A437" s="67"/>
      <c r="B437" s="68"/>
      <c r="C437" s="62"/>
      <c r="D437" s="62"/>
      <c r="E437" s="62"/>
      <c r="F437" s="62"/>
      <c r="G437" s="63"/>
      <c r="H437" s="64"/>
      <c r="I437" s="69"/>
      <c r="J437" s="64"/>
      <c r="K437" s="62"/>
      <c r="L437" s="62"/>
      <c r="M437" s="62"/>
      <c r="N437" s="62"/>
      <c r="O437" s="62"/>
      <c r="P437" s="62"/>
      <c r="Q437" s="62"/>
      <c r="R437" s="62"/>
      <c r="S437" s="62"/>
    </row>
    <row r="438">
      <c r="A438" s="67"/>
      <c r="B438" s="68"/>
      <c r="C438" s="62"/>
      <c r="D438" s="62"/>
      <c r="E438" s="62"/>
      <c r="F438" s="62"/>
      <c r="G438" s="63"/>
      <c r="H438" s="64"/>
      <c r="I438" s="69"/>
      <c r="J438" s="64"/>
      <c r="K438" s="62"/>
      <c r="L438" s="62"/>
      <c r="M438" s="62"/>
      <c r="N438" s="62"/>
      <c r="O438" s="62"/>
      <c r="P438" s="62"/>
      <c r="Q438" s="62"/>
      <c r="R438" s="62"/>
      <c r="S438" s="62"/>
    </row>
    <row r="439">
      <c r="A439" s="67"/>
      <c r="B439" s="68"/>
      <c r="C439" s="62"/>
      <c r="D439" s="62"/>
      <c r="E439" s="62"/>
      <c r="F439" s="62"/>
      <c r="G439" s="63"/>
      <c r="H439" s="64"/>
      <c r="I439" s="69"/>
      <c r="J439" s="64"/>
      <c r="K439" s="62"/>
      <c r="L439" s="62"/>
      <c r="M439" s="62"/>
      <c r="N439" s="62"/>
      <c r="O439" s="62"/>
      <c r="P439" s="62"/>
      <c r="Q439" s="62"/>
      <c r="R439" s="62"/>
      <c r="S439" s="62"/>
    </row>
    <row r="440">
      <c r="A440" s="67"/>
      <c r="B440" s="68"/>
      <c r="C440" s="62"/>
      <c r="D440" s="62"/>
      <c r="E440" s="62"/>
      <c r="F440" s="62"/>
      <c r="G440" s="63"/>
      <c r="H440" s="64"/>
      <c r="I440" s="69"/>
      <c r="J440" s="64"/>
      <c r="K440" s="62"/>
      <c r="L440" s="62"/>
      <c r="M440" s="62"/>
      <c r="N440" s="62"/>
      <c r="O440" s="62"/>
      <c r="P440" s="62"/>
      <c r="Q440" s="62"/>
      <c r="R440" s="62"/>
      <c r="S440" s="62"/>
    </row>
    <row r="441">
      <c r="A441" s="67"/>
      <c r="B441" s="68"/>
      <c r="C441" s="62"/>
      <c r="D441" s="62"/>
      <c r="E441" s="62"/>
      <c r="F441" s="62"/>
      <c r="G441" s="63"/>
      <c r="H441" s="64"/>
      <c r="I441" s="69"/>
      <c r="J441" s="64"/>
      <c r="K441" s="62"/>
      <c r="L441" s="62"/>
      <c r="M441" s="62"/>
      <c r="N441" s="62"/>
      <c r="O441" s="62"/>
      <c r="P441" s="62"/>
      <c r="Q441" s="62"/>
      <c r="R441" s="62"/>
      <c r="S441" s="62"/>
    </row>
    <row r="442">
      <c r="A442" s="67"/>
      <c r="B442" s="68"/>
      <c r="C442" s="62"/>
      <c r="D442" s="62"/>
      <c r="E442" s="62"/>
      <c r="F442" s="62"/>
      <c r="G442" s="63"/>
      <c r="H442" s="64"/>
      <c r="I442" s="69"/>
      <c r="J442" s="64"/>
      <c r="K442" s="62"/>
      <c r="L442" s="62"/>
      <c r="M442" s="62"/>
      <c r="N442" s="62"/>
      <c r="O442" s="62"/>
      <c r="P442" s="62"/>
      <c r="Q442" s="62"/>
      <c r="R442" s="62"/>
      <c r="S442" s="62"/>
    </row>
    <row r="443">
      <c r="A443" s="67"/>
      <c r="B443" s="68"/>
      <c r="C443" s="62"/>
      <c r="D443" s="62"/>
      <c r="E443" s="62"/>
      <c r="F443" s="62"/>
      <c r="G443" s="63"/>
      <c r="H443" s="64"/>
      <c r="I443" s="69"/>
      <c r="J443" s="64"/>
      <c r="K443" s="62"/>
      <c r="L443" s="62"/>
      <c r="M443" s="62"/>
      <c r="N443" s="62"/>
      <c r="O443" s="62"/>
      <c r="P443" s="62"/>
      <c r="Q443" s="62"/>
      <c r="R443" s="62"/>
      <c r="S443" s="62"/>
    </row>
    <row r="444">
      <c r="A444" s="67"/>
      <c r="B444" s="68"/>
      <c r="C444" s="62"/>
      <c r="D444" s="62"/>
      <c r="E444" s="62"/>
      <c r="F444" s="62"/>
      <c r="G444" s="63"/>
      <c r="H444" s="64"/>
      <c r="I444" s="69"/>
      <c r="J444" s="64"/>
      <c r="K444" s="62"/>
      <c r="L444" s="62"/>
      <c r="M444" s="62"/>
      <c r="N444" s="62"/>
      <c r="O444" s="62"/>
      <c r="P444" s="62"/>
      <c r="Q444" s="62"/>
      <c r="R444" s="62"/>
      <c r="S444" s="62"/>
    </row>
    <row r="445">
      <c r="A445" s="67"/>
      <c r="B445" s="68"/>
      <c r="C445" s="62"/>
      <c r="D445" s="62"/>
      <c r="E445" s="62"/>
      <c r="F445" s="62"/>
      <c r="G445" s="63"/>
      <c r="H445" s="64"/>
      <c r="I445" s="69"/>
      <c r="J445" s="64"/>
      <c r="K445" s="62"/>
      <c r="L445" s="62"/>
      <c r="M445" s="62"/>
      <c r="N445" s="62"/>
      <c r="O445" s="62"/>
      <c r="P445" s="62"/>
      <c r="Q445" s="62"/>
      <c r="R445" s="62"/>
      <c r="S445" s="62"/>
    </row>
    <row r="446">
      <c r="A446" s="67"/>
      <c r="B446" s="68"/>
      <c r="C446" s="62"/>
      <c r="D446" s="62"/>
      <c r="E446" s="62"/>
      <c r="F446" s="62"/>
      <c r="G446" s="63"/>
      <c r="H446" s="64"/>
      <c r="I446" s="69"/>
      <c r="J446" s="64"/>
      <c r="K446" s="62"/>
      <c r="L446" s="62"/>
      <c r="M446" s="62"/>
      <c r="N446" s="62"/>
      <c r="O446" s="62"/>
      <c r="P446" s="62"/>
      <c r="Q446" s="62"/>
      <c r="R446" s="62"/>
      <c r="S446" s="62"/>
    </row>
    <row r="447">
      <c r="A447" s="67"/>
      <c r="B447" s="68"/>
      <c r="C447" s="62"/>
      <c r="D447" s="62"/>
      <c r="E447" s="62"/>
      <c r="F447" s="62"/>
      <c r="G447" s="63"/>
      <c r="H447" s="64"/>
      <c r="I447" s="69"/>
      <c r="J447" s="64"/>
      <c r="K447" s="62"/>
      <c r="L447" s="62"/>
      <c r="M447" s="62"/>
      <c r="N447" s="62"/>
      <c r="O447" s="62"/>
      <c r="P447" s="62"/>
      <c r="Q447" s="62"/>
      <c r="R447" s="62"/>
      <c r="S447" s="62"/>
    </row>
    <row r="448">
      <c r="A448" s="67"/>
      <c r="B448" s="68"/>
      <c r="C448" s="62"/>
      <c r="D448" s="62"/>
      <c r="E448" s="62"/>
      <c r="F448" s="62"/>
      <c r="G448" s="63"/>
      <c r="H448" s="64"/>
      <c r="I448" s="69"/>
      <c r="J448" s="64"/>
      <c r="K448" s="62"/>
      <c r="L448" s="62"/>
      <c r="M448" s="62"/>
      <c r="N448" s="62"/>
      <c r="O448" s="62"/>
      <c r="P448" s="62"/>
      <c r="Q448" s="62"/>
      <c r="R448" s="62"/>
      <c r="S448" s="62"/>
    </row>
    <row r="449">
      <c r="A449" s="67"/>
      <c r="B449" s="68"/>
      <c r="C449" s="62"/>
      <c r="D449" s="62"/>
      <c r="E449" s="62"/>
      <c r="F449" s="62"/>
      <c r="G449" s="63"/>
      <c r="H449" s="64"/>
      <c r="I449" s="69"/>
      <c r="J449" s="64"/>
      <c r="K449" s="62"/>
      <c r="L449" s="62"/>
      <c r="M449" s="62"/>
      <c r="N449" s="62"/>
      <c r="O449" s="62"/>
      <c r="P449" s="62"/>
      <c r="Q449" s="62"/>
      <c r="R449" s="62"/>
      <c r="S449" s="62"/>
    </row>
    <row r="450">
      <c r="A450" s="67"/>
      <c r="B450" s="68"/>
      <c r="C450" s="62"/>
      <c r="D450" s="62"/>
      <c r="E450" s="62"/>
      <c r="F450" s="62"/>
      <c r="G450" s="63"/>
      <c r="H450" s="64"/>
      <c r="I450" s="69"/>
      <c r="J450" s="64"/>
      <c r="K450" s="62"/>
      <c r="L450" s="62"/>
      <c r="M450" s="62"/>
      <c r="N450" s="62"/>
      <c r="O450" s="62"/>
      <c r="P450" s="62"/>
      <c r="Q450" s="62"/>
      <c r="R450" s="62"/>
      <c r="S450" s="62"/>
    </row>
    <row r="451">
      <c r="A451" s="67"/>
      <c r="B451" s="68"/>
      <c r="C451" s="62"/>
      <c r="D451" s="62"/>
      <c r="E451" s="62"/>
      <c r="F451" s="62"/>
      <c r="G451" s="63"/>
      <c r="H451" s="64"/>
      <c r="I451" s="69"/>
      <c r="J451" s="64"/>
      <c r="K451" s="62"/>
      <c r="L451" s="62"/>
      <c r="M451" s="62"/>
      <c r="N451" s="62"/>
      <c r="O451" s="62"/>
      <c r="P451" s="62"/>
      <c r="Q451" s="62"/>
      <c r="R451" s="62"/>
      <c r="S451" s="62"/>
    </row>
    <row r="452">
      <c r="A452" s="67"/>
      <c r="B452" s="68"/>
      <c r="C452" s="62"/>
      <c r="D452" s="62"/>
      <c r="E452" s="62"/>
      <c r="F452" s="62"/>
      <c r="G452" s="63"/>
      <c r="H452" s="64"/>
      <c r="I452" s="69"/>
      <c r="J452" s="64"/>
      <c r="K452" s="62"/>
      <c r="L452" s="62"/>
      <c r="M452" s="62"/>
      <c r="N452" s="62"/>
      <c r="O452" s="62"/>
      <c r="P452" s="62"/>
      <c r="Q452" s="62"/>
      <c r="R452" s="62"/>
      <c r="S452" s="62"/>
    </row>
    <row r="453">
      <c r="A453" s="67"/>
      <c r="B453" s="68"/>
      <c r="C453" s="62"/>
      <c r="D453" s="62"/>
      <c r="E453" s="62"/>
      <c r="F453" s="62"/>
      <c r="G453" s="63"/>
      <c r="H453" s="64"/>
      <c r="I453" s="69"/>
      <c r="J453" s="64"/>
      <c r="K453" s="62"/>
      <c r="L453" s="62"/>
      <c r="M453" s="62"/>
      <c r="N453" s="62"/>
      <c r="O453" s="62"/>
      <c r="P453" s="62"/>
      <c r="Q453" s="62"/>
      <c r="R453" s="62"/>
      <c r="S453" s="62"/>
    </row>
    <row r="454">
      <c r="A454" s="67"/>
      <c r="B454" s="68"/>
      <c r="C454" s="62"/>
      <c r="D454" s="62"/>
      <c r="E454" s="62"/>
      <c r="F454" s="62"/>
      <c r="G454" s="63"/>
      <c r="H454" s="64"/>
      <c r="I454" s="69"/>
      <c r="J454" s="64"/>
      <c r="K454" s="62"/>
      <c r="L454" s="62"/>
      <c r="M454" s="62"/>
      <c r="N454" s="62"/>
      <c r="O454" s="62"/>
      <c r="P454" s="62"/>
      <c r="Q454" s="62"/>
      <c r="R454" s="62"/>
      <c r="S454" s="62"/>
    </row>
    <row r="455">
      <c r="A455" s="67"/>
      <c r="B455" s="68"/>
      <c r="C455" s="62"/>
      <c r="D455" s="62"/>
      <c r="E455" s="62"/>
      <c r="F455" s="62"/>
      <c r="G455" s="63"/>
      <c r="H455" s="64"/>
      <c r="I455" s="69"/>
      <c r="J455" s="64"/>
      <c r="K455" s="62"/>
      <c r="L455" s="62"/>
      <c r="M455" s="62"/>
      <c r="N455" s="62"/>
      <c r="O455" s="62"/>
      <c r="P455" s="62"/>
      <c r="Q455" s="62"/>
      <c r="R455" s="62"/>
      <c r="S455" s="62"/>
    </row>
    <row r="456">
      <c r="A456" s="67"/>
      <c r="B456" s="68"/>
      <c r="C456" s="62"/>
      <c r="D456" s="62"/>
      <c r="E456" s="62"/>
      <c r="F456" s="62"/>
      <c r="G456" s="63"/>
      <c r="H456" s="64"/>
      <c r="I456" s="69"/>
      <c r="J456" s="64"/>
      <c r="K456" s="62"/>
      <c r="L456" s="62"/>
      <c r="M456" s="62"/>
      <c r="N456" s="62"/>
      <c r="O456" s="62"/>
      <c r="P456" s="62"/>
      <c r="Q456" s="62"/>
      <c r="R456" s="62"/>
      <c r="S456" s="62"/>
    </row>
    <row r="457">
      <c r="A457" s="67"/>
      <c r="B457" s="68"/>
      <c r="C457" s="62"/>
      <c r="D457" s="62"/>
      <c r="E457" s="62"/>
      <c r="F457" s="62"/>
      <c r="G457" s="63"/>
      <c r="H457" s="64"/>
      <c r="I457" s="69"/>
      <c r="J457" s="64"/>
      <c r="K457" s="62"/>
      <c r="L457" s="62"/>
      <c r="M457" s="62"/>
      <c r="N457" s="62"/>
      <c r="O457" s="62"/>
      <c r="P457" s="62"/>
      <c r="Q457" s="62"/>
      <c r="R457" s="62"/>
      <c r="S457" s="62"/>
    </row>
    <row r="458">
      <c r="A458" s="67"/>
      <c r="B458" s="68"/>
      <c r="C458" s="62"/>
      <c r="D458" s="62"/>
      <c r="E458" s="62"/>
      <c r="F458" s="62"/>
      <c r="G458" s="63"/>
      <c r="H458" s="64"/>
      <c r="I458" s="69"/>
      <c r="J458" s="64"/>
      <c r="K458" s="62"/>
      <c r="L458" s="62"/>
      <c r="M458" s="62"/>
      <c r="N458" s="62"/>
      <c r="O458" s="62"/>
      <c r="P458" s="62"/>
      <c r="Q458" s="62"/>
      <c r="R458" s="62"/>
      <c r="S458" s="62"/>
    </row>
    <row r="459">
      <c r="A459" s="67"/>
      <c r="B459" s="68"/>
      <c r="C459" s="62"/>
      <c r="D459" s="62"/>
      <c r="E459" s="62"/>
      <c r="F459" s="62"/>
      <c r="G459" s="63"/>
      <c r="H459" s="64"/>
      <c r="I459" s="69"/>
      <c r="J459" s="64"/>
      <c r="K459" s="62"/>
      <c r="L459" s="62"/>
      <c r="M459" s="62"/>
      <c r="N459" s="62"/>
      <c r="O459" s="62"/>
      <c r="P459" s="62"/>
      <c r="Q459" s="62"/>
      <c r="R459" s="62"/>
      <c r="S459" s="62"/>
    </row>
    <row r="460">
      <c r="A460" s="67"/>
      <c r="B460" s="68"/>
      <c r="C460" s="62"/>
      <c r="D460" s="62"/>
      <c r="E460" s="62"/>
      <c r="F460" s="62"/>
      <c r="G460" s="63"/>
      <c r="H460" s="64"/>
      <c r="I460" s="69"/>
      <c r="J460" s="64"/>
      <c r="K460" s="62"/>
      <c r="L460" s="62"/>
      <c r="M460" s="62"/>
      <c r="N460" s="62"/>
      <c r="O460" s="62"/>
      <c r="P460" s="62"/>
      <c r="Q460" s="62"/>
      <c r="R460" s="62"/>
      <c r="S460" s="62"/>
    </row>
    <row r="461">
      <c r="A461" s="67"/>
      <c r="B461" s="68"/>
      <c r="C461" s="62"/>
      <c r="D461" s="62"/>
      <c r="E461" s="62"/>
      <c r="F461" s="62"/>
      <c r="G461" s="63"/>
      <c r="H461" s="64"/>
      <c r="I461" s="69"/>
      <c r="J461" s="64"/>
      <c r="K461" s="62"/>
      <c r="L461" s="62"/>
      <c r="M461" s="62"/>
      <c r="N461" s="62"/>
      <c r="O461" s="62"/>
      <c r="P461" s="62"/>
      <c r="Q461" s="62"/>
      <c r="R461" s="62"/>
      <c r="S461" s="62"/>
    </row>
    <row r="462">
      <c r="A462" s="67"/>
      <c r="B462" s="68"/>
      <c r="C462" s="62"/>
      <c r="D462" s="62"/>
      <c r="E462" s="62"/>
      <c r="F462" s="62"/>
      <c r="G462" s="63"/>
      <c r="H462" s="64"/>
      <c r="I462" s="69"/>
      <c r="J462" s="64"/>
      <c r="K462" s="62"/>
      <c r="L462" s="62"/>
      <c r="M462" s="62"/>
      <c r="N462" s="62"/>
      <c r="O462" s="62"/>
      <c r="P462" s="62"/>
      <c r="Q462" s="62"/>
      <c r="R462" s="62"/>
      <c r="S462" s="62"/>
    </row>
    <row r="463">
      <c r="A463" s="67"/>
      <c r="B463" s="68"/>
      <c r="C463" s="62"/>
      <c r="D463" s="62"/>
      <c r="E463" s="62"/>
      <c r="F463" s="62"/>
      <c r="G463" s="63"/>
      <c r="H463" s="64"/>
      <c r="I463" s="69"/>
      <c r="J463" s="64"/>
      <c r="K463" s="62"/>
      <c r="L463" s="62"/>
      <c r="M463" s="62"/>
      <c r="N463" s="62"/>
      <c r="O463" s="62"/>
      <c r="P463" s="62"/>
      <c r="Q463" s="62"/>
      <c r="R463" s="62"/>
      <c r="S463" s="62"/>
    </row>
    <row r="464">
      <c r="A464" s="67"/>
      <c r="B464" s="68"/>
      <c r="C464" s="62"/>
      <c r="D464" s="62"/>
      <c r="E464" s="62"/>
      <c r="F464" s="62"/>
      <c r="G464" s="63"/>
      <c r="H464" s="64"/>
      <c r="I464" s="69"/>
      <c r="J464" s="64"/>
      <c r="K464" s="62"/>
      <c r="L464" s="62"/>
      <c r="M464" s="62"/>
      <c r="N464" s="62"/>
      <c r="O464" s="62"/>
      <c r="P464" s="62"/>
      <c r="Q464" s="62"/>
      <c r="R464" s="62"/>
      <c r="S464" s="62"/>
    </row>
    <row r="465">
      <c r="A465" s="67"/>
      <c r="B465" s="68"/>
      <c r="C465" s="62"/>
      <c r="D465" s="62"/>
      <c r="E465" s="62"/>
      <c r="F465" s="62"/>
      <c r="G465" s="63"/>
      <c r="H465" s="64"/>
      <c r="I465" s="69"/>
      <c r="J465" s="64"/>
      <c r="K465" s="62"/>
      <c r="L465" s="62"/>
      <c r="M465" s="62"/>
      <c r="N465" s="62"/>
      <c r="O465" s="62"/>
      <c r="P465" s="62"/>
      <c r="Q465" s="62"/>
      <c r="R465" s="62"/>
      <c r="S465" s="62"/>
    </row>
    <row r="466">
      <c r="A466" s="67"/>
      <c r="B466" s="68"/>
      <c r="C466" s="62"/>
      <c r="D466" s="62"/>
      <c r="E466" s="62"/>
      <c r="F466" s="62"/>
      <c r="G466" s="63"/>
      <c r="H466" s="64"/>
      <c r="I466" s="69"/>
      <c r="J466" s="64"/>
      <c r="K466" s="62"/>
      <c r="L466" s="62"/>
      <c r="M466" s="62"/>
      <c r="N466" s="62"/>
      <c r="O466" s="62"/>
      <c r="P466" s="62"/>
      <c r="Q466" s="62"/>
      <c r="R466" s="62"/>
      <c r="S466" s="62"/>
    </row>
    <row r="467">
      <c r="A467" s="67"/>
      <c r="B467" s="68"/>
      <c r="C467" s="62"/>
      <c r="D467" s="62"/>
      <c r="E467" s="62"/>
      <c r="F467" s="62"/>
      <c r="G467" s="63"/>
      <c r="H467" s="64"/>
      <c r="I467" s="69"/>
      <c r="J467" s="64"/>
      <c r="K467" s="62"/>
      <c r="L467" s="62"/>
      <c r="M467" s="62"/>
      <c r="N467" s="62"/>
      <c r="O467" s="62"/>
      <c r="P467" s="62"/>
      <c r="Q467" s="62"/>
      <c r="R467" s="62"/>
      <c r="S467" s="62"/>
    </row>
    <row r="468">
      <c r="A468" s="67"/>
      <c r="B468" s="68"/>
      <c r="C468" s="62"/>
      <c r="D468" s="62"/>
      <c r="E468" s="62"/>
      <c r="F468" s="62"/>
      <c r="G468" s="63"/>
      <c r="H468" s="64"/>
      <c r="I468" s="69"/>
      <c r="J468" s="64"/>
      <c r="K468" s="62"/>
      <c r="L468" s="62"/>
      <c r="M468" s="62"/>
      <c r="N468" s="62"/>
      <c r="O468" s="62"/>
      <c r="P468" s="62"/>
      <c r="Q468" s="62"/>
      <c r="R468" s="62"/>
      <c r="S468" s="62"/>
    </row>
    <row r="469">
      <c r="A469" s="67"/>
      <c r="B469" s="68"/>
      <c r="C469" s="62"/>
      <c r="D469" s="62"/>
      <c r="E469" s="62"/>
      <c r="F469" s="62"/>
      <c r="G469" s="63"/>
      <c r="H469" s="64"/>
      <c r="I469" s="69"/>
      <c r="J469" s="64"/>
      <c r="K469" s="62"/>
      <c r="L469" s="62"/>
      <c r="M469" s="62"/>
      <c r="N469" s="62"/>
      <c r="O469" s="62"/>
      <c r="P469" s="62"/>
      <c r="Q469" s="62"/>
      <c r="R469" s="62"/>
      <c r="S469" s="62"/>
    </row>
    <row r="470">
      <c r="A470" s="67"/>
      <c r="B470" s="68"/>
      <c r="C470" s="62"/>
      <c r="D470" s="62"/>
      <c r="E470" s="62"/>
      <c r="F470" s="62"/>
      <c r="G470" s="63"/>
      <c r="H470" s="64"/>
      <c r="I470" s="69"/>
      <c r="J470" s="64"/>
      <c r="K470" s="62"/>
      <c r="L470" s="62"/>
      <c r="M470" s="62"/>
      <c r="N470" s="62"/>
      <c r="O470" s="62"/>
      <c r="P470" s="62"/>
      <c r="Q470" s="62"/>
      <c r="R470" s="62"/>
      <c r="S470" s="62"/>
    </row>
    <row r="471">
      <c r="A471" s="67"/>
      <c r="B471" s="68"/>
      <c r="C471" s="62"/>
      <c r="D471" s="62"/>
      <c r="E471" s="62"/>
      <c r="F471" s="62"/>
      <c r="G471" s="63"/>
      <c r="H471" s="64"/>
      <c r="I471" s="69"/>
      <c r="J471" s="64"/>
      <c r="K471" s="62"/>
      <c r="L471" s="62"/>
      <c r="M471" s="62"/>
      <c r="N471" s="62"/>
      <c r="O471" s="62"/>
      <c r="P471" s="62"/>
      <c r="Q471" s="62"/>
      <c r="R471" s="62"/>
      <c r="S471" s="62"/>
    </row>
    <row r="472">
      <c r="A472" s="67"/>
      <c r="B472" s="68"/>
      <c r="C472" s="62"/>
      <c r="D472" s="62"/>
      <c r="E472" s="62"/>
      <c r="F472" s="62"/>
      <c r="G472" s="63"/>
      <c r="H472" s="64"/>
      <c r="I472" s="69"/>
      <c r="J472" s="64"/>
      <c r="K472" s="62"/>
      <c r="L472" s="62"/>
      <c r="M472" s="62"/>
      <c r="N472" s="62"/>
      <c r="O472" s="62"/>
      <c r="P472" s="62"/>
      <c r="Q472" s="62"/>
      <c r="R472" s="62"/>
      <c r="S472" s="62"/>
    </row>
    <row r="473">
      <c r="A473" s="67"/>
      <c r="B473" s="68"/>
      <c r="C473" s="62"/>
      <c r="D473" s="62"/>
      <c r="E473" s="62"/>
      <c r="F473" s="62"/>
      <c r="G473" s="63"/>
      <c r="H473" s="64"/>
      <c r="I473" s="69"/>
      <c r="J473" s="64"/>
      <c r="K473" s="62"/>
      <c r="L473" s="62"/>
      <c r="M473" s="62"/>
      <c r="N473" s="62"/>
      <c r="O473" s="62"/>
      <c r="P473" s="62"/>
      <c r="Q473" s="62"/>
      <c r="R473" s="62"/>
      <c r="S473" s="62"/>
    </row>
    <row r="474">
      <c r="A474" s="67"/>
      <c r="B474" s="68"/>
      <c r="C474" s="62"/>
      <c r="D474" s="62"/>
      <c r="E474" s="62"/>
      <c r="F474" s="62"/>
      <c r="G474" s="63"/>
      <c r="H474" s="64"/>
      <c r="I474" s="69"/>
      <c r="J474" s="64"/>
      <c r="K474" s="62"/>
      <c r="L474" s="62"/>
      <c r="M474" s="62"/>
      <c r="N474" s="62"/>
      <c r="O474" s="62"/>
      <c r="P474" s="62"/>
      <c r="Q474" s="62"/>
      <c r="R474" s="62"/>
      <c r="S474" s="62"/>
    </row>
    <row r="475">
      <c r="A475" s="67"/>
      <c r="B475" s="68"/>
      <c r="C475" s="62"/>
      <c r="D475" s="62"/>
      <c r="E475" s="62"/>
      <c r="F475" s="62"/>
      <c r="G475" s="63"/>
      <c r="H475" s="64"/>
      <c r="I475" s="69"/>
      <c r="J475" s="64"/>
      <c r="K475" s="62"/>
      <c r="L475" s="62"/>
      <c r="M475" s="62"/>
      <c r="N475" s="62"/>
      <c r="O475" s="62"/>
      <c r="P475" s="62"/>
      <c r="Q475" s="62"/>
      <c r="R475" s="62"/>
      <c r="S475" s="62"/>
    </row>
    <row r="476">
      <c r="A476" s="67"/>
      <c r="B476" s="68"/>
      <c r="C476" s="62"/>
      <c r="D476" s="62"/>
      <c r="E476" s="62"/>
      <c r="F476" s="62"/>
      <c r="G476" s="63"/>
      <c r="H476" s="64"/>
      <c r="I476" s="69"/>
      <c r="J476" s="64"/>
      <c r="K476" s="62"/>
      <c r="L476" s="62"/>
      <c r="M476" s="62"/>
      <c r="N476" s="62"/>
      <c r="O476" s="62"/>
      <c r="P476" s="62"/>
      <c r="Q476" s="62"/>
      <c r="R476" s="62"/>
      <c r="S476" s="62"/>
    </row>
    <row r="477">
      <c r="A477" s="67"/>
      <c r="B477" s="68"/>
      <c r="C477" s="62"/>
      <c r="D477" s="62"/>
      <c r="E477" s="62"/>
      <c r="F477" s="62"/>
      <c r="G477" s="63"/>
      <c r="H477" s="64"/>
      <c r="I477" s="69"/>
      <c r="J477" s="64"/>
      <c r="K477" s="62"/>
      <c r="L477" s="62"/>
      <c r="M477" s="62"/>
      <c r="N477" s="62"/>
      <c r="O477" s="62"/>
      <c r="P477" s="62"/>
      <c r="Q477" s="62"/>
      <c r="R477" s="62"/>
      <c r="S477" s="62"/>
    </row>
    <row r="478">
      <c r="A478" s="67"/>
      <c r="B478" s="68"/>
      <c r="C478" s="62"/>
      <c r="D478" s="62"/>
      <c r="E478" s="62"/>
      <c r="F478" s="62"/>
      <c r="G478" s="63"/>
      <c r="H478" s="64"/>
      <c r="I478" s="69"/>
      <c r="J478" s="64"/>
      <c r="K478" s="62"/>
      <c r="L478" s="62"/>
      <c r="M478" s="62"/>
      <c r="N478" s="62"/>
      <c r="O478" s="62"/>
      <c r="P478" s="62"/>
      <c r="Q478" s="62"/>
      <c r="R478" s="62"/>
      <c r="S478" s="62"/>
    </row>
    <row r="479">
      <c r="A479" s="67"/>
      <c r="B479" s="68"/>
      <c r="C479" s="62"/>
      <c r="D479" s="62"/>
      <c r="E479" s="62"/>
      <c r="F479" s="62"/>
      <c r="G479" s="63"/>
      <c r="H479" s="64"/>
      <c r="I479" s="69"/>
      <c r="J479" s="64"/>
      <c r="K479" s="62"/>
      <c r="L479" s="62"/>
      <c r="M479" s="62"/>
      <c r="N479" s="62"/>
      <c r="O479" s="62"/>
      <c r="P479" s="62"/>
      <c r="Q479" s="62"/>
      <c r="R479" s="62"/>
      <c r="S479" s="62"/>
    </row>
    <row r="480">
      <c r="A480" s="67"/>
      <c r="B480" s="68"/>
      <c r="C480" s="62"/>
      <c r="D480" s="62"/>
      <c r="E480" s="62"/>
      <c r="F480" s="62"/>
      <c r="G480" s="63"/>
      <c r="H480" s="64"/>
      <c r="I480" s="69"/>
      <c r="J480" s="64"/>
      <c r="K480" s="62"/>
      <c r="L480" s="62"/>
      <c r="M480" s="62"/>
      <c r="N480" s="62"/>
      <c r="O480" s="62"/>
      <c r="P480" s="62"/>
      <c r="Q480" s="62"/>
      <c r="R480" s="62"/>
      <c r="S480" s="62"/>
    </row>
    <row r="481">
      <c r="A481" s="67"/>
      <c r="B481" s="68"/>
      <c r="C481" s="62"/>
      <c r="D481" s="62"/>
      <c r="E481" s="62"/>
      <c r="F481" s="62"/>
      <c r="G481" s="63"/>
      <c r="H481" s="64"/>
      <c r="I481" s="69"/>
      <c r="J481" s="64"/>
      <c r="K481" s="62"/>
      <c r="L481" s="62"/>
      <c r="M481" s="62"/>
      <c r="N481" s="62"/>
      <c r="O481" s="62"/>
      <c r="P481" s="62"/>
      <c r="Q481" s="62"/>
      <c r="R481" s="62"/>
      <c r="S481" s="62"/>
    </row>
    <row r="482">
      <c r="A482" s="67"/>
      <c r="B482" s="68"/>
      <c r="C482" s="62"/>
      <c r="D482" s="62"/>
      <c r="E482" s="62"/>
      <c r="F482" s="62"/>
      <c r="G482" s="63"/>
      <c r="H482" s="64"/>
      <c r="I482" s="69"/>
      <c r="J482" s="64"/>
      <c r="K482" s="62"/>
      <c r="L482" s="62"/>
      <c r="M482" s="62"/>
      <c r="N482" s="62"/>
      <c r="O482" s="62"/>
      <c r="P482" s="62"/>
      <c r="Q482" s="62"/>
      <c r="R482" s="62"/>
      <c r="S482" s="62"/>
    </row>
    <row r="483">
      <c r="A483" s="67"/>
      <c r="B483" s="68"/>
      <c r="C483" s="62"/>
      <c r="D483" s="62"/>
      <c r="E483" s="62"/>
      <c r="F483" s="62"/>
      <c r="G483" s="63"/>
      <c r="H483" s="64"/>
      <c r="I483" s="69"/>
      <c r="J483" s="64"/>
      <c r="K483" s="62"/>
      <c r="L483" s="62"/>
      <c r="M483" s="62"/>
      <c r="N483" s="62"/>
      <c r="O483" s="62"/>
      <c r="P483" s="62"/>
      <c r="Q483" s="62"/>
      <c r="R483" s="62"/>
      <c r="S483" s="62"/>
    </row>
    <row r="484">
      <c r="A484" s="67"/>
      <c r="B484" s="68"/>
      <c r="C484" s="62"/>
      <c r="D484" s="62"/>
      <c r="E484" s="62"/>
      <c r="F484" s="62"/>
      <c r="G484" s="63"/>
      <c r="H484" s="64"/>
      <c r="I484" s="69"/>
      <c r="J484" s="64"/>
      <c r="K484" s="62"/>
      <c r="L484" s="62"/>
      <c r="M484" s="62"/>
      <c r="N484" s="62"/>
      <c r="O484" s="62"/>
      <c r="P484" s="62"/>
      <c r="Q484" s="62"/>
      <c r="R484" s="62"/>
      <c r="S484" s="62"/>
    </row>
    <row r="485">
      <c r="A485" s="67"/>
      <c r="B485" s="68"/>
      <c r="C485" s="62"/>
      <c r="D485" s="62"/>
      <c r="E485" s="62"/>
      <c r="F485" s="62"/>
      <c r="G485" s="63"/>
      <c r="H485" s="64"/>
      <c r="I485" s="69"/>
      <c r="J485" s="64"/>
      <c r="K485" s="62"/>
      <c r="L485" s="62"/>
      <c r="M485" s="62"/>
      <c r="N485" s="62"/>
      <c r="O485" s="62"/>
      <c r="P485" s="62"/>
      <c r="Q485" s="62"/>
      <c r="R485" s="62"/>
      <c r="S485" s="62"/>
    </row>
    <row r="486">
      <c r="A486" s="67"/>
      <c r="B486" s="68"/>
      <c r="C486" s="62"/>
      <c r="D486" s="62"/>
      <c r="E486" s="62"/>
      <c r="F486" s="62"/>
      <c r="G486" s="63"/>
      <c r="H486" s="64"/>
      <c r="I486" s="69"/>
      <c r="J486" s="64"/>
      <c r="K486" s="62"/>
      <c r="L486" s="62"/>
      <c r="M486" s="62"/>
      <c r="N486" s="62"/>
      <c r="O486" s="62"/>
      <c r="P486" s="62"/>
      <c r="Q486" s="62"/>
      <c r="R486" s="62"/>
      <c r="S486" s="62"/>
    </row>
    <row r="487">
      <c r="A487" s="67"/>
      <c r="B487" s="68"/>
      <c r="C487" s="62"/>
      <c r="D487" s="62"/>
      <c r="E487" s="62"/>
      <c r="F487" s="62"/>
      <c r="G487" s="63"/>
      <c r="H487" s="64"/>
      <c r="I487" s="69"/>
      <c r="J487" s="64"/>
      <c r="K487" s="62"/>
      <c r="L487" s="62"/>
      <c r="M487" s="62"/>
      <c r="N487" s="62"/>
      <c r="O487" s="62"/>
      <c r="P487" s="62"/>
      <c r="Q487" s="62"/>
      <c r="R487" s="62"/>
      <c r="S487" s="62"/>
    </row>
    <row r="488">
      <c r="A488" s="67"/>
      <c r="B488" s="68"/>
      <c r="C488" s="62"/>
      <c r="D488" s="62"/>
      <c r="E488" s="62"/>
      <c r="F488" s="62"/>
      <c r="G488" s="63"/>
      <c r="H488" s="64"/>
      <c r="I488" s="69"/>
      <c r="J488" s="64"/>
      <c r="K488" s="62"/>
      <c r="L488" s="62"/>
      <c r="M488" s="62"/>
      <c r="N488" s="62"/>
      <c r="O488" s="62"/>
      <c r="P488" s="62"/>
      <c r="Q488" s="62"/>
      <c r="R488" s="62"/>
      <c r="S488" s="62"/>
    </row>
    <row r="489">
      <c r="A489" s="67"/>
      <c r="B489" s="68"/>
      <c r="C489" s="62"/>
      <c r="D489" s="62"/>
      <c r="E489" s="62"/>
      <c r="F489" s="62"/>
      <c r="G489" s="63"/>
      <c r="H489" s="64"/>
      <c r="I489" s="69"/>
      <c r="J489" s="64"/>
      <c r="K489" s="62"/>
      <c r="L489" s="62"/>
      <c r="M489" s="62"/>
      <c r="N489" s="62"/>
      <c r="O489" s="62"/>
      <c r="P489" s="62"/>
      <c r="Q489" s="62"/>
      <c r="R489" s="62"/>
      <c r="S489" s="62"/>
    </row>
    <row r="490">
      <c r="A490" s="67"/>
      <c r="B490" s="68"/>
      <c r="C490" s="62"/>
      <c r="D490" s="62"/>
      <c r="E490" s="62"/>
      <c r="F490" s="62"/>
      <c r="G490" s="63"/>
      <c r="H490" s="64"/>
      <c r="I490" s="69"/>
      <c r="J490" s="64"/>
      <c r="K490" s="62"/>
      <c r="L490" s="62"/>
      <c r="M490" s="62"/>
      <c r="N490" s="62"/>
      <c r="O490" s="62"/>
      <c r="P490" s="62"/>
      <c r="Q490" s="62"/>
      <c r="R490" s="62"/>
      <c r="S490" s="62"/>
    </row>
    <row r="491">
      <c r="A491" s="67"/>
      <c r="B491" s="68"/>
      <c r="C491" s="62"/>
      <c r="D491" s="62"/>
      <c r="E491" s="62"/>
      <c r="F491" s="62"/>
      <c r="G491" s="63"/>
      <c r="H491" s="64"/>
      <c r="I491" s="69"/>
      <c r="J491" s="64"/>
      <c r="K491" s="62"/>
      <c r="L491" s="62"/>
      <c r="M491" s="62"/>
      <c r="N491" s="62"/>
      <c r="O491" s="62"/>
      <c r="P491" s="62"/>
      <c r="Q491" s="62"/>
      <c r="R491" s="62"/>
      <c r="S491" s="62"/>
    </row>
    <row r="492">
      <c r="A492" s="67"/>
      <c r="B492" s="68"/>
      <c r="C492" s="62"/>
      <c r="D492" s="62"/>
      <c r="E492" s="62"/>
      <c r="F492" s="62"/>
      <c r="G492" s="63"/>
      <c r="H492" s="64"/>
      <c r="I492" s="69"/>
      <c r="J492" s="64"/>
      <c r="K492" s="62"/>
      <c r="L492" s="62"/>
      <c r="M492" s="62"/>
      <c r="N492" s="62"/>
      <c r="O492" s="62"/>
      <c r="P492" s="62"/>
      <c r="Q492" s="62"/>
      <c r="R492" s="62"/>
      <c r="S492" s="62"/>
    </row>
    <row r="493">
      <c r="A493" s="67"/>
      <c r="B493" s="68"/>
      <c r="C493" s="62"/>
      <c r="D493" s="62"/>
      <c r="E493" s="62"/>
      <c r="F493" s="62"/>
      <c r="G493" s="63"/>
      <c r="H493" s="64"/>
      <c r="I493" s="69"/>
      <c r="J493" s="64"/>
      <c r="K493" s="62"/>
      <c r="L493" s="62"/>
      <c r="M493" s="62"/>
      <c r="N493" s="62"/>
      <c r="O493" s="62"/>
      <c r="P493" s="62"/>
      <c r="Q493" s="62"/>
      <c r="R493" s="62"/>
      <c r="S493" s="62"/>
    </row>
    <row r="494">
      <c r="A494" s="67"/>
      <c r="B494" s="68"/>
      <c r="C494" s="62"/>
      <c r="D494" s="62"/>
      <c r="E494" s="62"/>
      <c r="F494" s="62"/>
      <c r="G494" s="63"/>
      <c r="H494" s="64"/>
      <c r="I494" s="69"/>
      <c r="J494" s="64"/>
      <c r="K494" s="62"/>
      <c r="L494" s="62"/>
      <c r="M494" s="62"/>
      <c r="N494" s="62"/>
      <c r="O494" s="62"/>
      <c r="P494" s="62"/>
      <c r="Q494" s="62"/>
      <c r="R494" s="62"/>
      <c r="S494" s="62"/>
    </row>
    <row r="495">
      <c r="A495" s="67"/>
      <c r="B495" s="68"/>
      <c r="C495" s="62"/>
      <c r="D495" s="62"/>
      <c r="E495" s="62"/>
      <c r="F495" s="62"/>
      <c r="G495" s="63"/>
      <c r="H495" s="64"/>
      <c r="I495" s="69"/>
      <c r="J495" s="64"/>
      <c r="K495" s="62"/>
      <c r="L495" s="62"/>
      <c r="M495" s="62"/>
      <c r="N495" s="62"/>
      <c r="O495" s="62"/>
      <c r="P495" s="62"/>
      <c r="Q495" s="62"/>
      <c r="R495" s="62"/>
      <c r="S495" s="62"/>
    </row>
    <row r="496">
      <c r="A496" s="67"/>
      <c r="B496" s="68"/>
      <c r="C496" s="62"/>
      <c r="D496" s="62"/>
      <c r="E496" s="62"/>
      <c r="F496" s="62"/>
      <c r="G496" s="63"/>
      <c r="H496" s="64"/>
      <c r="I496" s="69"/>
      <c r="J496" s="64"/>
      <c r="K496" s="62"/>
      <c r="L496" s="62"/>
      <c r="M496" s="62"/>
      <c r="N496" s="62"/>
      <c r="O496" s="62"/>
      <c r="P496" s="62"/>
      <c r="Q496" s="62"/>
      <c r="R496" s="62"/>
      <c r="S496" s="62"/>
    </row>
    <row r="497">
      <c r="A497" s="67"/>
      <c r="B497" s="68"/>
      <c r="C497" s="62"/>
      <c r="D497" s="62"/>
      <c r="E497" s="62"/>
      <c r="F497" s="62"/>
      <c r="G497" s="63"/>
      <c r="H497" s="64"/>
      <c r="I497" s="69"/>
      <c r="J497" s="64"/>
      <c r="K497" s="62"/>
      <c r="L497" s="62"/>
      <c r="M497" s="62"/>
      <c r="N497" s="62"/>
      <c r="O497" s="62"/>
      <c r="P497" s="62"/>
      <c r="Q497" s="62"/>
      <c r="R497" s="62"/>
      <c r="S497" s="62"/>
    </row>
    <row r="498">
      <c r="A498" s="67"/>
      <c r="B498" s="68"/>
      <c r="C498" s="62"/>
      <c r="D498" s="62"/>
      <c r="E498" s="62"/>
      <c r="F498" s="62"/>
      <c r="G498" s="63"/>
      <c r="H498" s="64"/>
      <c r="I498" s="69"/>
      <c r="J498" s="64"/>
      <c r="K498" s="62"/>
      <c r="L498" s="62"/>
      <c r="M498" s="62"/>
      <c r="N498" s="62"/>
      <c r="O498" s="62"/>
      <c r="P498" s="62"/>
      <c r="Q498" s="62"/>
      <c r="R498" s="62"/>
      <c r="S498" s="62"/>
    </row>
    <row r="499">
      <c r="A499" s="67"/>
      <c r="B499" s="68"/>
      <c r="C499" s="62"/>
      <c r="D499" s="62"/>
      <c r="E499" s="62"/>
      <c r="F499" s="62"/>
      <c r="G499" s="63"/>
      <c r="H499" s="64"/>
      <c r="I499" s="69"/>
      <c r="J499" s="64"/>
      <c r="K499" s="62"/>
      <c r="L499" s="62"/>
      <c r="M499" s="62"/>
      <c r="N499" s="62"/>
      <c r="O499" s="62"/>
      <c r="P499" s="62"/>
      <c r="Q499" s="62"/>
      <c r="R499" s="62"/>
      <c r="S499" s="62"/>
    </row>
    <row r="500">
      <c r="A500" s="67"/>
      <c r="B500" s="68"/>
      <c r="C500" s="62"/>
      <c r="D500" s="62"/>
      <c r="E500" s="62"/>
      <c r="F500" s="62"/>
      <c r="G500" s="63"/>
      <c r="H500" s="64"/>
      <c r="I500" s="69"/>
      <c r="J500" s="64"/>
      <c r="K500" s="62"/>
      <c r="L500" s="62"/>
      <c r="M500" s="62"/>
      <c r="N500" s="62"/>
      <c r="O500" s="62"/>
      <c r="P500" s="62"/>
      <c r="Q500" s="62"/>
      <c r="R500" s="62"/>
      <c r="S500" s="62"/>
    </row>
    <row r="501">
      <c r="A501" s="67"/>
      <c r="B501" s="68"/>
      <c r="C501" s="62"/>
      <c r="D501" s="62"/>
      <c r="E501" s="62"/>
      <c r="F501" s="62"/>
      <c r="G501" s="63"/>
      <c r="H501" s="64"/>
      <c r="I501" s="69"/>
      <c r="J501" s="64"/>
      <c r="K501" s="62"/>
      <c r="L501" s="62"/>
      <c r="M501" s="62"/>
      <c r="N501" s="62"/>
      <c r="O501" s="62"/>
      <c r="P501" s="62"/>
      <c r="Q501" s="62"/>
      <c r="R501" s="62"/>
      <c r="S501" s="62"/>
    </row>
    <row r="502">
      <c r="A502" s="67"/>
      <c r="B502" s="68"/>
      <c r="C502" s="62"/>
      <c r="D502" s="62"/>
      <c r="E502" s="62"/>
      <c r="F502" s="62"/>
      <c r="G502" s="63"/>
      <c r="H502" s="64"/>
      <c r="I502" s="69"/>
      <c r="J502" s="64"/>
      <c r="K502" s="62"/>
      <c r="L502" s="62"/>
      <c r="M502" s="62"/>
      <c r="N502" s="62"/>
      <c r="O502" s="62"/>
      <c r="P502" s="62"/>
      <c r="Q502" s="62"/>
      <c r="R502" s="62"/>
      <c r="S502" s="62"/>
    </row>
    <row r="503">
      <c r="A503" s="67"/>
      <c r="B503" s="68"/>
      <c r="C503" s="62"/>
      <c r="D503" s="62"/>
      <c r="E503" s="62"/>
      <c r="F503" s="62"/>
      <c r="G503" s="63"/>
      <c r="H503" s="64"/>
      <c r="I503" s="69"/>
      <c r="J503" s="64"/>
      <c r="K503" s="62"/>
      <c r="L503" s="62"/>
      <c r="M503" s="62"/>
      <c r="N503" s="62"/>
      <c r="O503" s="62"/>
      <c r="P503" s="62"/>
      <c r="Q503" s="62"/>
      <c r="R503" s="62"/>
      <c r="S503" s="62"/>
    </row>
    <row r="504">
      <c r="A504" s="67"/>
      <c r="B504" s="68"/>
      <c r="C504" s="62"/>
      <c r="D504" s="62"/>
      <c r="E504" s="62"/>
      <c r="F504" s="62"/>
      <c r="G504" s="63"/>
      <c r="H504" s="64"/>
      <c r="I504" s="69"/>
      <c r="J504" s="64"/>
      <c r="K504" s="62"/>
      <c r="L504" s="62"/>
      <c r="M504" s="62"/>
      <c r="N504" s="62"/>
      <c r="O504" s="62"/>
      <c r="P504" s="62"/>
      <c r="Q504" s="62"/>
      <c r="R504" s="62"/>
      <c r="S504" s="62"/>
    </row>
    <row r="505">
      <c r="A505" s="67"/>
      <c r="B505" s="68"/>
      <c r="C505" s="62"/>
      <c r="D505" s="62"/>
      <c r="E505" s="62"/>
      <c r="F505" s="62"/>
      <c r="G505" s="63"/>
      <c r="H505" s="64"/>
      <c r="I505" s="69"/>
      <c r="J505" s="64"/>
      <c r="K505" s="62"/>
      <c r="L505" s="62"/>
      <c r="M505" s="62"/>
      <c r="N505" s="62"/>
      <c r="O505" s="62"/>
      <c r="P505" s="62"/>
      <c r="Q505" s="62"/>
      <c r="R505" s="62"/>
      <c r="S505" s="62"/>
    </row>
    <row r="506">
      <c r="A506" s="67"/>
      <c r="B506" s="68"/>
      <c r="C506" s="62"/>
      <c r="D506" s="62"/>
      <c r="E506" s="62"/>
      <c r="F506" s="62"/>
      <c r="G506" s="63"/>
      <c r="H506" s="64"/>
      <c r="I506" s="69"/>
      <c r="J506" s="64"/>
      <c r="K506" s="62"/>
      <c r="L506" s="62"/>
      <c r="M506" s="62"/>
      <c r="N506" s="62"/>
      <c r="O506" s="62"/>
      <c r="P506" s="62"/>
      <c r="Q506" s="62"/>
      <c r="R506" s="62"/>
      <c r="S506" s="62"/>
    </row>
    <row r="507">
      <c r="A507" s="67"/>
      <c r="B507" s="68"/>
      <c r="C507" s="62"/>
      <c r="D507" s="62"/>
      <c r="E507" s="62"/>
      <c r="F507" s="62"/>
      <c r="G507" s="63"/>
      <c r="H507" s="64"/>
      <c r="I507" s="69"/>
      <c r="J507" s="64"/>
      <c r="K507" s="62"/>
      <c r="L507" s="62"/>
      <c r="M507" s="62"/>
      <c r="N507" s="62"/>
      <c r="O507" s="62"/>
      <c r="P507" s="62"/>
      <c r="Q507" s="62"/>
      <c r="R507" s="62"/>
      <c r="S507" s="62"/>
    </row>
    <row r="508">
      <c r="A508" s="67"/>
      <c r="B508" s="68"/>
      <c r="C508" s="62"/>
      <c r="D508" s="62"/>
      <c r="E508" s="62"/>
      <c r="F508" s="62"/>
      <c r="G508" s="63"/>
      <c r="H508" s="64"/>
      <c r="I508" s="69"/>
      <c r="J508" s="64"/>
      <c r="K508" s="62"/>
      <c r="L508" s="62"/>
      <c r="M508" s="62"/>
      <c r="N508" s="62"/>
      <c r="O508" s="62"/>
      <c r="P508" s="62"/>
      <c r="Q508" s="62"/>
      <c r="R508" s="62"/>
      <c r="S508" s="62"/>
    </row>
    <row r="509">
      <c r="A509" s="67"/>
      <c r="B509" s="68"/>
      <c r="C509" s="62"/>
      <c r="D509" s="62"/>
      <c r="E509" s="62"/>
      <c r="F509" s="62"/>
      <c r="G509" s="63"/>
      <c r="H509" s="64"/>
      <c r="I509" s="69"/>
      <c r="J509" s="64"/>
      <c r="K509" s="62"/>
      <c r="L509" s="62"/>
      <c r="M509" s="62"/>
      <c r="N509" s="62"/>
      <c r="O509" s="62"/>
      <c r="P509" s="62"/>
      <c r="Q509" s="62"/>
      <c r="R509" s="62"/>
      <c r="S509" s="62"/>
    </row>
    <row r="510">
      <c r="A510" s="67"/>
      <c r="B510" s="68"/>
      <c r="C510" s="62"/>
      <c r="D510" s="62"/>
      <c r="E510" s="62"/>
      <c r="F510" s="62"/>
      <c r="G510" s="63"/>
      <c r="H510" s="64"/>
      <c r="I510" s="69"/>
      <c r="J510" s="64"/>
      <c r="K510" s="62"/>
      <c r="L510" s="62"/>
      <c r="M510" s="62"/>
      <c r="N510" s="62"/>
      <c r="O510" s="62"/>
      <c r="P510" s="62"/>
      <c r="Q510" s="62"/>
      <c r="R510" s="62"/>
      <c r="S510" s="62"/>
    </row>
    <row r="511">
      <c r="A511" s="67"/>
      <c r="B511" s="68"/>
      <c r="C511" s="62"/>
      <c r="D511" s="62"/>
      <c r="E511" s="62"/>
      <c r="F511" s="62"/>
      <c r="G511" s="63"/>
      <c r="H511" s="64"/>
      <c r="I511" s="69"/>
      <c r="J511" s="64"/>
      <c r="K511" s="62"/>
      <c r="L511" s="62"/>
      <c r="M511" s="62"/>
      <c r="N511" s="62"/>
      <c r="O511" s="62"/>
      <c r="P511" s="62"/>
      <c r="Q511" s="62"/>
      <c r="R511" s="62"/>
      <c r="S511" s="62"/>
    </row>
    <row r="512">
      <c r="A512" s="67"/>
      <c r="B512" s="68"/>
      <c r="C512" s="62"/>
      <c r="D512" s="62"/>
      <c r="E512" s="62"/>
      <c r="F512" s="62"/>
      <c r="G512" s="63"/>
      <c r="H512" s="64"/>
      <c r="I512" s="69"/>
      <c r="J512" s="64"/>
      <c r="K512" s="62"/>
      <c r="L512" s="62"/>
      <c r="M512" s="62"/>
      <c r="N512" s="62"/>
      <c r="O512" s="62"/>
      <c r="P512" s="62"/>
      <c r="Q512" s="62"/>
      <c r="R512" s="62"/>
      <c r="S512" s="62"/>
    </row>
    <row r="513">
      <c r="A513" s="67"/>
      <c r="B513" s="68"/>
      <c r="C513" s="62"/>
      <c r="D513" s="62"/>
      <c r="E513" s="62"/>
      <c r="F513" s="62"/>
      <c r="G513" s="63"/>
      <c r="H513" s="64"/>
      <c r="I513" s="69"/>
      <c r="J513" s="64"/>
      <c r="K513" s="62"/>
      <c r="L513" s="62"/>
      <c r="M513" s="62"/>
      <c r="N513" s="62"/>
      <c r="O513" s="62"/>
      <c r="P513" s="62"/>
      <c r="Q513" s="62"/>
      <c r="R513" s="62"/>
      <c r="S513" s="62"/>
    </row>
    <row r="514">
      <c r="A514" s="67"/>
      <c r="B514" s="68"/>
      <c r="C514" s="62"/>
      <c r="D514" s="62"/>
      <c r="E514" s="62"/>
      <c r="F514" s="62"/>
      <c r="G514" s="63"/>
      <c r="H514" s="64"/>
      <c r="I514" s="69"/>
      <c r="J514" s="64"/>
      <c r="K514" s="62"/>
      <c r="L514" s="62"/>
      <c r="M514" s="62"/>
      <c r="N514" s="62"/>
      <c r="O514" s="62"/>
      <c r="P514" s="62"/>
      <c r="Q514" s="62"/>
      <c r="R514" s="62"/>
      <c r="S514" s="62"/>
    </row>
    <row r="515">
      <c r="A515" s="67"/>
      <c r="B515" s="68"/>
      <c r="C515" s="62"/>
      <c r="D515" s="62"/>
      <c r="E515" s="62"/>
      <c r="F515" s="62"/>
      <c r="G515" s="63"/>
      <c r="H515" s="64"/>
      <c r="I515" s="69"/>
      <c r="J515" s="64"/>
      <c r="K515" s="62"/>
      <c r="L515" s="62"/>
      <c r="M515" s="62"/>
      <c r="N515" s="62"/>
      <c r="O515" s="62"/>
      <c r="P515" s="62"/>
      <c r="Q515" s="62"/>
      <c r="R515" s="62"/>
      <c r="S515" s="62"/>
    </row>
    <row r="516">
      <c r="A516" s="67"/>
      <c r="B516" s="68"/>
      <c r="C516" s="62"/>
      <c r="D516" s="62"/>
      <c r="E516" s="62"/>
      <c r="F516" s="62"/>
      <c r="G516" s="63"/>
      <c r="H516" s="64"/>
      <c r="I516" s="69"/>
      <c r="J516" s="64"/>
      <c r="K516" s="62"/>
      <c r="L516" s="62"/>
      <c r="M516" s="62"/>
      <c r="N516" s="62"/>
      <c r="O516" s="62"/>
      <c r="P516" s="62"/>
      <c r="Q516" s="62"/>
      <c r="R516" s="62"/>
      <c r="S516" s="62"/>
    </row>
    <row r="517">
      <c r="A517" s="67"/>
      <c r="B517" s="68"/>
      <c r="C517" s="62"/>
      <c r="D517" s="62"/>
      <c r="E517" s="62"/>
      <c r="F517" s="62"/>
      <c r="G517" s="63"/>
      <c r="H517" s="64"/>
      <c r="I517" s="69"/>
      <c r="J517" s="64"/>
      <c r="K517" s="62"/>
      <c r="L517" s="62"/>
      <c r="M517" s="62"/>
      <c r="N517" s="62"/>
      <c r="O517" s="62"/>
      <c r="P517" s="62"/>
      <c r="Q517" s="62"/>
      <c r="R517" s="62"/>
      <c r="S517" s="62"/>
    </row>
    <row r="518">
      <c r="A518" s="67"/>
      <c r="B518" s="68"/>
      <c r="C518" s="62"/>
      <c r="D518" s="62"/>
      <c r="E518" s="62"/>
      <c r="F518" s="62"/>
      <c r="G518" s="63"/>
      <c r="H518" s="64"/>
      <c r="I518" s="69"/>
      <c r="J518" s="64"/>
      <c r="K518" s="62"/>
      <c r="L518" s="62"/>
      <c r="M518" s="62"/>
      <c r="N518" s="62"/>
      <c r="O518" s="62"/>
      <c r="P518" s="62"/>
      <c r="Q518" s="62"/>
      <c r="R518" s="62"/>
      <c r="S518" s="62"/>
    </row>
    <row r="519">
      <c r="A519" s="67"/>
      <c r="B519" s="68"/>
      <c r="C519" s="62"/>
      <c r="D519" s="62"/>
      <c r="E519" s="62"/>
      <c r="F519" s="62"/>
      <c r="G519" s="63"/>
      <c r="H519" s="64"/>
      <c r="I519" s="69"/>
      <c r="J519" s="64"/>
      <c r="K519" s="62"/>
      <c r="L519" s="62"/>
      <c r="M519" s="62"/>
      <c r="N519" s="62"/>
      <c r="O519" s="62"/>
      <c r="P519" s="62"/>
      <c r="Q519" s="62"/>
      <c r="R519" s="62"/>
      <c r="S519" s="62"/>
    </row>
    <row r="520">
      <c r="A520" s="67"/>
      <c r="B520" s="68"/>
      <c r="C520" s="62"/>
      <c r="D520" s="62"/>
      <c r="E520" s="62"/>
      <c r="F520" s="62"/>
      <c r="G520" s="63"/>
      <c r="H520" s="64"/>
      <c r="I520" s="69"/>
      <c r="J520" s="64"/>
      <c r="K520" s="62"/>
      <c r="L520" s="62"/>
      <c r="M520" s="62"/>
      <c r="N520" s="62"/>
      <c r="O520" s="62"/>
      <c r="P520" s="62"/>
      <c r="Q520" s="62"/>
      <c r="R520" s="62"/>
      <c r="S520" s="62"/>
    </row>
    <row r="521">
      <c r="A521" s="67"/>
      <c r="B521" s="68"/>
      <c r="C521" s="62"/>
      <c r="D521" s="62"/>
      <c r="E521" s="62"/>
      <c r="F521" s="62"/>
      <c r="G521" s="63"/>
      <c r="H521" s="64"/>
      <c r="I521" s="69"/>
      <c r="J521" s="64"/>
      <c r="K521" s="62"/>
      <c r="L521" s="62"/>
      <c r="M521" s="62"/>
      <c r="N521" s="62"/>
      <c r="O521" s="62"/>
      <c r="P521" s="62"/>
      <c r="Q521" s="62"/>
      <c r="R521" s="62"/>
      <c r="S521" s="62"/>
    </row>
    <row r="522">
      <c r="A522" s="67"/>
      <c r="B522" s="68"/>
      <c r="C522" s="62"/>
      <c r="D522" s="62"/>
      <c r="E522" s="62"/>
      <c r="F522" s="62"/>
      <c r="G522" s="63"/>
      <c r="H522" s="64"/>
      <c r="I522" s="69"/>
      <c r="J522" s="64"/>
      <c r="K522" s="62"/>
      <c r="L522" s="62"/>
      <c r="M522" s="62"/>
      <c r="N522" s="62"/>
      <c r="O522" s="62"/>
      <c r="P522" s="62"/>
      <c r="Q522" s="62"/>
      <c r="R522" s="62"/>
      <c r="S522" s="62"/>
    </row>
    <row r="523">
      <c r="A523" s="67"/>
      <c r="B523" s="68"/>
      <c r="C523" s="62"/>
      <c r="D523" s="62"/>
      <c r="E523" s="62"/>
      <c r="F523" s="62"/>
      <c r="G523" s="63"/>
      <c r="H523" s="64"/>
      <c r="I523" s="69"/>
      <c r="J523" s="64"/>
      <c r="K523" s="62"/>
      <c r="L523" s="62"/>
      <c r="M523" s="62"/>
      <c r="N523" s="62"/>
      <c r="O523" s="62"/>
      <c r="P523" s="62"/>
      <c r="Q523" s="62"/>
      <c r="R523" s="62"/>
      <c r="S523" s="62"/>
    </row>
    <row r="524">
      <c r="A524" s="67"/>
      <c r="B524" s="68"/>
      <c r="C524" s="62"/>
      <c r="D524" s="62"/>
      <c r="E524" s="62"/>
      <c r="F524" s="62"/>
      <c r="G524" s="63"/>
      <c r="H524" s="64"/>
      <c r="I524" s="69"/>
      <c r="J524" s="64"/>
      <c r="K524" s="62"/>
      <c r="L524" s="62"/>
      <c r="M524" s="62"/>
      <c r="N524" s="62"/>
      <c r="O524" s="62"/>
      <c r="P524" s="62"/>
      <c r="Q524" s="62"/>
      <c r="R524" s="62"/>
      <c r="S524" s="62"/>
    </row>
    <row r="525">
      <c r="A525" s="67"/>
      <c r="B525" s="68"/>
      <c r="C525" s="62"/>
      <c r="D525" s="62"/>
      <c r="E525" s="62"/>
      <c r="F525" s="62"/>
      <c r="G525" s="63"/>
      <c r="H525" s="64"/>
      <c r="I525" s="69"/>
      <c r="J525" s="64"/>
      <c r="K525" s="62"/>
      <c r="L525" s="62"/>
      <c r="M525" s="62"/>
      <c r="N525" s="62"/>
      <c r="O525" s="62"/>
      <c r="P525" s="62"/>
      <c r="Q525" s="62"/>
      <c r="R525" s="62"/>
      <c r="S525" s="62"/>
    </row>
    <row r="526">
      <c r="A526" s="67"/>
      <c r="B526" s="68"/>
      <c r="C526" s="62"/>
      <c r="D526" s="62"/>
      <c r="E526" s="62"/>
      <c r="F526" s="62"/>
      <c r="G526" s="63"/>
      <c r="H526" s="64"/>
      <c r="I526" s="69"/>
      <c r="J526" s="64"/>
      <c r="K526" s="62"/>
      <c r="L526" s="62"/>
      <c r="M526" s="62"/>
      <c r="N526" s="62"/>
      <c r="O526" s="62"/>
      <c r="P526" s="62"/>
      <c r="Q526" s="62"/>
      <c r="R526" s="62"/>
      <c r="S526" s="62"/>
    </row>
    <row r="527">
      <c r="A527" s="67"/>
      <c r="B527" s="68"/>
      <c r="C527" s="62"/>
      <c r="D527" s="62"/>
      <c r="E527" s="62"/>
      <c r="F527" s="62"/>
      <c r="G527" s="63"/>
      <c r="H527" s="64"/>
      <c r="I527" s="69"/>
      <c r="J527" s="64"/>
      <c r="K527" s="62"/>
      <c r="L527" s="62"/>
      <c r="M527" s="62"/>
      <c r="N527" s="62"/>
      <c r="O527" s="62"/>
      <c r="P527" s="62"/>
      <c r="Q527" s="62"/>
      <c r="R527" s="62"/>
      <c r="S527" s="62"/>
    </row>
    <row r="528">
      <c r="A528" s="67"/>
      <c r="B528" s="68"/>
      <c r="C528" s="62"/>
      <c r="D528" s="62"/>
      <c r="E528" s="62"/>
      <c r="F528" s="62"/>
      <c r="G528" s="63"/>
      <c r="H528" s="64"/>
      <c r="I528" s="69"/>
      <c r="J528" s="64"/>
      <c r="K528" s="62"/>
      <c r="L528" s="62"/>
      <c r="M528" s="62"/>
      <c r="N528" s="62"/>
      <c r="O528" s="62"/>
      <c r="P528" s="62"/>
      <c r="Q528" s="62"/>
      <c r="R528" s="62"/>
      <c r="S528" s="62"/>
    </row>
    <row r="529">
      <c r="A529" s="67"/>
      <c r="B529" s="68"/>
      <c r="C529" s="62"/>
      <c r="D529" s="62"/>
      <c r="E529" s="62"/>
      <c r="F529" s="62"/>
      <c r="G529" s="63"/>
      <c r="H529" s="64"/>
      <c r="I529" s="69"/>
      <c r="J529" s="64"/>
      <c r="K529" s="62"/>
      <c r="L529" s="62"/>
      <c r="M529" s="62"/>
      <c r="N529" s="62"/>
      <c r="O529" s="62"/>
      <c r="P529" s="62"/>
      <c r="Q529" s="62"/>
      <c r="R529" s="62"/>
      <c r="S529" s="62"/>
    </row>
    <row r="530">
      <c r="A530" s="67"/>
      <c r="B530" s="68"/>
      <c r="C530" s="62"/>
      <c r="D530" s="62"/>
      <c r="E530" s="62"/>
      <c r="F530" s="62"/>
      <c r="G530" s="63"/>
      <c r="H530" s="64"/>
      <c r="I530" s="69"/>
      <c r="J530" s="64"/>
      <c r="K530" s="62"/>
      <c r="L530" s="62"/>
      <c r="M530" s="62"/>
      <c r="N530" s="62"/>
      <c r="O530" s="62"/>
      <c r="P530" s="62"/>
      <c r="Q530" s="62"/>
      <c r="R530" s="62"/>
      <c r="S530" s="62"/>
    </row>
    <row r="531">
      <c r="A531" s="67"/>
      <c r="B531" s="68"/>
      <c r="C531" s="62"/>
      <c r="D531" s="62"/>
      <c r="E531" s="62"/>
      <c r="F531" s="62"/>
      <c r="G531" s="63"/>
      <c r="H531" s="64"/>
      <c r="I531" s="69"/>
      <c r="J531" s="64"/>
      <c r="K531" s="62"/>
      <c r="L531" s="62"/>
      <c r="M531" s="62"/>
      <c r="N531" s="62"/>
      <c r="O531" s="62"/>
      <c r="P531" s="62"/>
      <c r="Q531" s="62"/>
      <c r="R531" s="62"/>
      <c r="S531" s="62"/>
    </row>
    <row r="532">
      <c r="A532" s="67"/>
      <c r="B532" s="68"/>
      <c r="C532" s="62"/>
      <c r="D532" s="62"/>
      <c r="E532" s="62"/>
      <c r="F532" s="62"/>
      <c r="G532" s="63"/>
      <c r="H532" s="64"/>
      <c r="I532" s="69"/>
      <c r="J532" s="64"/>
      <c r="K532" s="62"/>
      <c r="L532" s="62"/>
      <c r="M532" s="62"/>
      <c r="N532" s="62"/>
      <c r="O532" s="62"/>
      <c r="P532" s="62"/>
      <c r="Q532" s="62"/>
      <c r="R532" s="62"/>
      <c r="S532" s="62"/>
    </row>
    <row r="533">
      <c r="A533" s="67"/>
      <c r="B533" s="68"/>
      <c r="C533" s="62"/>
      <c r="D533" s="62"/>
      <c r="E533" s="62"/>
      <c r="F533" s="62"/>
      <c r="G533" s="63"/>
      <c r="H533" s="64"/>
      <c r="I533" s="69"/>
      <c r="J533" s="64"/>
      <c r="K533" s="62"/>
      <c r="L533" s="62"/>
      <c r="M533" s="62"/>
      <c r="N533" s="62"/>
      <c r="O533" s="62"/>
      <c r="P533" s="62"/>
      <c r="Q533" s="62"/>
      <c r="R533" s="62"/>
      <c r="S533" s="62"/>
    </row>
    <row r="534">
      <c r="A534" s="67"/>
      <c r="B534" s="68"/>
      <c r="C534" s="62"/>
      <c r="D534" s="62"/>
      <c r="E534" s="62"/>
      <c r="F534" s="62"/>
      <c r="G534" s="63"/>
      <c r="H534" s="64"/>
      <c r="I534" s="69"/>
      <c r="J534" s="64"/>
      <c r="K534" s="62"/>
      <c r="L534" s="62"/>
      <c r="M534" s="62"/>
      <c r="N534" s="62"/>
      <c r="O534" s="62"/>
      <c r="P534" s="62"/>
      <c r="Q534" s="62"/>
      <c r="R534" s="62"/>
      <c r="S534" s="62"/>
    </row>
    <row r="535">
      <c r="A535" s="67"/>
      <c r="B535" s="68"/>
      <c r="C535" s="62"/>
      <c r="D535" s="62"/>
      <c r="E535" s="62"/>
      <c r="F535" s="62"/>
      <c r="G535" s="63"/>
      <c r="H535" s="64"/>
      <c r="I535" s="69"/>
      <c r="J535" s="64"/>
      <c r="K535" s="62"/>
      <c r="L535" s="62"/>
      <c r="M535" s="62"/>
      <c r="N535" s="62"/>
      <c r="O535" s="62"/>
      <c r="P535" s="62"/>
      <c r="Q535" s="62"/>
      <c r="R535" s="62"/>
      <c r="S535" s="62"/>
    </row>
    <row r="536">
      <c r="A536" s="67"/>
      <c r="B536" s="68"/>
      <c r="C536" s="62"/>
      <c r="D536" s="62"/>
      <c r="E536" s="62"/>
      <c r="F536" s="62"/>
      <c r="G536" s="63"/>
      <c r="H536" s="64"/>
      <c r="I536" s="69"/>
      <c r="J536" s="64"/>
      <c r="K536" s="62"/>
      <c r="L536" s="62"/>
      <c r="M536" s="62"/>
      <c r="N536" s="62"/>
      <c r="O536" s="62"/>
      <c r="P536" s="62"/>
      <c r="Q536" s="62"/>
      <c r="R536" s="62"/>
      <c r="S536" s="62"/>
    </row>
    <row r="537">
      <c r="A537" s="67"/>
      <c r="B537" s="68"/>
      <c r="C537" s="62"/>
      <c r="D537" s="62"/>
      <c r="E537" s="62"/>
      <c r="F537" s="62"/>
      <c r="G537" s="63"/>
      <c r="H537" s="64"/>
      <c r="I537" s="69"/>
      <c r="J537" s="64"/>
      <c r="K537" s="62"/>
      <c r="L537" s="62"/>
      <c r="M537" s="62"/>
      <c r="N537" s="62"/>
      <c r="O537" s="62"/>
      <c r="P537" s="62"/>
      <c r="Q537" s="62"/>
      <c r="R537" s="62"/>
      <c r="S537" s="62"/>
    </row>
    <row r="538">
      <c r="A538" s="67"/>
      <c r="B538" s="68"/>
      <c r="C538" s="62"/>
      <c r="D538" s="62"/>
      <c r="E538" s="62"/>
      <c r="F538" s="62"/>
      <c r="G538" s="63"/>
      <c r="H538" s="64"/>
      <c r="I538" s="69"/>
      <c r="J538" s="64"/>
      <c r="K538" s="62"/>
      <c r="L538" s="62"/>
      <c r="M538" s="62"/>
      <c r="N538" s="62"/>
      <c r="O538" s="62"/>
      <c r="P538" s="62"/>
      <c r="Q538" s="62"/>
      <c r="R538" s="62"/>
      <c r="S538" s="62"/>
    </row>
    <row r="539">
      <c r="A539" s="67"/>
      <c r="B539" s="68"/>
      <c r="C539" s="62"/>
      <c r="D539" s="62"/>
      <c r="E539" s="62"/>
      <c r="F539" s="62"/>
      <c r="G539" s="63"/>
      <c r="H539" s="64"/>
      <c r="I539" s="69"/>
      <c r="J539" s="64"/>
      <c r="K539" s="62"/>
      <c r="L539" s="62"/>
      <c r="M539" s="62"/>
      <c r="N539" s="62"/>
      <c r="O539" s="62"/>
      <c r="P539" s="62"/>
      <c r="Q539" s="62"/>
      <c r="R539" s="62"/>
      <c r="S539" s="62"/>
    </row>
    <row r="540">
      <c r="A540" s="67"/>
      <c r="B540" s="68"/>
      <c r="C540" s="62"/>
      <c r="D540" s="62"/>
      <c r="E540" s="62"/>
      <c r="F540" s="62"/>
      <c r="G540" s="63"/>
      <c r="H540" s="64"/>
      <c r="I540" s="69"/>
      <c r="J540" s="64"/>
      <c r="K540" s="62"/>
      <c r="L540" s="62"/>
      <c r="M540" s="62"/>
      <c r="N540" s="62"/>
      <c r="O540" s="62"/>
      <c r="P540" s="62"/>
      <c r="Q540" s="62"/>
      <c r="R540" s="62"/>
      <c r="S540" s="62"/>
    </row>
    <row r="541">
      <c r="A541" s="67"/>
      <c r="B541" s="68"/>
      <c r="C541" s="62"/>
      <c r="D541" s="62"/>
      <c r="E541" s="62"/>
      <c r="F541" s="62"/>
      <c r="G541" s="63"/>
      <c r="H541" s="64"/>
      <c r="I541" s="69"/>
      <c r="J541" s="64"/>
      <c r="K541" s="62"/>
      <c r="L541" s="62"/>
      <c r="M541" s="62"/>
      <c r="N541" s="62"/>
      <c r="O541" s="62"/>
      <c r="P541" s="62"/>
      <c r="Q541" s="62"/>
      <c r="R541" s="62"/>
      <c r="S541" s="62"/>
    </row>
    <row r="542">
      <c r="A542" s="67"/>
      <c r="B542" s="68"/>
      <c r="C542" s="62"/>
      <c r="D542" s="62"/>
      <c r="E542" s="62"/>
      <c r="F542" s="62"/>
      <c r="G542" s="63"/>
      <c r="H542" s="64"/>
      <c r="I542" s="69"/>
      <c r="J542" s="64"/>
      <c r="K542" s="62"/>
      <c r="L542" s="62"/>
      <c r="M542" s="62"/>
      <c r="N542" s="62"/>
      <c r="O542" s="62"/>
      <c r="P542" s="62"/>
      <c r="Q542" s="62"/>
      <c r="R542" s="62"/>
      <c r="S542" s="62"/>
    </row>
    <row r="543">
      <c r="A543" s="67"/>
      <c r="B543" s="68"/>
      <c r="C543" s="62"/>
      <c r="D543" s="62"/>
      <c r="E543" s="62"/>
      <c r="F543" s="62"/>
      <c r="G543" s="63"/>
      <c r="H543" s="64"/>
      <c r="I543" s="69"/>
      <c r="J543" s="64"/>
      <c r="K543" s="62"/>
      <c r="L543" s="62"/>
      <c r="M543" s="62"/>
      <c r="N543" s="62"/>
      <c r="O543" s="62"/>
      <c r="P543" s="62"/>
      <c r="Q543" s="62"/>
      <c r="R543" s="62"/>
      <c r="S543" s="62"/>
    </row>
    <row r="544">
      <c r="A544" s="67"/>
      <c r="B544" s="68"/>
      <c r="C544" s="62"/>
      <c r="D544" s="62"/>
      <c r="E544" s="62"/>
      <c r="F544" s="62"/>
      <c r="G544" s="63"/>
      <c r="H544" s="64"/>
      <c r="I544" s="69"/>
      <c r="J544" s="64"/>
      <c r="K544" s="62"/>
      <c r="L544" s="62"/>
      <c r="M544" s="62"/>
      <c r="N544" s="62"/>
      <c r="O544" s="62"/>
      <c r="P544" s="62"/>
      <c r="Q544" s="62"/>
      <c r="R544" s="62"/>
      <c r="S544" s="62"/>
    </row>
    <row r="545">
      <c r="A545" s="67"/>
      <c r="B545" s="68"/>
      <c r="C545" s="62"/>
      <c r="D545" s="62"/>
      <c r="E545" s="62"/>
      <c r="F545" s="62"/>
      <c r="G545" s="63"/>
      <c r="H545" s="64"/>
      <c r="I545" s="69"/>
      <c r="J545" s="64"/>
      <c r="K545" s="62"/>
      <c r="L545" s="62"/>
      <c r="M545" s="62"/>
      <c r="N545" s="62"/>
      <c r="O545" s="62"/>
      <c r="P545" s="62"/>
      <c r="Q545" s="62"/>
      <c r="R545" s="62"/>
      <c r="S545" s="62"/>
    </row>
    <row r="546">
      <c r="A546" s="67"/>
      <c r="B546" s="68"/>
      <c r="C546" s="62"/>
      <c r="D546" s="62"/>
      <c r="E546" s="62"/>
      <c r="F546" s="62"/>
      <c r="G546" s="63"/>
      <c r="H546" s="64"/>
      <c r="I546" s="69"/>
      <c r="J546" s="64"/>
      <c r="K546" s="62"/>
      <c r="L546" s="62"/>
      <c r="M546" s="62"/>
      <c r="N546" s="62"/>
      <c r="O546" s="62"/>
      <c r="P546" s="62"/>
      <c r="Q546" s="62"/>
      <c r="R546" s="62"/>
      <c r="S546" s="62"/>
    </row>
    <row r="547">
      <c r="A547" s="67"/>
      <c r="B547" s="67"/>
      <c r="C547" s="62"/>
      <c r="D547" s="62"/>
      <c r="E547" s="62"/>
      <c r="F547" s="62"/>
      <c r="G547" s="63"/>
      <c r="H547" s="64"/>
      <c r="I547" s="69"/>
      <c r="J547" s="64"/>
      <c r="K547" s="62"/>
      <c r="L547" s="62"/>
      <c r="M547" s="62"/>
      <c r="N547" s="62"/>
      <c r="O547" s="62"/>
      <c r="P547" s="62"/>
      <c r="Q547" s="62"/>
      <c r="R547" s="62"/>
      <c r="S547" s="62"/>
    </row>
    <row r="548">
      <c r="A548" s="67"/>
      <c r="B548" s="68"/>
      <c r="C548" s="62"/>
      <c r="D548" s="62"/>
      <c r="E548" s="62"/>
      <c r="F548" s="62"/>
      <c r="G548" s="63"/>
      <c r="H548" s="64"/>
      <c r="I548" s="69"/>
      <c r="J548" s="64"/>
      <c r="K548" s="62"/>
      <c r="L548" s="62"/>
      <c r="M548" s="62"/>
      <c r="N548" s="62"/>
      <c r="O548" s="62"/>
      <c r="P548" s="62"/>
      <c r="Q548" s="62"/>
      <c r="R548" s="62"/>
      <c r="S548" s="62"/>
    </row>
    <row r="549">
      <c r="A549" s="67"/>
      <c r="B549" s="68"/>
      <c r="C549" s="62"/>
      <c r="D549" s="62"/>
      <c r="E549" s="62"/>
      <c r="F549" s="62"/>
      <c r="G549" s="63"/>
      <c r="H549" s="64"/>
      <c r="I549" s="69"/>
      <c r="J549" s="64"/>
      <c r="K549" s="62"/>
      <c r="L549" s="62"/>
      <c r="M549" s="62"/>
      <c r="N549" s="62"/>
      <c r="O549" s="62"/>
      <c r="P549" s="62"/>
      <c r="Q549" s="62"/>
      <c r="R549" s="62"/>
      <c r="S549" s="62"/>
    </row>
    <row r="550">
      <c r="A550" s="67"/>
      <c r="B550" s="68"/>
      <c r="C550" s="62"/>
      <c r="D550" s="62"/>
      <c r="E550" s="62"/>
      <c r="F550" s="62"/>
      <c r="G550" s="63"/>
      <c r="H550" s="64"/>
      <c r="I550" s="69"/>
      <c r="J550" s="64"/>
      <c r="K550" s="62"/>
      <c r="L550" s="62"/>
      <c r="M550" s="62"/>
      <c r="N550" s="62"/>
      <c r="O550" s="62"/>
      <c r="P550" s="62"/>
      <c r="Q550" s="62"/>
      <c r="R550" s="62"/>
      <c r="S550" s="62"/>
    </row>
    <row r="551">
      <c r="A551" s="67"/>
      <c r="B551" s="68"/>
      <c r="C551" s="62"/>
      <c r="D551" s="62"/>
      <c r="E551" s="62"/>
      <c r="F551" s="62"/>
      <c r="G551" s="63"/>
      <c r="H551" s="64"/>
      <c r="I551" s="69"/>
      <c r="J551" s="64"/>
      <c r="K551" s="62"/>
      <c r="L551" s="62"/>
      <c r="M551" s="62"/>
      <c r="N551" s="62"/>
      <c r="O551" s="62"/>
      <c r="P551" s="62"/>
      <c r="Q551" s="62"/>
      <c r="R551" s="62"/>
      <c r="S551" s="62"/>
    </row>
    <row r="552">
      <c r="A552" s="67"/>
      <c r="B552" s="68"/>
      <c r="C552" s="62"/>
      <c r="D552" s="62"/>
      <c r="E552" s="62"/>
      <c r="F552" s="62"/>
      <c r="G552" s="63"/>
      <c r="H552" s="64"/>
      <c r="I552" s="69"/>
      <c r="J552" s="64"/>
      <c r="K552" s="62"/>
      <c r="L552" s="62"/>
      <c r="M552" s="62"/>
      <c r="N552" s="62"/>
      <c r="O552" s="62"/>
      <c r="P552" s="62"/>
      <c r="Q552" s="62"/>
      <c r="R552" s="62"/>
      <c r="S552" s="62"/>
    </row>
    <row r="553">
      <c r="A553" s="67"/>
      <c r="B553" s="68"/>
      <c r="C553" s="62"/>
      <c r="D553" s="62"/>
      <c r="E553" s="62"/>
      <c r="F553" s="62"/>
      <c r="G553" s="63"/>
      <c r="H553" s="64"/>
      <c r="I553" s="69"/>
      <c r="J553" s="64"/>
      <c r="K553" s="62"/>
      <c r="L553" s="62"/>
      <c r="M553" s="62"/>
      <c r="N553" s="62"/>
      <c r="O553" s="62"/>
      <c r="P553" s="62"/>
      <c r="Q553" s="62"/>
      <c r="R553" s="62"/>
      <c r="S553" s="62"/>
    </row>
    <row r="554">
      <c r="A554" s="67"/>
      <c r="B554" s="68"/>
      <c r="C554" s="62"/>
      <c r="D554" s="62"/>
      <c r="E554" s="62"/>
      <c r="F554" s="62"/>
      <c r="G554" s="63"/>
      <c r="H554" s="64"/>
      <c r="I554" s="69"/>
      <c r="J554" s="64"/>
      <c r="K554" s="62"/>
      <c r="L554" s="62"/>
      <c r="M554" s="62"/>
      <c r="N554" s="62"/>
      <c r="O554" s="62"/>
      <c r="P554" s="62"/>
      <c r="Q554" s="62"/>
      <c r="R554" s="62"/>
      <c r="S554" s="62"/>
    </row>
    <row r="555">
      <c r="A555" s="67"/>
      <c r="B555" s="68"/>
      <c r="C555" s="62"/>
      <c r="D555" s="62"/>
      <c r="E555" s="62"/>
      <c r="F555" s="62"/>
      <c r="G555" s="63"/>
      <c r="H555" s="64"/>
      <c r="I555" s="69"/>
      <c r="J555" s="64"/>
      <c r="K555" s="62"/>
      <c r="L555" s="62"/>
      <c r="M555" s="62"/>
      <c r="N555" s="62"/>
      <c r="O555" s="62"/>
      <c r="P555" s="62"/>
      <c r="Q555" s="62"/>
      <c r="R555" s="62"/>
      <c r="S555" s="62"/>
    </row>
    <row r="556">
      <c r="A556" s="67"/>
      <c r="B556" s="68"/>
      <c r="C556" s="62"/>
      <c r="D556" s="62"/>
      <c r="E556" s="62"/>
      <c r="F556" s="62"/>
      <c r="G556" s="63"/>
      <c r="H556" s="64"/>
      <c r="I556" s="69"/>
      <c r="J556" s="64"/>
      <c r="K556" s="62"/>
      <c r="L556" s="62"/>
      <c r="M556" s="62"/>
      <c r="N556" s="62"/>
      <c r="O556" s="62"/>
      <c r="P556" s="62"/>
      <c r="Q556" s="62"/>
      <c r="R556" s="62"/>
      <c r="S556" s="62"/>
    </row>
    <row r="557">
      <c r="A557" s="67"/>
      <c r="B557" s="68"/>
      <c r="C557" s="62"/>
      <c r="D557" s="62"/>
      <c r="E557" s="62"/>
      <c r="F557" s="62"/>
      <c r="G557" s="63"/>
      <c r="H557" s="64"/>
      <c r="I557" s="69"/>
      <c r="J557" s="64"/>
      <c r="K557" s="62"/>
      <c r="L557" s="62"/>
      <c r="M557" s="62"/>
      <c r="N557" s="62"/>
      <c r="O557" s="62"/>
      <c r="P557" s="62"/>
      <c r="Q557" s="62"/>
      <c r="R557" s="62"/>
      <c r="S557" s="62"/>
    </row>
    <row r="558">
      <c r="A558" s="67"/>
      <c r="B558" s="68"/>
      <c r="C558" s="62"/>
      <c r="D558" s="62"/>
      <c r="E558" s="62"/>
      <c r="F558" s="62"/>
      <c r="G558" s="63"/>
      <c r="H558" s="64"/>
      <c r="I558" s="69"/>
      <c r="J558" s="64"/>
      <c r="K558" s="62"/>
      <c r="L558" s="62"/>
      <c r="M558" s="62"/>
      <c r="N558" s="62"/>
      <c r="O558" s="62"/>
      <c r="P558" s="62"/>
      <c r="Q558" s="62"/>
      <c r="R558" s="62"/>
      <c r="S558" s="62"/>
    </row>
    <row r="559">
      <c r="A559" s="67"/>
      <c r="B559" s="68"/>
      <c r="C559" s="62"/>
      <c r="D559" s="62"/>
      <c r="E559" s="62"/>
      <c r="F559" s="62"/>
      <c r="G559" s="63"/>
      <c r="H559" s="64"/>
      <c r="I559" s="69"/>
      <c r="J559" s="64"/>
      <c r="K559" s="62"/>
      <c r="L559" s="62"/>
      <c r="M559" s="62"/>
      <c r="N559" s="62"/>
      <c r="O559" s="62"/>
      <c r="P559" s="62"/>
      <c r="Q559" s="62"/>
      <c r="R559" s="62"/>
      <c r="S559" s="62"/>
    </row>
    <row r="560">
      <c r="A560" s="67"/>
      <c r="B560" s="68"/>
      <c r="C560" s="62"/>
      <c r="D560" s="62"/>
      <c r="E560" s="62"/>
      <c r="F560" s="62"/>
      <c r="G560" s="63"/>
      <c r="H560" s="64"/>
      <c r="I560" s="69"/>
      <c r="J560" s="64"/>
      <c r="K560" s="62"/>
      <c r="L560" s="62"/>
      <c r="M560" s="62"/>
      <c r="N560" s="62"/>
      <c r="O560" s="62"/>
      <c r="P560" s="62"/>
      <c r="Q560" s="62"/>
      <c r="R560" s="62"/>
      <c r="S560" s="62"/>
    </row>
    <row r="561">
      <c r="A561" s="67"/>
      <c r="B561" s="68"/>
      <c r="C561" s="62"/>
      <c r="D561" s="62"/>
      <c r="E561" s="62"/>
      <c r="F561" s="62"/>
      <c r="G561" s="63"/>
      <c r="H561" s="64"/>
      <c r="I561" s="69"/>
      <c r="J561" s="64"/>
      <c r="K561" s="62"/>
      <c r="L561" s="62"/>
      <c r="M561" s="62"/>
      <c r="N561" s="62"/>
      <c r="O561" s="62"/>
      <c r="P561" s="62"/>
      <c r="Q561" s="62"/>
      <c r="R561" s="62"/>
      <c r="S561" s="62"/>
    </row>
    <row r="562">
      <c r="A562" s="67"/>
      <c r="B562" s="68"/>
      <c r="C562" s="62"/>
      <c r="D562" s="62"/>
      <c r="E562" s="62"/>
      <c r="F562" s="62"/>
      <c r="G562" s="63"/>
      <c r="H562" s="64"/>
      <c r="I562" s="69"/>
      <c r="J562" s="64"/>
      <c r="K562" s="62"/>
      <c r="L562" s="62"/>
      <c r="M562" s="62"/>
      <c r="N562" s="62"/>
      <c r="O562" s="62"/>
      <c r="P562" s="62"/>
      <c r="Q562" s="62"/>
      <c r="R562" s="62"/>
      <c r="S562" s="62"/>
    </row>
    <row r="563">
      <c r="A563" s="67"/>
      <c r="B563" s="68"/>
      <c r="C563" s="62"/>
      <c r="D563" s="62"/>
      <c r="E563" s="62"/>
      <c r="F563" s="62"/>
      <c r="G563" s="63"/>
      <c r="H563" s="64"/>
      <c r="I563" s="69"/>
      <c r="J563" s="64"/>
      <c r="K563" s="62"/>
      <c r="L563" s="62"/>
      <c r="M563" s="62"/>
      <c r="N563" s="62"/>
      <c r="O563" s="62"/>
      <c r="P563" s="62"/>
      <c r="Q563" s="62"/>
      <c r="R563" s="62"/>
      <c r="S563" s="62"/>
    </row>
    <row r="564">
      <c r="A564" s="67"/>
      <c r="B564" s="68"/>
      <c r="C564" s="62"/>
      <c r="D564" s="62"/>
      <c r="E564" s="62"/>
      <c r="F564" s="62"/>
      <c r="G564" s="63"/>
      <c r="H564" s="64"/>
      <c r="I564" s="69"/>
      <c r="J564" s="64"/>
      <c r="K564" s="62"/>
      <c r="L564" s="62"/>
      <c r="M564" s="62"/>
      <c r="N564" s="62"/>
      <c r="O564" s="62"/>
      <c r="P564" s="62"/>
      <c r="Q564" s="62"/>
      <c r="R564" s="62"/>
      <c r="S564" s="62"/>
    </row>
    <row r="565">
      <c r="A565" s="67"/>
      <c r="B565" s="68"/>
      <c r="C565" s="62"/>
      <c r="D565" s="62"/>
      <c r="E565" s="62"/>
      <c r="F565" s="62"/>
      <c r="G565" s="63"/>
      <c r="H565" s="64"/>
      <c r="I565" s="69"/>
      <c r="J565" s="64"/>
      <c r="K565" s="62"/>
      <c r="L565" s="62"/>
      <c r="M565" s="62"/>
      <c r="N565" s="62"/>
      <c r="O565" s="62"/>
      <c r="P565" s="62"/>
      <c r="Q565" s="62"/>
      <c r="R565" s="62"/>
      <c r="S565" s="62"/>
    </row>
    <row r="566">
      <c r="A566" s="67"/>
      <c r="B566" s="68"/>
      <c r="C566" s="62"/>
      <c r="D566" s="62"/>
      <c r="E566" s="62"/>
      <c r="F566" s="62"/>
      <c r="G566" s="63"/>
      <c r="H566" s="64"/>
      <c r="I566" s="69"/>
      <c r="J566" s="64"/>
      <c r="K566" s="62"/>
      <c r="L566" s="62"/>
      <c r="M566" s="62"/>
      <c r="N566" s="62"/>
      <c r="O566" s="62"/>
      <c r="P566" s="62"/>
      <c r="Q566" s="62"/>
      <c r="R566" s="62"/>
      <c r="S566" s="62"/>
    </row>
    <row r="567">
      <c r="A567" s="67"/>
      <c r="B567" s="68"/>
      <c r="C567" s="62"/>
      <c r="D567" s="62"/>
      <c r="E567" s="62"/>
      <c r="F567" s="62"/>
      <c r="G567" s="63"/>
      <c r="H567" s="64"/>
      <c r="I567" s="69"/>
      <c r="J567" s="64"/>
      <c r="K567" s="62"/>
      <c r="L567" s="62"/>
      <c r="M567" s="62"/>
      <c r="N567" s="62"/>
      <c r="O567" s="62"/>
      <c r="P567" s="62"/>
      <c r="Q567" s="62"/>
      <c r="R567" s="62"/>
      <c r="S567" s="62"/>
    </row>
    <row r="568">
      <c r="A568" s="67"/>
      <c r="B568" s="68"/>
      <c r="C568" s="62"/>
      <c r="D568" s="62"/>
      <c r="E568" s="62"/>
      <c r="F568" s="62"/>
      <c r="G568" s="63"/>
      <c r="H568" s="64"/>
      <c r="I568" s="69"/>
      <c r="J568" s="64"/>
      <c r="K568" s="62"/>
      <c r="L568" s="62"/>
      <c r="M568" s="62"/>
      <c r="N568" s="62"/>
      <c r="O568" s="62"/>
      <c r="P568" s="62"/>
      <c r="Q568" s="62"/>
      <c r="R568" s="62"/>
      <c r="S568" s="62"/>
    </row>
    <row r="569">
      <c r="A569" s="67"/>
      <c r="B569" s="68"/>
      <c r="C569" s="62"/>
      <c r="D569" s="62"/>
      <c r="E569" s="62"/>
      <c r="F569" s="62"/>
      <c r="G569" s="63"/>
      <c r="H569" s="64"/>
      <c r="I569" s="69"/>
      <c r="J569" s="64"/>
      <c r="K569" s="62"/>
      <c r="L569" s="62"/>
      <c r="M569" s="62"/>
      <c r="N569" s="62"/>
      <c r="O569" s="62"/>
      <c r="P569" s="62"/>
      <c r="Q569" s="62"/>
      <c r="R569" s="62"/>
      <c r="S569" s="62"/>
    </row>
    <row r="570">
      <c r="A570" s="67"/>
      <c r="B570" s="68"/>
      <c r="C570" s="62"/>
      <c r="D570" s="62"/>
      <c r="E570" s="62"/>
      <c r="F570" s="62"/>
      <c r="G570" s="63"/>
      <c r="H570" s="64"/>
      <c r="I570" s="69"/>
      <c r="J570" s="64"/>
      <c r="K570" s="62"/>
      <c r="L570" s="62"/>
      <c r="M570" s="62"/>
      <c r="N570" s="62"/>
      <c r="O570" s="62"/>
      <c r="P570" s="62"/>
      <c r="Q570" s="62"/>
      <c r="R570" s="62"/>
      <c r="S570" s="62"/>
    </row>
    <row r="571">
      <c r="A571" s="67"/>
      <c r="B571" s="68"/>
      <c r="C571" s="62"/>
      <c r="D571" s="62"/>
      <c r="E571" s="62"/>
      <c r="F571" s="62"/>
      <c r="G571" s="63"/>
      <c r="H571" s="64"/>
      <c r="I571" s="69"/>
      <c r="J571" s="64"/>
      <c r="K571" s="62"/>
      <c r="L571" s="62"/>
      <c r="M571" s="62"/>
      <c r="N571" s="62"/>
      <c r="O571" s="62"/>
      <c r="P571" s="62"/>
      <c r="Q571" s="62"/>
      <c r="R571" s="62"/>
      <c r="S571" s="62"/>
    </row>
    <row r="572">
      <c r="A572" s="67"/>
      <c r="B572" s="68"/>
      <c r="C572" s="62"/>
      <c r="D572" s="62"/>
      <c r="E572" s="62"/>
      <c r="F572" s="62"/>
      <c r="G572" s="63"/>
      <c r="H572" s="64"/>
      <c r="I572" s="69"/>
      <c r="J572" s="64"/>
      <c r="K572" s="62"/>
      <c r="L572" s="62"/>
      <c r="M572" s="62"/>
      <c r="N572" s="62"/>
      <c r="O572" s="62"/>
      <c r="P572" s="62"/>
      <c r="Q572" s="62"/>
      <c r="R572" s="62"/>
      <c r="S572" s="62"/>
    </row>
    <row r="573">
      <c r="A573" s="67"/>
      <c r="B573" s="68"/>
      <c r="C573" s="62"/>
      <c r="D573" s="62"/>
      <c r="E573" s="62"/>
      <c r="F573" s="62"/>
      <c r="G573" s="63"/>
      <c r="H573" s="64"/>
      <c r="I573" s="69"/>
      <c r="J573" s="64"/>
      <c r="K573" s="62"/>
      <c r="L573" s="62"/>
      <c r="M573" s="62"/>
      <c r="N573" s="62"/>
      <c r="O573" s="62"/>
      <c r="P573" s="62"/>
      <c r="Q573" s="62"/>
      <c r="R573" s="62"/>
      <c r="S573" s="62"/>
    </row>
    <row r="574">
      <c r="A574" s="67"/>
      <c r="B574" s="68"/>
      <c r="C574" s="62"/>
      <c r="D574" s="62"/>
      <c r="E574" s="62"/>
      <c r="F574" s="62"/>
      <c r="G574" s="63"/>
      <c r="H574" s="64"/>
      <c r="I574" s="69"/>
      <c r="J574" s="64"/>
      <c r="K574" s="62"/>
      <c r="L574" s="62"/>
      <c r="M574" s="62"/>
      <c r="N574" s="62"/>
      <c r="O574" s="62"/>
      <c r="P574" s="62"/>
      <c r="Q574" s="62"/>
      <c r="R574" s="62"/>
      <c r="S574" s="62"/>
    </row>
    <row r="575">
      <c r="A575" s="67"/>
      <c r="B575" s="68"/>
      <c r="C575" s="62"/>
      <c r="D575" s="62"/>
      <c r="E575" s="62"/>
      <c r="F575" s="62"/>
      <c r="G575" s="63"/>
      <c r="H575" s="64"/>
      <c r="I575" s="69"/>
      <c r="J575" s="64"/>
      <c r="K575" s="62"/>
      <c r="L575" s="62"/>
      <c r="M575" s="62"/>
      <c r="N575" s="62"/>
      <c r="O575" s="62"/>
      <c r="P575" s="62"/>
      <c r="Q575" s="62"/>
      <c r="R575" s="62"/>
      <c r="S575" s="62"/>
    </row>
    <row r="576">
      <c r="A576" s="67"/>
      <c r="B576" s="68"/>
      <c r="C576" s="62"/>
      <c r="D576" s="62"/>
      <c r="E576" s="62"/>
      <c r="F576" s="62"/>
      <c r="G576" s="63"/>
      <c r="H576" s="64"/>
      <c r="I576" s="69"/>
      <c r="J576" s="64"/>
      <c r="K576" s="62"/>
      <c r="L576" s="62"/>
      <c r="M576" s="62"/>
      <c r="N576" s="62"/>
      <c r="O576" s="62"/>
      <c r="P576" s="62"/>
      <c r="Q576" s="62"/>
      <c r="R576" s="62"/>
      <c r="S576" s="62"/>
    </row>
    <row r="577">
      <c r="A577" s="67"/>
      <c r="B577" s="68"/>
      <c r="C577" s="62"/>
      <c r="D577" s="62"/>
      <c r="E577" s="62"/>
      <c r="F577" s="62"/>
      <c r="G577" s="63"/>
      <c r="H577" s="64"/>
      <c r="I577" s="69"/>
      <c r="J577" s="64"/>
      <c r="K577" s="62"/>
      <c r="L577" s="62"/>
      <c r="M577" s="62"/>
      <c r="N577" s="62"/>
      <c r="O577" s="62"/>
      <c r="P577" s="62"/>
      <c r="Q577" s="62"/>
      <c r="R577" s="62"/>
      <c r="S577" s="62"/>
    </row>
    <row r="578">
      <c r="A578" s="67"/>
      <c r="B578" s="68"/>
      <c r="C578" s="62"/>
      <c r="D578" s="62"/>
      <c r="E578" s="62"/>
      <c r="F578" s="62"/>
      <c r="G578" s="63"/>
      <c r="H578" s="64"/>
      <c r="I578" s="69"/>
      <c r="J578" s="64"/>
      <c r="K578" s="62"/>
      <c r="L578" s="62"/>
      <c r="M578" s="62"/>
      <c r="N578" s="62"/>
      <c r="O578" s="62"/>
      <c r="P578" s="62"/>
      <c r="Q578" s="62"/>
      <c r="R578" s="62"/>
      <c r="S578" s="62"/>
    </row>
    <row r="579">
      <c r="A579" s="67"/>
      <c r="B579" s="68"/>
      <c r="C579" s="62"/>
      <c r="D579" s="62"/>
      <c r="E579" s="62"/>
      <c r="F579" s="62"/>
      <c r="G579" s="63"/>
      <c r="H579" s="64"/>
      <c r="I579" s="69"/>
      <c r="J579" s="64"/>
      <c r="K579" s="62"/>
      <c r="L579" s="62"/>
      <c r="M579" s="62"/>
      <c r="N579" s="62"/>
      <c r="O579" s="62"/>
      <c r="P579" s="62"/>
      <c r="Q579" s="62"/>
      <c r="R579" s="62"/>
      <c r="S579" s="62"/>
    </row>
    <row r="580">
      <c r="A580" s="67"/>
      <c r="B580" s="68"/>
      <c r="C580" s="62"/>
      <c r="D580" s="62"/>
      <c r="E580" s="62"/>
      <c r="F580" s="62"/>
      <c r="G580" s="63"/>
      <c r="H580" s="64"/>
      <c r="I580" s="69"/>
      <c r="J580" s="64"/>
      <c r="K580" s="62"/>
      <c r="L580" s="62"/>
      <c r="M580" s="62"/>
      <c r="N580" s="62"/>
      <c r="O580" s="62"/>
      <c r="P580" s="62"/>
      <c r="Q580" s="62"/>
      <c r="R580" s="62"/>
      <c r="S580" s="62"/>
    </row>
    <row r="581">
      <c r="A581" s="67"/>
      <c r="B581" s="68"/>
      <c r="C581" s="62"/>
      <c r="D581" s="62"/>
      <c r="E581" s="62"/>
      <c r="F581" s="62"/>
      <c r="G581" s="63"/>
      <c r="H581" s="64"/>
      <c r="I581" s="69"/>
      <c r="J581" s="64"/>
      <c r="K581" s="62"/>
      <c r="L581" s="62"/>
      <c r="M581" s="62"/>
      <c r="N581" s="62"/>
      <c r="O581" s="62"/>
      <c r="P581" s="62"/>
      <c r="Q581" s="62"/>
      <c r="R581" s="62"/>
      <c r="S581" s="62"/>
    </row>
    <row r="582">
      <c r="A582" s="67"/>
      <c r="B582" s="68"/>
      <c r="C582" s="62"/>
      <c r="D582" s="62"/>
      <c r="E582" s="62"/>
      <c r="F582" s="62"/>
      <c r="G582" s="63"/>
      <c r="H582" s="64"/>
      <c r="I582" s="69"/>
      <c r="J582" s="64"/>
      <c r="K582" s="62"/>
      <c r="L582" s="62"/>
      <c r="M582" s="62"/>
      <c r="N582" s="62"/>
      <c r="O582" s="62"/>
      <c r="P582" s="62"/>
      <c r="Q582" s="62"/>
      <c r="R582" s="62"/>
      <c r="S582" s="62"/>
    </row>
    <row r="583">
      <c r="A583" s="67"/>
      <c r="B583" s="68"/>
      <c r="C583" s="62"/>
      <c r="D583" s="62"/>
      <c r="E583" s="62"/>
      <c r="F583" s="62"/>
      <c r="G583" s="63"/>
      <c r="H583" s="64"/>
      <c r="I583" s="69"/>
      <c r="J583" s="64"/>
      <c r="K583" s="62"/>
      <c r="L583" s="62"/>
      <c r="M583" s="62"/>
      <c r="N583" s="62"/>
      <c r="O583" s="62"/>
      <c r="P583" s="62"/>
      <c r="Q583" s="62"/>
      <c r="R583" s="62"/>
      <c r="S583" s="62"/>
    </row>
    <row r="584">
      <c r="A584" s="67"/>
      <c r="B584" s="68"/>
      <c r="C584" s="62"/>
      <c r="D584" s="62"/>
      <c r="E584" s="62"/>
      <c r="F584" s="62"/>
      <c r="G584" s="63"/>
      <c r="H584" s="64"/>
      <c r="I584" s="69"/>
      <c r="J584" s="64"/>
      <c r="K584" s="62"/>
      <c r="L584" s="62"/>
      <c r="M584" s="62"/>
      <c r="N584" s="62"/>
      <c r="O584" s="62"/>
      <c r="P584" s="62"/>
      <c r="Q584" s="62"/>
      <c r="R584" s="62"/>
      <c r="S584" s="62"/>
    </row>
    <row r="585">
      <c r="A585" s="67"/>
      <c r="B585" s="68"/>
      <c r="C585" s="62"/>
      <c r="D585" s="62"/>
      <c r="E585" s="62"/>
      <c r="F585" s="62"/>
      <c r="G585" s="63"/>
      <c r="H585" s="64"/>
      <c r="I585" s="69"/>
      <c r="J585" s="64"/>
      <c r="K585" s="62"/>
      <c r="L585" s="62"/>
      <c r="M585" s="62"/>
      <c r="N585" s="62"/>
      <c r="O585" s="62"/>
      <c r="P585" s="62"/>
      <c r="Q585" s="62"/>
      <c r="R585" s="62"/>
      <c r="S585" s="62"/>
    </row>
    <row r="586">
      <c r="A586" s="67"/>
      <c r="B586" s="68"/>
      <c r="C586" s="62"/>
      <c r="D586" s="62"/>
      <c r="E586" s="62"/>
      <c r="F586" s="62"/>
      <c r="G586" s="63"/>
      <c r="H586" s="64"/>
      <c r="I586" s="69"/>
      <c r="J586" s="64"/>
      <c r="K586" s="62"/>
      <c r="L586" s="62"/>
      <c r="M586" s="62"/>
      <c r="N586" s="62"/>
      <c r="O586" s="62"/>
      <c r="P586" s="62"/>
      <c r="Q586" s="62"/>
      <c r="R586" s="62"/>
      <c r="S586" s="62"/>
    </row>
    <row r="587">
      <c r="A587" s="67"/>
      <c r="B587" s="68"/>
      <c r="C587" s="62"/>
      <c r="D587" s="62"/>
      <c r="E587" s="62"/>
      <c r="F587" s="62"/>
      <c r="G587" s="63"/>
      <c r="H587" s="64"/>
      <c r="I587" s="69"/>
      <c r="J587" s="64"/>
      <c r="K587" s="62"/>
      <c r="L587" s="62"/>
      <c r="M587" s="62"/>
      <c r="N587" s="62"/>
      <c r="O587" s="62"/>
      <c r="P587" s="62"/>
      <c r="Q587" s="62"/>
      <c r="R587" s="62"/>
      <c r="S587" s="62"/>
    </row>
    <row r="588">
      <c r="A588" s="67"/>
      <c r="B588" s="68"/>
      <c r="C588" s="62"/>
      <c r="D588" s="62"/>
      <c r="E588" s="62"/>
      <c r="F588" s="62"/>
      <c r="G588" s="63"/>
      <c r="H588" s="64"/>
      <c r="I588" s="69"/>
      <c r="J588" s="64"/>
      <c r="K588" s="62"/>
      <c r="L588" s="62"/>
      <c r="M588" s="62"/>
      <c r="N588" s="62"/>
      <c r="O588" s="62"/>
      <c r="P588" s="62"/>
      <c r="Q588" s="62"/>
      <c r="R588" s="62"/>
      <c r="S588" s="62"/>
    </row>
    <row r="589">
      <c r="A589" s="67"/>
      <c r="B589" s="68"/>
      <c r="C589" s="62"/>
      <c r="D589" s="62"/>
      <c r="E589" s="62"/>
      <c r="F589" s="62"/>
      <c r="G589" s="63"/>
      <c r="H589" s="64"/>
      <c r="I589" s="69"/>
      <c r="J589" s="64"/>
      <c r="K589" s="62"/>
      <c r="L589" s="62"/>
      <c r="M589" s="62"/>
      <c r="N589" s="62"/>
      <c r="O589" s="62"/>
      <c r="P589" s="62"/>
      <c r="Q589" s="62"/>
      <c r="R589" s="62"/>
      <c r="S589" s="62"/>
    </row>
    <row r="590">
      <c r="A590" s="67"/>
      <c r="B590" s="68"/>
      <c r="C590" s="62"/>
      <c r="D590" s="62"/>
      <c r="E590" s="62"/>
      <c r="F590" s="62"/>
      <c r="G590" s="63"/>
      <c r="H590" s="64"/>
      <c r="I590" s="69"/>
      <c r="J590" s="64"/>
      <c r="K590" s="62"/>
      <c r="L590" s="62"/>
      <c r="M590" s="62"/>
      <c r="N590" s="62"/>
      <c r="O590" s="62"/>
      <c r="P590" s="62"/>
      <c r="Q590" s="62"/>
      <c r="R590" s="62"/>
      <c r="S590" s="62"/>
    </row>
    <row r="591">
      <c r="A591" s="67"/>
      <c r="B591" s="68"/>
      <c r="C591" s="62"/>
      <c r="D591" s="62"/>
      <c r="E591" s="62"/>
      <c r="F591" s="62"/>
      <c r="G591" s="63"/>
      <c r="H591" s="64"/>
      <c r="I591" s="69"/>
      <c r="J591" s="64"/>
      <c r="K591" s="62"/>
      <c r="L591" s="62"/>
      <c r="M591" s="62"/>
      <c r="N591" s="62"/>
      <c r="O591" s="62"/>
      <c r="P591" s="62"/>
      <c r="Q591" s="62"/>
      <c r="R591" s="62"/>
      <c r="S591" s="62"/>
    </row>
    <row r="592">
      <c r="A592" s="67"/>
      <c r="B592" s="68"/>
      <c r="C592" s="62"/>
      <c r="D592" s="62"/>
      <c r="E592" s="62"/>
      <c r="F592" s="62"/>
      <c r="G592" s="63"/>
      <c r="H592" s="64"/>
      <c r="I592" s="69"/>
      <c r="J592" s="64"/>
      <c r="K592" s="62"/>
      <c r="L592" s="62"/>
      <c r="M592" s="62"/>
      <c r="N592" s="62"/>
      <c r="O592" s="62"/>
      <c r="P592" s="62"/>
      <c r="Q592" s="62"/>
      <c r="R592" s="62"/>
      <c r="S592" s="62"/>
    </row>
    <row r="593">
      <c r="A593" s="67"/>
      <c r="B593" s="68"/>
      <c r="C593" s="62"/>
      <c r="D593" s="62"/>
      <c r="E593" s="62"/>
      <c r="F593" s="62"/>
      <c r="G593" s="63"/>
      <c r="H593" s="64"/>
      <c r="I593" s="69"/>
      <c r="J593" s="64"/>
      <c r="K593" s="62"/>
      <c r="L593" s="62"/>
      <c r="M593" s="62"/>
      <c r="N593" s="62"/>
      <c r="O593" s="62"/>
      <c r="P593" s="62"/>
      <c r="Q593" s="62"/>
      <c r="R593" s="62"/>
      <c r="S593" s="62"/>
    </row>
    <row r="594">
      <c r="A594" s="67"/>
      <c r="B594" s="68"/>
      <c r="C594" s="62"/>
      <c r="D594" s="62"/>
      <c r="E594" s="62"/>
      <c r="F594" s="62"/>
      <c r="G594" s="63"/>
      <c r="H594" s="64"/>
      <c r="I594" s="69"/>
      <c r="J594" s="64"/>
      <c r="K594" s="62"/>
      <c r="L594" s="62"/>
      <c r="M594" s="62"/>
      <c r="N594" s="62"/>
      <c r="O594" s="62"/>
      <c r="P594" s="62"/>
      <c r="Q594" s="62"/>
      <c r="R594" s="62"/>
      <c r="S594" s="62"/>
    </row>
    <row r="595">
      <c r="A595" s="67"/>
      <c r="B595" s="68"/>
      <c r="C595" s="62"/>
      <c r="D595" s="62"/>
      <c r="E595" s="62"/>
      <c r="F595" s="62"/>
      <c r="G595" s="63"/>
      <c r="H595" s="64"/>
      <c r="I595" s="69"/>
      <c r="J595" s="64"/>
      <c r="K595" s="62"/>
      <c r="L595" s="62"/>
      <c r="M595" s="62"/>
      <c r="N595" s="62"/>
      <c r="O595" s="62"/>
      <c r="P595" s="62"/>
      <c r="Q595" s="62"/>
      <c r="R595" s="62"/>
      <c r="S595" s="62"/>
    </row>
    <row r="596">
      <c r="A596" s="67"/>
      <c r="B596" s="68"/>
      <c r="C596" s="62"/>
      <c r="D596" s="62"/>
      <c r="E596" s="62"/>
      <c r="F596" s="62"/>
      <c r="G596" s="63"/>
      <c r="H596" s="64"/>
      <c r="I596" s="69"/>
      <c r="J596" s="64"/>
      <c r="K596" s="62"/>
      <c r="L596" s="62"/>
      <c r="M596" s="62"/>
      <c r="N596" s="62"/>
      <c r="O596" s="62"/>
      <c r="P596" s="62"/>
      <c r="Q596" s="62"/>
      <c r="R596" s="62"/>
      <c r="S596" s="62"/>
    </row>
    <row r="597">
      <c r="A597" s="67"/>
      <c r="B597" s="68"/>
      <c r="C597" s="62"/>
      <c r="D597" s="62"/>
      <c r="E597" s="62"/>
      <c r="F597" s="62"/>
      <c r="G597" s="63"/>
      <c r="H597" s="64"/>
      <c r="I597" s="69"/>
      <c r="J597" s="64"/>
      <c r="K597" s="62"/>
      <c r="L597" s="62"/>
      <c r="M597" s="62"/>
      <c r="N597" s="62"/>
      <c r="O597" s="62"/>
      <c r="P597" s="62"/>
      <c r="Q597" s="62"/>
      <c r="R597" s="62"/>
      <c r="S597" s="62"/>
    </row>
    <row r="598">
      <c r="A598" s="67"/>
      <c r="B598" s="68"/>
      <c r="C598" s="62"/>
      <c r="D598" s="62"/>
      <c r="E598" s="62"/>
      <c r="F598" s="62"/>
      <c r="G598" s="63"/>
      <c r="H598" s="64"/>
      <c r="I598" s="69"/>
      <c r="J598" s="64"/>
      <c r="K598" s="62"/>
      <c r="L598" s="62"/>
      <c r="M598" s="62"/>
      <c r="N598" s="62"/>
      <c r="O598" s="62"/>
      <c r="P598" s="62"/>
      <c r="Q598" s="62"/>
      <c r="R598" s="62"/>
      <c r="S598" s="62"/>
    </row>
    <row r="599">
      <c r="A599" s="68"/>
      <c r="B599" s="68"/>
      <c r="C599" s="62"/>
      <c r="D599" s="62"/>
      <c r="E599" s="62"/>
      <c r="F599" s="62"/>
      <c r="G599" s="63"/>
      <c r="H599" s="64"/>
      <c r="I599" s="69"/>
      <c r="J599" s="64"/>
      <c r="K599" s="62"/>
      <c r="L599" s="62"/>
      <c r="M599" s="62"/>
      <c r="N599" s="62"/>
      <c r="O599" s="62"/>
      <c r="P599" s="62"/>
      <c r="Q599" s="62"/>
      <c r="R599" s="62"/>
      <c r="S599" s="62"/>
    </row>
    <row r="600">
      <c r="A600" s="68"/>
      <c r="B600" s="68"/>
      <c r="C600" s="62"/>
      <c r="D600" s="62"/>
      <c r="E600" s="62"/>
      <c r="F600" s="62"/>
      <c r="G600" s="63"/>
      <c r="H600" s="64"/>
      <c r="I600" s="69"/>
      <c r="J600" s="64"/>
      <c r="K600" s="62"/>
      <c r="L600" s="62"/>
      <c r="M600" s="62"/>
      <c r="N600" s="62"/>
      <c r="O600" s="62"/>
      <c r="P600" s="62"/>
      <c r="Q600" s="62"/>
      <c r="R600" s="62"/>
      <c r="S600" s="62"/>
    </row>
    <row r="601">
      <c r="A601" s="68"/>
      <c r="B601" s="68"/>
      <c r="C601" s="62"/>
      <c r="D601" s="62"/>
      <c r="E601" s="62"/>
      <c r="F601" s="62"/>
      <c r="G601" s="63"/>
      <c r="H601" s="64"/>
      <c r="I601" s="69"/>
      <c r="J601" s="64"/>
      <c r="K601" s="62"/>
      <c r="L601" s="62"/>
      <c r="M601" s="62"/>
      <c r="N601" s="62"/>
      <c r="O601" s="62"/>
      <c r="P601" s="62"/>
      <c r="Q601" s="62"/>
      <c r="R601" s="62"/>
      <c r="S601" s="62"/>
    </row>
    <row r="602">
      <c r="A602" s="68"/>
      <c r="B602" s="68"/>
      <c r="C602" s="62"/>
      <c r="D602" s="62"/>
      <c r="E602" s="62"/>
      <c r="F602" s="62"/>
      <c r="G602" s="63"/>
      <c r="H602" s="64"/>
      <c r="I602" s="69"/>
      <c r="J602" s="64"/>
      <c r="K602" s="62"/>
      <c r="L602" s="62"/>
      <c r="M602" s="62"/>
      <c r="N602" s="62"/>
      <c r="O602" s="62"/>
      <c r="P602" s="62"/>
      <c r="Q602" s="62"/>
      <c r="R602" s="62"/>
      <c r="S602" s="62"/>
    </row>
    <row r="603">
      <c r="A603" s="68"/>
      <c r="B603" s="68"/>
      <c r="C603" s="62"/>
      <c r="D603" s="62"/>
      <c r="E603" s="62"/>
      <c r="F603" s="62"/>
      <c r="G603" s="63"/>
      <c r="H603" s="64"/>
      <c r="I603" s="69"/>
      <c r="J603" s="64"/>
      <c r="K603" s="62"/>
      <c r="L603" s="62"/>
      <c r="M603" s="62"/>
      <c r="N603" s="62"/>
      <c r="O603" s="62"/>
      <c r="P603" s="62"/>
      <c r="Q603" s="62"/>
      <c r="R603" s="62"/>
      <c r="S603" s="62"/>
    </row>
    <row r="604">
      <c r="A604" s="68"/>
      <c r="B604" s="68"/>
      <c r="C604" s="62"/>
      <c r="D604" s="62"/>
      <c r="E604" s="62"/>
      <c r="F604" s="62"/>
      <c r="G604" s="63"/>
      <c r="H604" s="64"/>
      <c r="I604" s="69"/>
      <c r="J604" s="64"/>
      <c r="K604" s="62"/>
      <c r="L604" s="62"/>
      <c r="M604" s="62"/>
      <c r="N604" s="62"/>
      <c r="O604" s="62"/>
      <c r="P604" s="62"/>
      <c r="Q604" s="62"/>
      <c r="R604" s="62"/>
      <c r="S604" s="62"/>
    </row>
    <row r="605">
      <c r="A605" s="68"/>
      <c r="B605" s="68"/>
      <c r="C605" s="62"/>
      <c r="D605" s="62"/>
      <c r="E605" s="62"/>
      <c r="F605" s="62"/>
      <c r="G605" s="63"/>
      <c r="H605" s="64"/>
      <c r="I605" s="69"/>
      <c r="J605" s="64"/>
      <c r="K605" s="62"/>
      <c r="L605" s="62"/>
      <c r="M605" s="62"/>
      <c r="N605" s="62"/>
      <c r="O605" s="62"/>
      <c r="P605" s="62"/>
      <c r="Q605" s="62"/>
      <c r="R605" s="62"/>
      <c r="S605" s="62"/>
    </row>
    <row r="606">
      <c r="A606" s="68"/>
      <c r="B606" s="68"/>
      <c r="C606" s="62"/>
      <c r="D606" s="62"/>
      <c r="E606" s="62"/>
      <c r="F606" s="62"/>
      <c r="G606" s="63"/>
      <c r="H606" s="64"/>
      <c r="I606" s="69"/>
      <c r="J606" s="64"/>
      <c r="K606" s="62"/>
      <c r="L606" s="62"/>
      <c r="M606" s="62"/>
      <c r="N606" s="62"/>
      <c r="O606" s="62"/>
      <c r="P606" s="62"/>
      <c r="Q606" s="62"/>
      <c r="R606" s="62"/>
      <c r="S606" s="62"/>
    </row>
    <row r="607">
      <c r="A607" s="68"/>
      <c r="B607" s="68"/>
      <c r="C607" s="62"/>
      <c r="D607" s="62"/>
      <c r="E607" s="62"/>
      <c r="F607" s="62"/>
      <c r="G607" s="63"/>
      <c r="H607" s="64"/>
      <c r="I607" s="69"/>
      <c r="J607" s="64"/>
      <c r="K607" s="62"/>
      <c r="L607" s="62"/>
      <c r="M607" s="62"/>
      <c r="N607" s="62"/>
      <c r="O607" s="62"/>
      <c r="P607" s="62"/>
      <c r="Q607" s="62"/>
      <c r="R607" s="62"/>
      <c r="S607" s="62"/>
    </row>
    <row r="608">
      <c r="A608" s="68"/>
      <c r="B608" s="68"/>
      <c r="C608" s="62"/>
      <c r="D608" s="62"/>
      <c r="E608" s="62"/>
      <c r="F608" s="62"/>
      <c r="G608" s="63"/>
      <c r="H608" s="64"/>
      <c r="I608" s="69"/>
      <c r="J608" s="64"/>
      <c r="K608" s="62"/>
      <c r="L608" s="62"/>
      <c r="M608" s="62"/>
      <c r="N608" s="62"/>
      <c r="O608" s="62"/>
      <c r="P608" s="62"/>
      <c r="Q608" s="62"/>
      <c r="R608" s="62"/>
      <c r="S608" s="62"/>
    </row>
    <row r="609">
      <c r="A609" s="68"/>
      <c r="B609" s="68"/>
      <c r="C609" s="62"/>
      <c r="D609" s="62"/>
      <c r="E609" s="62"/>
      <c r="F609" s="62"/>
      <c r="G609" s="63"/>
      <c r="H609" s="64"/>
      <c r="I609" s="69"/>
      <c r="J609" s="64"/>
      <c r="K609" s="62"/>
      <c r="L609" s="62"/>
      <c r="M609" s="62"/>
      <c r="N609" s="62"/>
      <c r="O609" s="62"/>
      <c r="P609" s="62"/>
      <c r="Q609" s="62"/>
      <c r="R609" s="62"/>
      <c r="S609" s="62"/>
    </row>
    <row r="610">
      <c r="A610" s="68"/>
      <c r="B610" s="68"/>
      <c r="C610" s="62"/>
      <c r="D610" s="62"/>
      <c r="E610" s="62"/>
      <c r="F610" s="62"/>
      <c r="G610" s="63"/>
      <c r="H610" s="64"/>
      <c r="I610" s="69"/>
      <c r="J610" s="64"/>
      <c r="K610" s="62"/>
      <c r="L610" s="62"/>
      <c r="M610" s="62"/>
      <c r="N610" s="62"/>
      <c r="O610" s="62"/>
      <c r="P610" s="62"/>
      <c r="Q610" s="62"/>
      <c r="R610" s="62"/>
      <c r="S610" s="62"/>
    </row>
    <row r="611">
      <c r="A611" s="68"/>
      <c r="B611" s="68"/>
      <c r="C611" s="62"/>
      <c r="D611" s="62"/>
      <c r="E611" s="62"/>
      <c r="F611" s="62"/>
      <c r="G611" s="63"/>
      <c r="H611" s="64"/>
      <c r="I611" s="69"/>
      <c r="J611" s="64"/>
      <c r="K611" s="62"/>
      <c r="L611" s="62"/>
      <c r="M611" s="62"/>
      <c r="N611" s="62"/>
      <c r="O611" s="62"/>
      <c r="P611" s="62"/>
      <c r="Q611" s="62"/>
      <c r="R611" s="62"/>
      <c r="S611" s="62"/>
    </row>
    <row r="612">
      <c r="A612" s="68"/>
      <c r="B612" s="68"/>
      <c r="C612" s="62"/>
      <c r="D612" s="62"/>
      <c r="E612" s="62"/>
      <c r="F612" s="62"/>
      <c r="G612" s="63"/>
      <c r="H612" s="64"/>
      <c r="I612" s="69"/>
      <c r="J612" s="64"/>
      <c r="K612" s="62"/>
      <c r="L612" s="62"/>
      <c r="M612" s="62"/>
      <c r="N612" s="62"/>
      <c r="O612" s="62"/>
      <c r="P612" s="62"/>
      <c r="Q612" s="62"/>
      <c r="R612" s="62"/>
      <c r="S612" s="62"/>
    </row>
    <row r="613">
      <c r="A613" s="68"/>
      <c r="B613" s="68"/>
      <c r="C613" s="62"/>
      <c r="D613" s="62"/>
      <c r="E613" s="62"/>
      <c r="F613" s="62"/>
      <c r="G613" s="63"/>
      <c r="H613" s="64"/>
      <c r="I613" s="69"/>
      <c r="J613" s="64"/>
      <c r="K613" s="62"/>
      <c r="L613" s="62"/>
      <c r="M613" s="62"/>
      <c r="N613" s="62"/>
      <c r="O613" s="62"/>
      <c r="P613" s="62"/>
      <c r="Q613" s="62"/>
      <c r="R613" s="62"/>
      <c r="S613" s="62"/>
    </row>
    <row r="614">
      <c r="A614" s="68"/>
      <c r="B614" s="68"/>
      <c r="C614" s="62"/>
      <c r="D614" s="62"/>
      <c r="E614" s="62"/>
      <c r="F614" s="62"/>
      <c r="G614" s="63"/>
      <c r="H614" s="64"/>
      <c r="I614" s="69"/>
      <c r="J614" s="64"/>
      <c r="K614" s="62"/>
      <c r="L614" s="62"/>
      <c r="M614" s="62"/>
      <c r="N614" s="62"/>
      <c r="O614" s="62"/>
      <c r="P614" s="62"/>
      <c r="Q614" s="62"/>
      <c r="R614" s="62"/>
      <c r="S614" s="62"/>
    </row>
    <row r="615">
      <c r="A615" s="68"/>
      <c r="B615" s="68"/>
      <c r="C615" s="62"/>
      <c r="D615" s="62"/>
      <c r="E615" s="62"/>
      <c r="F615" s="62"/>
      <c r="G615" s="63"/>
      <c r="H615" s="64"/>
      <c r="I615" s="69"/>
      <c r="J615" s="64"/>
      <c r="K615" s="62"/>
      <c r="L615" s="62"/>
      <c r="M615" s="62"/>
      <c r="N615" s="62"/>
      <c r="O615" s="62"/>
      <c r="P615" s="62"/>
      <c r="Q615" s="62"/>
      <c r="R615" s="62"/>
      <c r="S615" s="62"/>
    </row>
    <row r="616">
      <c r="A616" s="68"/>
      <c r="B616" s="68"/>
      <c r="C616" s="62"/>
      <c r="D616" s="62"/>
      <c r="E616" s="62"/>
      <c r="F616" s="62"/>
      <c r="G616" s="63"/>
      <c r="H616" s="64"/>
      <c r="I616" s="69"/>
      <c r="J616" s="64"/>
      <c r="K616" s="62"/>
      <c r="L616" s="62"/>
      <c r="M616" s="62"/>
      <c r="N616" s="62"/>
      <c r="O616" s="62"/>
      <c r="P616" s="62"/>
      <c r="Q616" s="62"/>
      <c r="R616" s="62"/>
      <c r="S616" s="62"/>
    </row>
    <row r="617">
      <c r="A617" s="68"/>
      <c r="B617" s="68"/>
      <c r="C617" s="62"/>
      <c r="D617" s="62"/>
      <c r="E617" s="62"/>
      <c r="F617" s="62"/>
      <c r="G617" s="63"/>
      <c r="H617" s="64"/>
      <c r="I617" s="69"/>
      <c r="J617" s="64"/>
      <c r="K617" s="62"/>
      <c r="L617" s="62"/>
      <c r="M617" s="62"/>
      <c r="N617" s="62"/>
      <c r="O617" s="62"/>
      <c r="P617" s="62"/>
      <c r="Q617" s="62"/>
      <c r="R617" s="62"/>
      <c r="S617" s="62"/>
    </row>
    <row r="618">
      <c r="A618" s="68"/>
      <c r="B618" s="68"/>
      <c r="C618" s="62"/>
      <c r="D618" s="62"/>
      <c r="E618" s="62"/>
      <c r="F618" s="62"/>
      <c r="G618" s="63"/>
      <c r="H618" s="64"/>
      <c r="I618" s="69"/>
      <c r="J618" s="64"/>
      <c r="K618" s="62"/>
      <c r="L618" s="62"/>
      <c r="M618" s="62"/>
      <c r="N618" s="62"/>
      <c r="O618" s="62"/>
      <c r="P618" s="62"/>
      <c r="Q618" s="62"/>
      <c r="R618" s="62"/>
      <c r="S618" s="62"/>
    </row>
    <row r="619">
      <c r="A619" s="68"/>
      <c r="B619" s="68"/>
      <c r="C619" s="62"/>
      <c r="D619" s="62"/>
      <c r="E619" s="62"/>
      <c r="F619" s="62"/>
      <c r="G619" s="63"/>
      <c r="H619" s="64"/>
      <c r="I619" s="69"/>
      <c r="J619" s="64"/>
      <c r="K619" s="62"/>
      <c r="L619" s="62"/>
      <c r="M619" s="62"/>
      <c r="N619" s="62"/>
      <c r="O619" s="62"/>
      <c r="P619" s="62"/>
      <c r="Q619" s="62"/>
      <c r="R619" s="62"/>
      <c r="S619" s="62"/>
    </row>
    <row r="620">
      <c r="A620" s="68"/>
      <c r="B620" s="68"/>
      <c r="C620" s="62"/>
      <c r="D620" s="62"/>
      <c r="E620" s="62"/>
      <c r="F620" s="62"/>
      <c r="G620" s="63"/>
      <c r="H620" s="64"/>
      <c r="I620" s="69"/>
      <c r="J620" s="64"/>
      <c r="K620" s="62"/>
      <c r="L620" s="62"/>
      <c r="M620" s="62"/>
      <c r="N620" s="62"/>
      <c r="O620" s="62"/>
      <c r="P620" s="62"/>
      <c r="Q620" s="62"/>
      <c r="R620" s="62"/>
      <c r="S620" s="62"/>
    </row>
    <row r="621">
      <c r="A621" s="68"/>
      <c r="B621" s="68"/>
      <c r="C621" s="62"/>
      <c r="D621" s="62"/>
      <c r="E621" s="62"/>
      <c r="F621" s="62"/>
      <c r="G621" s="63"/>
      <c r="H621" s="64"/>
      <c r="I621" s="69"/>
      <c r="J621" s="64"/>
      <c r="K621" s="62"/>
      <c r="L621" s="62"/>
      <c r="M621" s="62"/>
      <c r="N621" s="62"/>
      <c r="O621" s="62"/>
      <c r="P621" s="62"/>
      <c r="Q621" s="62"/>
      <c r="R621" s="62"/>
      <c r="S621" s="62"/>
    </row>
    <row r="622">
      <c r="A622" s="68"/>
      <c r="B622" s="68"/>
      <c r="C622" s="62"/>
      <c r="D622" s="62"/>
      <c r="E622" s="62"/>
      <c r="F622" s="62"/>
      <c r="G622" s="63"/>
      <c r="H622" s="64"/>
      <c r="I622" s="69"/>
      <c r="J622" s="64"/>
      <c r="K622" s="62"/>
      <c r="L622" s="62"/>
      <c r="M622" s="62"/>
      <c r="N622" s="62"/>
      <c r="O622" s="62"/>
      <c r="P622" s="62"/>
      <c r="Q622" s="62"/>
      <c r="R622" s="62"/>
      <c r="S622" s="62"/>
    </row>
    <row r="623">
      <c r="A623" s="68"/>
      <c r="B623" s="68"/>
      <c r="C623" s="62"/>
      <c r="D623" s="62"/>
      <c r="E623" s="62"/>
      <c r="F623" s="62"/>
      <c r="G623" s="63"/>
      <c r="H623" s="64"/>
      <c r="I623" s="69"/>
      <c r="J623" s="64"/>
      <c r="K623" s="62"/>
      <c r="L623" s="62"/>
      <c r="M623" s="62"/>
      <c r="N623" s="62"/>
      <c r="O623" s="62"/>
      <c r="P623" s="62"/>
      <c r="Q623" s="62"/>
      <c r="R623" s="62"/>
      <c r="S623" s="62"/>
    </row>
    <row r="624">
      <c r="A624" s="68"/>
      <c r="B624" s="68"/>
      <c r="C624" s="62"/>
      <c r="D624" s="62"/>
      <c r="E624" s="62"/>
      <c r="F624" s="62"/>
      <c r="G624" s="63"/>
      <c r="H624" s="64"/>
      <c r="I624" s="69"/>
      <c r="J624" s="64"/>
      <c r="K624" s="62"/>
      <c r="L624" s="62"/>
      <c r="M624" s="62"/>
      <c r="N624" s="62"/>
      <c r="O624" s="62"/>
      <c r="P624" s="62"/>
      <c r="Q624" s="62"/>
      <c r="R624" s="62"/>
      <c r="S624" s="62"/>
    </row>
    <row r="625">
      <c r="A625" s="68"/>
      <c r="B625" s="68"/>
      <c r="C625" s="62"/>
      <c r="D625" s="62"/>
      <c r="E625" s="62"/>
      <c r="F625" s="62"/>
      <c r="G625" s="63"/>
      <c r="H625" s="64"/>
      <c r="I625" s="69"/>
      <c r="J625" s="64"/>
      <c r="K625" s="62"/>
      <c r="L625" s="62"/>
      <c r="M625" s="62"/>
      <c r="N625" s="62"/>
      <c r="O625" s="62"/>
      <c r="P625" s="62"/>
      <c r="Q625" s="62"/>
      <c r="R625" s="62"/>
      <c r="S625" s="62"/>
    </row>
    <row r="626">
      <c r="A626" s="68"/>
      <c r="B626" s="68"/>
      <c r="C626" s="62"/>
      <c r="D626" s="62"/>
      <c r="E626" s="62"/>
      <c r="F626" s="62"/>
      <c r="G626" s="63"/>
      <c r="H626" s="64"/>
      <c r="I626" s="69"/>
      <c r="J626" s="64"/>
      <c r="K626" s="62"/>
      <c r="L626" s="62"/>
      <c r="M626" s="62"/>
      <c r="N626" s="62"/>
      <c r="O626" s="62"/>
      <c r="P626" s="62"/>
      <c r="Q626" s="62"/>
      <c r="R626" s="62"/>
      <c r="S626" s="62"/>
    </row>
    <row r="627">
      <c r="A627" s="68"/>
      <c r="B627" s="68"/>
      <c r="C627" s="62"/>
      <c r="D627" s="62"/>
      <c r="E627" s="62"/>
      <c r="F627" s="62"/>
      <c r="G627" s="63"/>
      <c r="H627" s="64"/>
      <c r="I627" s="69"/>
      <c r="J627" s="64"/>
      <c r="K627" s="62"/>
      <c r="L627" s="62"/>
      <c r="M627" s="62"/>
      <c r="N627" s="62"/>
      <c r="O627" s="62"/>
      <c r="P627" s="62"/>
      <c r="Q627" s="62"/>
      <c r="R627" s="62"/>
      <c r="S627" s="62"/>
    </row>
    <row r="628">
      <c r="A628" s="68"/>
      <c r="B628" s="68"/>
      <c r="C628" s="62"/>
      <c r="D628" s="62"/>
      <c r="E628" s="62"/>
      <c r="F628" s="62"/>
      <c r="G628" s="63"/>
      <c r="H628" s="64"/>
      <c r="I628" s="69"/>
      <c r="J628" s="64"/>
      <c r="K628" s="62"/>
      <c r="L628" s="62"/>
      <c r="M628" s="62"/>
      <c r="N628" s="62"/>
      <c r="O628" s="62"/>
      <c r="P628" s="62"/>
      <c r="Q628" s="62"/>
      <c r="R628" s="62"/>
      <c r="S628" s="62"/>
    </row>
    <row r="629">
      <c r="A629" s="68"/>
      <c r="B629" s="68"/>
      <c r="C629" s="62"/>
      <c r="D629" s="62"/>
      <c r="E629" s="62"/>
      <c r="F629" s="62"/>
      <c r="G629" s="63"/>
      <c r="H629" s="64"/>
      <c r="I629" s="69"/>
      <c r="J629" s="64"/>
      <c r="K629" s="62"/>
      <c r="L629" s="62"/>
      <c r="M629" s="62"/>
      <c r="N629" s="62"/>
      <c r="O629" s="62"/>
      <c r="P629" s="62"/>
      <c r="Q629" s="62"/>
      <c r="R629" s="62"/>
      <c r="S629" s="62"/>
    </row>
    <row r="630">
      <c r="A630" s="68"/>
      <c r="B630" s="68"/>
      <c r="C630" s="62"/>
      <c r="D630" s="62"/>
      <c r="E630" s="62"/>
      <c r="F630" s="62"/>
      <c r="G630" s="63"/>
      <c r="H630" s="64"/>
      <c r="I630" s="69"/>
      <c r="J630" s="64"/>
      <c r="K630" s="62"/>
      <c r="L630" s="62"/>
      <c r="M630" s="62"/>
      <c r="N630" s="62"/>
      <c r="O630" s="62"/>
      <c r="P630" s="62"/>
      <c r="Q630" s="62"/>
      <c r="R630" s="62"/>
      <c r="S630" s="62"/>
    </row>
    <row r="631">
      <c r="A631" s="68"/>
      <c r="B631" s="68"/>
      <c r="C631" s="62"/>
      <c r="D631" s="62"/>
      <c r="E631" s="62"/>
      <c r="F631" s="62"/>
      <c r="G631" s="63"/>
      <c r="H631" s="64"/>
      <c r="I631" s="69"/>
      <c r="J631" s="64"/>
      <c r="K631" s="62"/>
      <c r="L631" s="62"/>
      <c r="M631" s="62"/>
      <c r="N631" s="62"/>
      <c r="O631" s="62"/>
      <c r="P631" s="62"/>
      <c r="Q631" s="62"/>
      <c r="R631" s="62"/>
      <c r="S631" s="62"/>
    </row>
    <row r="632">
      <c r="A632" s="68"/>
      <c r="B632" s="68"/>
      <c r="C632" s="62"/>
      <c r="D632" s="62"/>
      <c r="E632" s="62"/>
      <c r="F632" s="62"/>
      <c r="G632" s="63"/>
      <c r="H632" s="64"/>
      <c r="I632" s="69"/>
      <c r="J632" s="64"/>
      <c r="K632" s="62"/>
      <c r="L632" s="62"/>
      <c r="M632" s="62"/>
      <c r="N632" s="62"/>
      <c r="O632" s="62"/>
      <c r="P632" s="62"/>
      <c r="Q632" s="62"/>
      <c r="R632" s="62"/>
      <c r="S632" s="62"/>
    </row>
    <row r="633">
      <c r="A633" s="68"/>
      <c r="B633" s="68"/>
      <c r="C633" s="62"/>
      <c r="D633" s="62"/>
      <c r="E633" s="62"/>
      <c r="F633" s="62"/>
      <c r="G633" s="63"/>
      <c r="H633" s="64"/>
      <c r="I633" s="69"/>
      <c r="J633" s="64"/>
      <c r="K633" s="62"/>
      <c r="L633" s="62"/>
      <c r="M633" s="62"/>
      <c r="N633" s="62"/>
      <c r="O633" s="62"/>
      <c r="P633" s="62"/>
      <c r="Q633" s="62"/>
      <c r="R633" s="62"/>
      <c r="S633" s="62"/>
    </row>
    <row r="634">
      <c r="A634" s="68"/>
      <c r="B634" s="68"/>
      <c r="C634" s="62"/>
      <c r="D634" s="62"/>
      <c r="E634" s="62"/>
      <c r="F634" s="62"/>
      <c r="G634" s="63"/>
      <c r="H634" s="64"/>
      <c r="I634" s="69"/>
      <c r="J634" s="64"/>
      <c r="K634" s="62"/>
      <c r="L634" s="62"/>
      <c r="M634" s="62"/>
      <c r="N634" s="62"/>
      <c r="O634" s="62"/>
      <c r="P634" s="62"/>
      <c r="Q634" s="62"/>
      <c r="R634" s="62"/>
      <c r="S634" s="62"/>
    </row>
    <row r="635">
      <c r="A635" s="68"/>
      <c r="B635" s="68"/>
      <c r="C635" s="62"/>
      <c r="D635" s="62"/>
      <c r="E635" s="62"/>
      <c r="F635" s="62"/>
      <c r="G635" s="63"/>
      <c r="H635" s="64"/>
      <c r="I635" s="69"/>
      <c r="J635" s="64"/>
      <c r="K635" s="62"/>
      <c r="L635" s="62"/>
      <c r="M635" s="62"/>
      <c r="N635" s="62"/>
      <c r="O635" s="62"/>
      <c r="P635" s="62"/>
      <c r="Q635" s="62"/>
      <c r="R635" s="62"/>
      <c r="S635" s="62"/>
    </row>
    <row r="636">
      <c r="A636" s="68"/>
      <c r="B636" s="68"/>
      <c r="C636" s="62"/>
      <c r="D636" s="62"/>
      <c r="E636" s="62"/>
      <c r="F636" s="62"/>
      <c r="G636" s="63"/>
      <c r="H636" s="64"/>
      <c r="I636" s="69"/>
      <c r="J636" s="64"/>
      <c r="K636" s="62"/>
      <c r="L636" s="62"/>
      <c r="M636" s="62"/>
      <c r="N636" s="62"/>
      <c r="O636" s="62"/>
      <c r="P636" s="62"/>
      <c r="Q636" s="62"/>
      <c r="R636" s="62"/>
      <c r="S636" s="62"/>
    </row>
    <row r="637">
      <c r="A637" s="68"/>
      <c r="B637" s="68"/>
      <c r="C637" s="62"/>
      <c r="D637" s="62"/>
      <c r="E637" s="62"/>
      <c r="F637" s="62"/>
      <c r="G637" s="63"/>
      <c r="H637" s="64"/>
      <c r="I637" s="69"/>
      <c r="J637" s="64"/>
      <c r="K637" s="62"/>
      <c r="L637" s="62"/>
      <c r="M637" s="62"/>
      <c r="N637" s="62"/>
      <c r="O637" s="62"/>
      <c r="P637" s="62"/>
      <c r="Q637" s="62"/>
      <c r="R637" s="62"/>
      <c r="S637" s="62"/>
    </row>
    <row r="638">
      <c r="A638" s="68"/>
      <c r="B638" s="68"/>
      <c r="C638" s="62"/>
      <c r="D638" s="62"/>
      <c r="E638" s="62"/>
      <c r="F638" s="62"/>
      <c r="G638" s="63"/>
      <c r="H638" s="64"/>
      <c r="I638" s="69"/>
      <c r="J638" s="64"/>
      <c r="K638" s="62"/>
      <c r="L638" s="62"/>
      <c r="M638" s="62"/>
      <c r="N638" s="62"/>
      <c r="O638" s="62"/>
      <c r="P638" s="62"/>
      <c r="Q638" s="62"/>
      <c r="R638" s="62"/>
      <c r="S638" s="62"/>
    </row>
    <row r="639">
      <c r="A639" s="68"/>
      <c r="B639" s="68"/>
      <c r="C639" s="62"/>
      <c r="D639" s="62"/>
      <c r="E639" s="62"/>
      <c r="F639" s="62"/>
      <c r="G639" s="63"/>
      <c r="H639" s="64"/>
      <c r="I639" s="69"/>
      <c r="J639" s="64"/>
      <c r="K639" s="62"/>
      <c r="L639" s="62"/>
      <c r="M639" s="62"/>
      <c r="N639" s="62"/>
      <c r="O639" s="62"/>
      <c r="P639" s="62"/>
      <c r="Q639" s="62"/>
      <c r="R639" s="62"/>
      <c r="S639" s="62"/>
    </row>
    <row r="640">
      <c r="A640" s="68"/>
      <c r="B640" s="68"/>
      <c r="C640" s="62"/>
      <c r="D640" s="62"/>
      <c r="E640" s="62"/>
      <c r="F640" s="62"/>
      <c r="G640" s="63"/>
      <c r="H640" s="64"/>
      <c r="I640" s="69"/>
      <c r="J640" s="64"/>
      <c r="K640" s="62"/>
      <c r="L640" s="62"/>
      <c r="M640" s="62"/>
      <c r="N640" s="62"/>
      <c r="O640" s="62"/>
      <c r="P640" s="62"/>
      <c r="Q640" s="62"/>
      <c r="R640" s="62"/>
      <c r="S640" s="62"/>
    </row>
    <row r="641">
      <c r="A641" s="68"/>
      <c r="B641" s="68"/>
      <c r="C641" s="62"/>
      <c r="D641" s="62"/>
      <c r="E641" s="62"/>
      <c r="F641" s="62"/>
      <c r="G641" s="63"/>
      <c r="H641" s="64"/>
      <c r="I641" s="69"/>
      <c r="J641" s="64"/>
      <c r="K641" s="62"/>
      <c r="L641" s="62"/>
      <c r="M641" s="62"/>
      <c r="N641" s="62"/>
      <c r="O641" s="62"/>
      <c r="P641" s="62"/>
      <c r="Q641" s="62"/>
      <c r="R641" s="62"/>
      <c r="S641" s="62"/>
    </row>
    <row r="642">
      <c r="A642" s="68"/>
      <c r="B642" s="68"/>
      <c r="C642" s="62"/>
      <c r="D642" s="62"/>
      <c r="E642" s="62"/>
      <c r="F642" s="62"/>
      <c r="G642" s="63"/>
      <c r="H642" s="64"/>
      <c r="I642" s="69"/>
      <c r="J642" s="64"/>
      <c r="K642" s="62"/>
      <c r="L642" s="62"/>
      <c r="M642" s="62"/>
      <c r="N642" s="62"/>
      <c r="O642" s="62"/>
      <c r="P642" s="62"/>
      <c r="Q642" s="62"/>
      <c r="R642" s="62"/>
      <c r="S642" s="62"/>
    </row>
    <row r="643">
      <c r="A643" s="68"/>
      <c r="B643" s="68"/>
      <c r="C643" s="62"/>
      <c r="D643" s="62"/>
      <c r="E643" s="62"/>
      <c r="F643" s="62"/>
      <c r="G643" s="63"/>
      <c r="H643" s="64"/>
      <c r="I643" s="69"/>
      <c r="J643" s="64"/>
      <c r="K643" s="62"/>
      <c r="L643" s="62"/>
      <c r="M643" s="62"/>
      <c r="N643" s="62"/>
      <c r="O643" s="62"/>
      <c r="P643" s="62"/>
      <c r="Q643" s="62"/>
      <c r="R643" s="62"/>
      <c r="S643" s="62"/>
    </row>
    <row r="644">
      <c r="A644" s="68"/>
      <c r="B644" s="68"/>
      <c r="C644" s="62"/>
      <c r="D644" s="62"/>
      <c r="E644" s="62"/>
      <c r="F644" s="62"/>
      <c r="G644" s="63"/>
      <c r="H644" s="64"/>
      <c r="I644" s="69"/>
      <c r="J644" s="64"/>
      <c r="K644" s="62"/>
      <c r="L644" s="62"/>
      <c r="M644" s="62"/>
      <c r="N644" s="62"/>
      <c r="O644" s="62"/>
      <c r="P644" s="62"/>
      <c r="Q644" s="62"/>
      <c r="R644" s="62"/>
      <c r="S644" s="62"/>
    </row>
    <row r="645">
      <c r="A645" s="68"/>
      <c r="B645" s="68"/>
      <c r="C645" s="62"/>
      <c r="D645" s="62"/>
      <c r="E645" s="62"/>
      <c r="F645" s="62"/>
      <c r="G645" s="63"/>
      <c r="H645" s="64"/>
      <c r="I645" s="69"/>
      <c r="J645" s="64"/>
      <c r="K645" s="62"/>
      <c r="L645" s="62"/>
      <c r="M645" s="62"/>
      <c r="N645" s="62"/>
      <c r="O645" s="62"/>
      <c r="P645" s="62"/>
      <c r="Q645" s="62"/>
      <c r="R645" s="62"/>
      <c r="S645" s="62"/>
    </row>
    <row r="646">
      <c r="A646" s="68"/>
      <c r="B646" s="68"/>
      <c r="C646" s="62"/>
      <c r="D646" s="62"/>
      <c r="E646" s="62"/>
      <c r="F646" s="62"/>
      <c r="G646" s="63"/>
      <c r="H646" s="64"/>
      <c r="I646" s="69"/>
      <c r="J646" s="64"/>
      <c r="K646" s="62"/>
      <c r="L646" s="62"/>
      <c r="M646" s="62"/>
      <c r="N646" s="62"/>
      <c r="O646" s="62"/>
      <c r="P646" s="62"/>
      <c r="Q646" s="62"/>
      <c r="R646" s="62"/>
      <c r="S646" s="62"/>
    </row>
    <row r="647">
      <c r="A647" s="68"/>
      <c r="B647" s="68"/>
      <c r="C647" s="62"/>
      <c r="D647" s="62"/>
      <c r="E647" s="62"/>
      <c r="F647" s="62"/>
      <c r="G647" s="63"/>
      <c r="H647" s="64"/>
      <c r="I647" s="69"/>
      <c r="J647" s="64"/>
      <c r="K647" s="62"/>
      <c r="L647" s="62"/>
      <c r="M647" s="62"/>
      <c r="N647" s="62"/>
      <c r="O647" s="62"/>
      <c r="P647" s="62"/>
      <c r="Q647" s="62"/>
      <c r="R647" s="62"/>
      <c r="S647" s="62"/>
    </row>
    <row r="648">
      <c r="A648" s="68"/>
      <c r="B648" s="68"/>
      <c r="C648" s="62"/>
      <c r="D648" s="62"/>
      <c r="E648" s="62"/>
      <c r="F648" s="62"/>
      <c r="G648" s="63"/>
      <c r="H648" s="64"/>
      <c r="I648" s="69"/>
      <c r="J648" s="64"/>
      <c r="K648" s="62"/>
      <c r="L648" s="62"/>
      <c r="M648" s="62"/>
      <c r="N648" s="62"/>
      <c r="O648" s="62"/>
      <c r="P648" s="62"/>
      <c r="Q648" s="62"/>
      <c r="R648" s="62"/>
      <c r="S648" s="62"/>
    </row>
    <row r="649">
      <c r="A649" s="68"/>
      <c r="B649" s="68"/>
      <c r="C649" s="62"/>
      <c r="D649" s="62"/>
      <c r="E649" s="62"/>
      <c r="F649" s="62"/>
      <c r="G649" s="63"/>
      <c r="H649" s="64"/>
      <c r="I649" s="69"/>
      <c r="J649" s="64"/>
      <c r="K649" s="62"/>
      <c r="L649" s="62"/>
      <c r="M649" s="62"/>
      <c r="N649" s="62"/>
      <c r="O649" s="62"/>
      <c r="P649" s="62"/>
      <c r="Q649" s="62"/>
      <c r="R649" s="62"/>
      <c r="S649" s="62"/>
    </row>
    <row r="650">
      <c r="A650" s="68"/>
      <c r="B650" s="68"/>
      <c r="C650" s="62"/>
      <c r="D650" s="62"/>
      <c r="E650" s="62"/>
      <c r="F650" s="62"/>
      <c r="G650" s="63"/>
      <c r="H650" s="64"/>
      <c r="I650" s="69"/>
      <c r="J650" s="64"/>
      <c r="K650" s="62"/>
      <c r="L650" s="62"/>
      <c r="M650" s="62"/>
      <c r="N650" s="62"/>
      <c r="O650" s="62"/>
      <c r="P650" s="62"/>
      <c r="Q650" s="62"/>
      <c r="R650" s="62"/>
      <c r="S650" s="62"/>
    </row>
    <row r="651">
      <c r="A651" s="68"/>
      <c r="B651" s="68"/>
      <c r="C651" s="62"/>
      <c r="D651" s="62"/>
      <c r="E651" s="62"/>
      <c r="F651" s="62"/>
      <c r="G651" s="63"/>
      <c r="H651" s="64"/>
      <c r="I651" s="69"/>
      <c r="J651" s="64"/>
      <c r="K651" s="62"/>
      <c r="L651" s="62"/>
      <c r="M651" s="62"/>
      <c r="N651" s="62"/>
      <c r="O651" s="62"/>
      <c r="P651" s="62"/>
      <c r="Q651" s="62"/>
      <c r="R651" s="62"/>
      <c r="S651" s="62"/>
    </row>
    <row r="652">
      <c r="A652" s="68"/>
      <c r="B652" s="68"/>
      <c r="C652" s="62"/>
      <c r="D652" s="62"/>
      <c r="E652" s="62"/>
      <c r="F652" s="62"/>
      <c r="G652" s="63"/>
      <c r="H652" s="64"/>
      <c r="I652" s="69"/>
      <c r="J652" s="64"/>
      <c r="K652" s="62"/>
      <c r="L652" s="62"/>
      <c r="M652" s="62"/>
      <c r="N652" s="62"/>
      <c r="O652" s="62"/>
      <c r="P652" s="62"/>
      <c r="Q652" s="62"/>
      <c r="R652" s="62"/>
      <c r="S652" s="62"/>
    </row>
    <row r="653">
      <c r="A653" s="68"/>
      <c r="B653" s="68"/>
      <c r="C653" s="62"/>
      <c r="D653" s="62"/>
      <c r="E653" s="62"/>
      <c r="F653" s="62"/>
      <c r="G653" s="63"/>
      <c r="H653" s="64"/>
      <c r="I653" s="69"/>
      <c r="J653" s="64"/>
      <c r="K653" s="62"/>
      <c r="L653" s="62"/>
      <c r="M653" s="62"/>
      <c r="N653" s="62"/>
      <c r="O653" s="62"/>
      <c r="P653" s="62"/>
      <c r="Q653" s="62"/>
      <c r="R653" s="62"/>
      <c r="S653" s="62"/>
    </row>
    <row r="654">
      <c r="A654" s="68"/>
      <c r="B654" s="68"/>
      <c r="C654" s="62"/>
      <c r="D654" s="62"/>
      <c r="E654" s="62"/>
      <c r="F654" s="62"/>
      <c r="G654" s="63"/>
      <c r="H654" s="64"/>
      <c r="I654" s="69"/>
      <c r="J654" s="64"/>
      <c r="K654" s="62"/>
      <c r="L654" s="62"/>
      <c r="M654" s="62"/>
      <c r="N654" s="62"/>
      <c r="O654" s="62"/>
      <c r="P654" s="62"/>
      <c r="Q654" s="62"/>
      <c r="R654" s="62"/>
      <c r="S654" s="62"/>
    </row>
    <row r="655">
      <c r="A655" s="68"/>
      <c r="B655" s="68"/>
      <c r="C655" s="62"/>
      <c r="D655" s="62"/>
      <c r="E655" s="62"/>
      <c r="F655" s="62"/>
      <c r="G655" s="63"/>
      <c r="H655" s="64"/>
      <c r="I655" s="69"/>
      <c r="J655" s="64"/>
      <c r="K655" s="62"/>
      <c r="L655" s="62"/>
      <c r="M655" s="62"/>
      <c r="N655" s="62"/>
      <c r="O655" s="62"/>
      <c r="P655" s="62"/>
      <c r="Q655" s="62"/>
      <c r="R655" s="62"/>
      <c r="S655" s="62"/>
    </row>
    <row r="656">
      <c r="A656" s="68"/>
      <c r="B656" s="68"/>
      <c r="C656" s="62"/>
      <c r="D656" s="62"/>
      <c r="E656" s="62"/>
      <c r="F656" s="62"/>
      <c r="G656" s="63"/>
      <c r="H656" s="64"/>
      <c r="I656" s="69"/>
      <c r="J656" s="64"/>
      <c r="K656" s="62"/>
      <c r="L656" s="62"/>
      <c r="M656" s="62"/>
      <c r="N656" s="62"/>
      <c r="O656" s="62"/>
      <c r="P656" s="62"/>
      <c r="Q656" s="62"/>
      <c r="R656" s="62"/>
      <c r="S656" s="62"/>
    </row>
    <row r="657">
      <c r="A657" s="68"/>
      <c r="B657" s="68"/>
      <c r="C657" s="62"/>
      <c r="D657" s="62"/>
      <c r="E657" s="62"/>
      <c r="F657" s="62"/>
      <c r="G657" s="63"/>
      <c r="H657" s="64"/>
      <c r="I657" s="69"/>
      <c r="J657" s="64"/>
      <c r="K657" s="62"/>
      <c r="L657" s="62"/>
      <c r="M657" s="62"/>
      <c r="N657" s="62"/>
      <c r="O657" s="62"/>
      <c r="P657" s="62"/>
      <c r="Q657" s="62"/>
      <c r="R657" s="62"/>
      <c r="S657" s="62"/>
    </row>
    <row r="658">
      <c r="A658" s="68"/>
      <c r="B658" s="68"/>
      <c r="C658" s="62"/>
      <c r="D658" s="62"/>
      <c r="E658" s="62"/>
      <c r="F658" s="62"/>
      <c r="G658" s="63"/>
      <c r="H658" s="64"/>
      <c r="I658" s="69"/>
      <c r="J658" s="64"/>
      <c r="K658" s="62"/>
      <c r="L658" s="62"/>
      <c r="M658" s="62"/>
      <c r="N658" s="62"/>
      <c r="O658" s="62"/>
      <c r="P658" s="62"/>
      <c r="Q658" s="62"/>
      <c r="R658" s="62"/>
      <c r="S658" s="62"/>
    </row>
    <row r="659">
      <c r="A659" s="68"/>
      <c r="B659" s="68"/>
      <c r="C659" s="62"/>
      <c r="D659" s="62"/>
      <c r="E659" s="62"/>
      <c r="F659" s="62"/>
      <c r="G659" s="63"/>
      <c r="H659" s="64"/>
      <c r="I659" s="69"/>
      <c r="J659" s="64"/>
      <c r="K659" s="62"/>
      <c r="L659" s="62"/>
      <c r="M659" s="62"/>
      <c r="N659" s="62"/>
      <c r="O659" s="62"/>
      <c r="P659" s="62"/>
      <c r="Q659" s="62"/>
      <c r="R659" s="62"/>
      <c r="S659" s="62"/>
    </row>
    <row r="660">
      <c r="A660" s="68"/>
      <c r="B660" s="68"/>
      <c r="C660" s="62"/>
      <c r="D660" s="62"/>
      <c r="E660" s="62"/>
      <c r="F660" s="62"/>
      <c r="G660" s="63"/>
      <c r="H660" s="64"/>
      <c r="I660" s="69"/>
      <c r="J660" s="64"/>
      <c r="K660" s="62"/>
      <c r="L660" s="62"/>
      <c r="M660" s="62"/>
      <c r="N660" s="62"/>
      <c r="O660" s="62"/>
      <c r="P660" s="62"/>
      <c r="Q660" s="62"/>
      <c r="R660" s="62"/>
      <c r="S660" s="62"/>
    </row>
    <row r="661">
      <c r="A661" s="68"/>
      <c r="B661" s="68"/>
      <c r="C661" s="62"/>
      <c r="D661" s="62"/>
      <c r="E661" s="62"/>
      <c r="F661" s="62"/>
      <c r="G661" s="63"/>
      <c r="H661" s="64"/>
      <c r="I661" s="69"/>
      <c r="J661" s="64"/>
      <c r="K661" s="62"/>
      <c r="L661" s="62"/>
      <c r="M661" s="62"/>
      <c r="N661" s="62"/>
      <c r="O661" s="62"/>
      <c r="P661" s="62"/>
      <c r="Q661" s="62"/>
      <c r="R661" s="62"/>
      <c r="S661" s="62"/>
    </row>
    <row r="662">
      <c r="A662" s="68"/>
      <c r="B662" s="68"/>
      <c r="C662" s="62"/>
      <c r="D662" s="62"/>
      <c r="E662" s="62"/>
      <c r="F662" s="62"/>
      <c r="G662" s="63"/>
      <c r="H662" s="64"/>
      <c r="I662" s="69"/>
      <c r="J662" s="64"/>
      <c r="K662" s="62"/>
      <c r="L662" s="62"/>
      <c r="M662" s="62"/>
      <c r="N662" s="62"/>
      <c r="O662" s="62"/>
      <c r="P662" s="62"/>
      <c r="Q662" s="62"/>
      <c r="R662" s="62"/>
      <c r="S662" s="62"/>
    </row>
    <row r="663">
      <c r="A663" s="68"/>
      <c r="B663" s="68"/>
      <c r="C663" s="62"/>
      <c r="D663" s="62"/>
      <c r="E663" s="62"/>
      <c r="F663" s="62"/>
      <c r="G663" s="63"/>
      <c r="H663" s="64"/>
      <c r="I663" s="69"/>
      <c r="J663" s="64"/>
      <c r="K663" s="62"/>
      <c r="L663" s="62"/>
      <c r="M663" s="62"/>
      <c r="N663" s="62"/>
      <c r="O663" s="62"/>
      <c r="P663" s="62"/>
      <c r="Q663" s="62"/>
      <c r="R663" s="62"/>
      <c r="S663" s="62"/>
    </row>
    <row r="664">
      <c r="A664" s="68"/>
      <c r="B664" s="68"/>
      <c r="C664" s="62"/>
      <c r="D664" s="62"/>
      <c r="E664" s="62"/>
      <c r="F664" s="62"/>
      <c r="G664" s="63"/>
      <c r="H664" s="64"/>
      <c r="I664" s="69"/>
      <c r="J664" s="64"/>
      <c r="K664" s="62"/>
      <c r="L664" s="62"/>
      <c r="M664" s="62"/>
      <c r="N664" s="62"/>
      <c r="O664" s="62"/>
      <c r="P664" s="62"/>
      <c r="Q664" s="62"/>
      <c r="R664" s="62"/>
      <c r="S664" s="62"/>
    </row>
    <row r="665">
      <c r="A665" s="68"/>
      <c r="B665" s="68"/>
      <c r="C665" s="62"/>
      <c r="D665" s="62"/>
      <c r="E665" s="62"/>
      <c r="F665" s="62"/>
      <c r="G665" s="63"/>
      <c r="H665" s="64"/>
      <c r="I665" s="69"/>
      <c r="J665" s="64"/>
      <c r="K665" s="62"/>
      <c r="L665" s="62"/>
      <c r="M665" s="62"/>
      <c r="N665" s="62"/>
      <c r="O665" s="62"/>
      <c r="P665" s="62"/>
      <c r="Q665" s="62"/>
      <c r="R665" s="62"/>
      <c r="S665" s="62"/>
    </row>
    <row r="666">
      <c r="A666" s="68"/>
      <c r="B666" s="68"/>
      <c r="C666" s="62"/>
      <c r="D666" s="62"/>
      <c r="E666" s="62"/>
      <c r="F666" s="62"/>
      <c r="G666" s="63"/>
      <c r="H666" s="64"/>
      <c r="I666" s="69"/>
      <c r="J666" s="64"/>
      <c r="K666" s="62"/>
      <c r="L666" s="62"/>
      <c r="M666" s="62"/>
      <c r="N666" s="62"/>
      <c r="O666" s="62"/>
      <c r="P666" s="62"/>
      <c r="Q666" s="62"/>
      <c r="R666" s="62"/>
      <c r="S666" s="62"/>
    </row>
    <row r="667">
      <c r="A667" s="68"/>
      <c r="B667" s="68"/>
      <c r="C667" s="62"/>
      <c r="D667" s="62"/>
      <c r="E667" s="62"/>
      <c r="F667" s="62"/>
      <c r="G667" s="63"/>
      <c r="H667" s="64"/>
      <c r="I667" s="69"/>
      <c r="J667" s="64"/>
      <c r="K667" s="62"/>
      <c r="L667" s="62"/>
      <c r="M667" s="62"/>
      <c r="N667" s="62"/>
      <c r="O667" s="62"/>
      <c r="P667" s="62"/>
      <c r="Q667" s="62"/>
      <c r="R667" s="62"/>
      <c r="S667" s="62"/>
    </row>
    <row r="668">
      <c r="A668" s="68"/>
      <c r="B668" s="68"/>
      <c r="C668" s="62"/>
      <c r="D668" s="62"/>
      <c r="E668" s="62"/>
      <c r="F668" s="62"/>
      <c r="G668" s="63"/>
      <c r="H668" s="64"/>
      <c r="I668" s="69"/>
      <c r="J668" s="64"/>
      <c r="K668" s="62"/>
      <c r="L668" s="62"/>
      <c r="M668" s="62"/>
      <c r="N668" s="62"/>
      <c r="O668" s="62"/>
      <c r="P668" s="62"/>
      <c r="Q668" s="62"/>
      <c r="R668" s="62"/>
      <c r="S668" s="62"/>
    </row>
    <row r="669">
      <c r="A669" s="68"/>
      <c r="B669" s="68"/>
      <c r="C669" s="62"/>
      <c r="D669" s="62"/>
      <c r="E669" s="62"/>
      <c r="F669" s="62"/>
      <c r="G669" s="63"/>
      <c r="H669" s="64"/>
      <c r="I669" s="69"/>
      <c r="J669" s="64"/>
      <c r="K669" s="62"/>
      <c r="L669" s="62"/>
      <c r="M669" s="62"/>
      <c r="N669" s="62"/>
      <c r="O669" s="62"/>
      <c r="P669" s="62"/>
      <c r="Q669" s="62"/>
      <c r="R669" s="62"/>
      <c r="S669" s="62"/>
    </row>
    <row r="670">
      <c r="A670" s="68"/>
      <c r="B670" s="68"/>
      <c r="C670" s="62"/>
      <c r="D670" s="62"/>
      <c r="E670" s="62"/>
      <c r="F670" s="62"/>
      <c r="G670" s="63"/>
      <c r="H670" s="64"/>
      <c r="I670" s="69"/>
      <c r="J670" s="64"/>
      <c r="K670" s="62"/>
      <c r="L670" s="62"/>
      <c r="M670" s="62"/>
      <c r="N670" s="62"/>
      <c r="O670" s="62"/>
      <c r="P670" s="62"/>
      <c r="Q670" s="62"/>
      <c r="R670" s="62"/>
      <c r="S670" s="62"/>
    </row>
    <row r="671">
      <c r="A671" s="68"/>
      <c r="B671" s="68"/>
      <c r="C671" s="62"/>
      <c r="D671" s="62"/>
      <c r="E671" s="62"/>
      <c r="F671" s="62"/>
      <c r="G671" s="63"/>
      <c r="H671" s="64"/>
      <c r="I671" s="69"/>
      <c r="J671" s="64"/>
      <c r="K671" s="62"/>
      <c r="L671" s="62"/>
      <c r="M671" s="62"/>
      <c r="N671" s="62"/>
      <c r="O671" s="62"/>
      <c r="P671" s="62"/>
      <c r="Q671" s="62"/>
      <c r="R671" s="62"/>
      <c r="S671" s="62"/>
    </row>
    <row r="672">
      <c r="A672" s="68"/>
      <c r="B672" s="68"/>
      <c r="C672" s="62"/>
      <c r="D672" s="62"/>
      <c r="E672" s="62"/>
      <c r="F672" s="62"/>
      <c r="G672" s="63"/>
      <c r="H672" s="64"/>
      <c r="I672" s="69"/>
      <c r="J672" s="64"/>
      <c r="K672" s="62"/>
      <c r="L672" s="62"/>
      <c r="M672" s="62"/>
      <c r="N672" s="62"/>
      <c r="O672" s="62"/>
      <c r="P672" s="62"/>
      <c r="Q672" s="62"/>
      <c r="R672" s="62"/>
      <c r="S672" s="62"/>
    </row>
    <row r="673">
      <c r="A673" s="68"/>
      <c r="B673" s="68"/>
      <c r="C673" s="62"/>
      <c r="D673" s="62"/>
      <c r="E673" s="62"/>
      <c r="F673" s="62"/>
      <c r="G673" s="63"/>
      <c r="H673" s="64"/>
      <c r="I673" s="69"/>
      <c r="J673" s="64"/>
      <c r="K673" s="62"/>
      <c r="L673" s="62"/>
      <c r="M673" s="62"/>
      <c r="N673" s="62"/>
      <c r="O673" s="62"/>
      <c r="P673" s="62"/>
      <c r="Q673" s="62"/>
      <c r="R673" s="62"/>
      <c r="S673" s="62"/>
    </row>
    <row r="674">
      <c r="A674" s="68"/>
      <c r="B674" s="68"/>
      <c r="C674" s="62"/>
      <c r="D674" s="62"/>
      <c r="E674" s="62"/>
      <c r="F674" s="62"/>
      <c r="G674" s="63"/>
      <c r="H674" s="64"/>
      <c r="I674" s="69"/>
      <c r="J674" s="64"/>
      <c r="K674" s="62"/>
      <c r="L674" s="62"/>
      <c r="M674" s="62"/>
      <c r="N674" s="62"/>
      <c r="O674" s="62"/>
      <c r="P674" s="62"/>
      <c r="Q674" s="62"/>
      <c r="R674" s="62"/>
      <c r="S674" s="62"/>
    </row>
    <row r="675">
      <c r="A675" s="68"/>
      <c r="B675" s="68"/>
      <c r="C675" s="62"/>
      <c r="D675" s="62"/>
      <c r="E675" s="62"/>
      <c r="F675" s="62"/>
      <c r="G675" s="63"/>
      <c r="H675" s="64"/>
      <c r="I675" s="69"/>
      <c r="J675" s="64"/>
      <c r="K675" s="62"/>
      <c r="L675" s="62"/>
      <c r="M675" s="62"/>
      <c r="N675" s="62"/>
      <c r="O675" s="62"/>
      <c r="P675" s="62"/>
      <c r="Q675" s="62"/>
      <c r="R675" s="62"/>
      <c r="S675" s="62"/>
    </row>
    <row r="676">
      <c r="A676" s="68"/>
      <c r="B676" s="68"/>
      <c r="C676" s="62"/>
      <c r="D676" s="62"/>
      <c r="E676" s="62"/>
      <c r="F676" s="62"/>
      <c r="G676" s="63"/>
      <c r="H676" s="64"/>
      <c r="I676" s="69"/>
      <c r="J676" s="64"/>
      <c r="K676" s="62"/>
      <c r="L676" s="62"/>
      <c r="M676" s="62"/>
      <c r="N676" s="62"/>
      <c r="O676" s="62"/>
      <c r="P676" s="62"/>
      <c r="Q676" s="62"/>
      <c r="R676" s="62"/>
      <c r="S676" s="62"/>
    </row>
    <row r="677">
      <c r="A677" s="68"/>
      <c r="B677" s="68"/>
      <c r="C677" s="62"/>
      <c r="D677" s="62"/>
      <c r="E677" s="62"/>
      <c r="F677" s="62"/>
      <c r="G677" s="63"/>
      <c r="H677" s="64"/>
      <c r="I677" s="69"/>
      <c r="J677" s="64"/>
      <c r="K677" s="62"/>
      <c r="L677" s="62"/>
      <c r="M677" s="62"/>
      <c r="N677" s="62"/>
      <c r="O677" s="62"/>
      <c r="P677" s="62"/>
      <c r="Q677" s="62"/>
      <c r="R677" s="62"/>
      <c r="S677" s="62"/>
    </row>
    <row r="678">
      <c r="A678" s="68"/>
      <c r="B678" s="68"/>
      <c r="C678" s="62"/>
      <c r="D678" s="62"/>
      <c r="E678" s="62"/>
      <c r="F678" s="62"/>
      <c r="G678" s="63"/>
      <c r="H678" s="64"/>
      <c r="I678" s="69"/>
      <c r="J678" s="64"/>
      <c r="K678" s="62"/>
      <c r="L678" s="62"/>
      <c r="M678" s="62"/>
      <c r="N678" s="62"/>
      <c r="O678" s="62"/>
      <c r="P678" s="62"/>
      <c r="Q678" s="62"/>
      <c r="R678" s="62"/>
      <c r="S678" s="62"/>
    </row>
    <row r="679">
      <c r="A679" s="68"/>
      <c r="B679" s="68"/>
      <c r="C679" s="62"/>
      <c r="D679" s="62"/>
      <c r="E679" s="62"/>
      <c r="F679" s="62"/>
      <c r="G679" s="63"/>
      <c r="H679" s="64"/>
      <c r="I679" s="69"/>
      <c r="J679" s="64"/>
      <c r="K679" s="62"/>
      <c r="L679" s="62"/>
      <c r="M679" s="62"/>
      <c r="N679" s="62"/>
      <c r="O679" s="62"/>
      <c r="P679" s="62"/>
      <c r="Q679" s="62"/>
      <c r="R679" s="62"/>
      <c r="S679" s="62"/>
    </row>
    <row r="680">
      <c r="A680" s="68"/>
      <c r="B680" s="68"/>
      <c r="C680" s="62"/>
      <c r="D680" s="62"/>
      <c r="E680" s="62"/>
      <c r="F680" s="62"/>
      <c r="G680" s="63"/>
      <c r="H680" s="64"/>
      <c r="I680" s="69"/>
      <c r="J680" s="64"/>
      <c r="K680" s="62"/>
      <c r="L680" s="62"/>
      <c r="M680" s="62"/>
      <c r="N680" s="62"/>
      <c r="O680" s="62"/>
      <c r="P680" s="62"/>
      <c r="Q680" s="62"/>
      <c r="R680" s="62"/>
      <c r="S680" s="62"/>
    </row>
    <row r="681">
      <c r="A681" s="68"/>
      <c r="B681" s="68"/>
      <c r="C681" s="62"/>
      <c r="D681" s="62"/>
      <c r="E681" s="62"/>
      <c r="F681" s="62"/>
      <c r="G681" s="63"/>
      <c r="H681" s="64"/>
      <c r="I681" s="69"/>
      <c r="J681" s="64"/>
      <c r="K681" s="62"/>
      <c r="L681" s="62"/>
      <c r="M681" s="62"/>
      <c r="N681" s="62"/>
      <c r="O681" s="62"/>
      <c r="P681" s="62"/>
      <c r="Q681" s="62"/>
      <c r="R681" s="62"/>
      <c r="S681" s="62"/>
    </row>
    <row r="682">
      <c r="A682" s="68"/>
      <c r="B682" s="68"/>
      <c r="C682" s="62"/>
      <c r="D682" s="62"/>
      <c r="E682" s="62"/>
      <c r="F682" s="62"/>
      <c r="G682" s="63"/>
      <c r="H682" s="64"/>
      <c r="I682" s="69"/>
      <c r="J682" s="64"/>
      <c r="K682" s="62"/>
      <c r="L682" s="62"/>
      <c r="M682" s="62"/>
      <c r="N682" s="62"/>
      <c r="O682" s="62"/>
      <c r="P682" s="62"/>
      <c r="Q682" s="62"/>
      <c r="R682" s="62"/>
      <c r="S682" s="62"/>
    </row>
    <row r="683">
      <c r="A683" s="68"/>
      <c r="B683" s="68"/>
      <c r="C683" s="62"/>
      <c r="D683" s="62"/>
      <c r="E683" s="62"/>
      <c r="F683" s="62"/>
      <c r="G683" s="63"/>
      <c r="H683" s="64"/>
      <c r="I683" s="69"/>
      <c r="J683" s="64"/>
      <c r="K683" s="62"/>
      <c r="L683" s="62"/>
      <c r="M683" s="62"/>
      <c r="N683" s="62"/>
      <c r="O683" s="62"/>
      <c r="P683" s="62"/>
      <c r="Q683" s="62"/>
      <c r="R683" s="62"/>
      <c r="S683" s="62"/>
    </row>
    <row r="684">
      <c r="A684" s="68"/>
      <c r="B684" s="68"/>
      <c r="C684" s="62"/>
      <c r="D684" s="62"/>
      <c r="E684" s="62"/>
      <c r="F684" s="62"/>
      <c r="G684" s="63"/>
      <c r="H684" s="64"/>
      <c r="I684" s="69"/>
      <c r="J684" s="64"/>
      <c r="K684" s="62"/>
      <c r="L684" s="62"/>
      <c r="M684" s="62"/>
      <c r="N684" s="62"/>
      <c r="O684" s="62"/>
      <c r="P684" s="62"/>
      <c r="Q684" s="62"/>
      <c r="R684" s="62"/>
      <c r="S684" s="62"/>
    </row>
    <row r="685">
      <c r="A685" s="68"/>
      <c r="B685" s="68"/>
      <c r="C685" s="62"/>
      <c r="D685" s="62"/>
      <c r="E685" s="62"/>
      <c r="F685" s="62"/>
      <c r="G685" s="63"/>
      <c r="H685" s="64"/>
      <c r="I685" s="69"/>
      <c r="J685" s="64"/>
      <c r="K685" s="62"/>
      <c r="L685" s="62"/>
      <c r="M685" s="62"/>
      <c r="N685" s="62"/>
      <c r="O685" s="62"/>
      <c r="P685" s="62"/>
      <c r="Q685" s="62"/>
      <c r="R685" s="62"/>
      <c r="S685" s="62"/>
    </row>
    <row r="686">
      <c r="A686" s="68"/>
      <c r="B686" s="68"/>
      <c r="C686" s="62"/>
      <c r="D686" s="62"/>
      <c r="E686" s="62"/>
      <c r="F686" s="62"/>
      <c r="G686" s="63"/>
      <c r="H686" s="64"/>
      <c r="I686" s="69"/>
      <c r="J686" s="64"/>
      <c r="K686" s="62"/>
      <c r="L686" s="62"/>
      <c r="M686" s="62"/>
      <c r="N686" s="62"/>
      <c r="O686" s="62"/>
      <c r="P686" s="62"/>
      <c r="Q686" s="62"/>
      <c r="R686" s="62"/>
      <c r="S686" s="62"/>
    </row>
    <row r="687">
      <c r="A687" s="68"/>
      <c r="B687" s="68"/>
      <c r="C687" s="62"/>
      <c r="D687" s="62"/>
      <c r="E687" s="62"/>
      <c r="F687" s="62"/>
      <c r="G687" s="63"/>
      <c r="H687" s="64"/>
      <c r="I687" s="69"/>
      <c r="J687" s="64"/>
      <c r="K687" s="62"/>
      <c r="L687" s="62"/>
      <c r="M687" s="62"/>
      <c r="N687" s="62"/>
      <c r="O687" s="62"/>
      <c r="P687" s="62"/>
      <c r="Q687" s="62"/>
      <c r="R687" s="62"/>
      <c r="S687" s="62"/>
    </row>
    <row r="688">
      <c r="A688" s="68"/>
      <c r="B688" s="68"/>
      <c r="C688" s="62"/>
      <c r="D688" s="62"/>
      <c r="E688" s="62"/>
      <c r="F688" s="62"/>
      <c r="G688" s="63"/>
      <c r="H688" s="64"/>
      <c r="I688" s="69"/>
      <c r="J688" s="64"/>
      <c r="K688" s="62"/>
      <c r="L688" s="62"/>
      <c r="M688" s="62"/>
      <c r="N688" s="62"/>
      <c r="O688" s="62"/>
      <c r="P688" s="62"/>
      <c r="Q688" s="62"/>
      <c r="R688" s="62"/>
      <c r="S688" s="62"/>
    </row>
    <row r="689">
      <c r="A689" s="68"/>
      <c r="B689" s="68"/>
      <c r="C689" s="62"/>
      <c r="D689" s="62"/>
      <c r="E689" s="62"/>
      <c r="F689" s="62"/>
      <c r="G689" s="63"/>
      <c r="H689" s="64"/>
      <c r="I689" s="69"/>
      <c r="J689" s="64"/>
      <c r="K689" s="62"/>
      <c r="L689" s="62"/>
      <c r="M689" s="62"/>
      <c r="N689" s="62"/>
      <c r="O689" s="62"/>
      <c r="P689" s="62"/>
      <c r="Q689" s="62"/>
      <c r="R689" s="62"/>
      <c r="S689" s="62"/>
    </row>
    <row r="690">
      <c r="A690" s="68"/>
      <c r="B690" s="68"/>
      <c r="C690" s="62"/>
      <c r="D690" s="62"/>
      <c r="E690" s="62"/>
      <c r="F690" s="62"/>
      <c r="G690" s="63"/>
      <c r="H690" s="64"/>
      <c r="I690" s="69"/>
      <c r="J690" s="64"/>
      <c r="K690" s="62"/>
      <c r="L690" s="62"/>
      <c r="M690" s="62"/>
      <c r="N690" s="62"/>
      <c r="O690" s="62"/>
      <c r="P690" s="62"/>
      <c r="Q690" s="62"/>
      <c r="R690" s="62"/>
      <c r="S690" s="62"/>
    </row>
    <row r="691">
      <c r="A691" s="68"/>
      <c r="B691" s="68"/>
      <c r="C691" s="62"/>
      <c r="D691" s="62"/>
      <c r="E691" s="62"/>
      <c r="F691" s="62"/>
      <c r="G691" s="63"/>
      <c r="H691" s="64"/>
      <c r="I691" s="69"/>
      <c r="J691" s="64"/>
      <c r="K691" s="62"/>
      <c r="L691" s="62"/>
      <c r="M691" s="62"/>
      <c r="N691" s="62"/>
      <c r="O691" s="62"/>
      <c r="P691" s="62"/>
      <c r="Q691" s="62"/>
      <c r="R691" s="62"/>
      <c r="S691" s="62"/>
    </row>
    <row r="692">
      <c r="A692" s="68"/>
      <c r="B692" s="68"/>
      <c r="C692" s="62"/>
      <c r="D692" s="62"/>
      <c r="E692" s="62"/>
      <c r="F692" s="62"/>
      <c r="G692" s="63"/>
      <c r="H692" s="64"/>
      <c r="I692" s="69"/>
      <c r="J692" s="64"/>
      <c r="K692" s="62"/>
      <c r="L692" s="62"/>
      <c r="M692" s="62"/>
      <c r="N692" s="62"/>
      <c r="O692" s="62"/>
      <c r="P692" s="62"/>
      <c r="Q692" s="62"/>
      <c r="R692" s="62"/>
      <c r="S692" s="62"/>
    </row>
    <row r="693">
      <c r="A693" s="68"/>
      <c r="B693" s="68"/>
      <c r="C693" s="62"/>
      <c r="D693" s="62"/>
      <c r="E693" s="62"/>
      <c r="F693" s="62"/>
      <c r="G693" s="63"/>
      <c r="H693" s="64"/>
      <c r="I693" s="69"/>
      <c r="J693" s="64"/>
      <c r="K693" s="62"/>
      <c r="L693" s="62"/>
      <c r="M693" s="62"/>
      <c r="N693" s="62"/>
      <c r="O693" s="62"/>
      <c r="P693" s="62"/>
      <c r="Q693" s="62"/>
      <c r="R693" s="62"/>
      <c r="S693" s="62"/>
    </row>
    <row r="694">
      <c r="A694" s="68"/>
      <c r="B694" s="68"/>
      <c r="C694" s="62"/>
      <c r="D694" s="62"/>
      <c r="E694" s="62"/>
      <c r="F694" s="62"/>
      <c r="G694" s="63"/>
      <c r="H694" s="64"/>
      <c r="I694" s="69"/>
      <c r="J694" s="64"/>
      <c r="K694" s="62"/>
      <c r="L694" s="62"/>
      <c r="M694" s="62"/>
      <c r="N694" s="62"/>
      <c r="O694" s="62"/>
      <c r="P694" s="62"/>
      <c r="Q694" s="62"/>
      <c r="R694" s="62"/>
      <c r="S694" s="62"/>
    </row>
    <row r="695">
      <c r="A695" s="68"/>
      <c r="B695" s="68"/>
      <c r="C695" s="62"/>
      <c r="D695" s="62"/>
      <c r="E695" s="62"/>
      <c r="F695" s="62"/>
      <c r="G695" s="63"/>
      <c r="H695" s="64"/>
      <c r="I695" s="69"/>
      <c r="J695" s="64"/>
      <c r="K695" s="62"/>
      <c r="L695" s="62"/>
      <c r="M695" s="62"/>
      <c r="N695" s="62"/>
      <c r="O695" s="62"/>
      <c r="P695" s="62"/>
      <c r="Q695" s="62"/>
      <c r="R695" s="62"/>
      <c r="S695" s="62"/>
    </row>
    <row r="696">
      <c r="A696" s="68"/>
      <c r="B696" s="68"/>
      <c r="C696" s="62"/>
      <c r="D696" s="62"/>
      <c r="E696" s="62"/>
      <c r="F696" s="62"/>
      <c r="G696" s="63"/>
      <c r="H696" s="64"/>
      <c r="I696" s="69"/>
      <c r="J696" s="64"/>
      <c r="K696" s="62"/>
      <c r="L696" s="62"/>
      <c r="M696" s="62"/>
      <c r="N696" s="62"/>
      <c r="O696" s="62"/>
      <c r="P696" s="62"/>
      <c r="Q696" s="62"/>
      <c r="R696" s="62"/>
      <c r="S696" s="62"/>
    </row>
    <row r="697">
      <c r="A697" s="68"/>
      <c r="B697" s="68"/>
      <c r="C697" s="62"/>
      <c r="D697" s="62"/>
      <c r="E697" s="62"/>
      <c r="F697" s="62"/>
      <c r="G697" s="63"/>
      <c r="H697" s="64"/>
      <c r="I697" s="69"/>
      <c r="J697" s="64"/>
      <c r="K697" s="62"/>
      <c r="L697" s="62"/>
      <c r="M697" s="62"/>
      <c r="N697" s="62"/>
      <c r="O697" s="62"/>
      <c r="P697" s="62"/>
      <c r="Q697" s="62"/>
      <c r="R697" s="62"/>
      <c r="S697" s="62"/>
    </row>
    <row r="698">
      <c r="A698" s="68"/>
      <c r="B698" s="68"/>
      <c r="C698" s="62"/>
      <c r="D698" s="62"/>
      <c r="E698" s="62"/>
      <c r="F698" s="62"/>
      <c r="G698" s="63"/>
      <c r="H698" s="64"/>
      <c r="I698" s="69"/>
      <c r="J698" s="64"/>
      <c r="K698" s="62"/>
      <c r="L698" s="62"/>
      <c r="M698" s="62"/>
      <c r="N698" s="62"/>
      <c r="O698" s="62"/>
      <c r="P698" s="62"/>
      <c r="Q698" s="62"/>
      <c r="R698" s="62"/>
      <c r="S698" s="62"/>
    </row>
    <row r="699">
      <c r="A699" s="68"/>
      <c r="B699" s="68"/>
      <c r="C699" s="62"/>
      <c r="D699" s="62"/>
      <c r="E699" s="62"/>
      <c r="F699" s="62"/>
      <c r="G699" s="63"/>
      <c r="H699" s="64"/>
      <c r="I699" s="69"/>
      <c r="J699" s="64"/>
      <c r="K699" s="62"/>
      <c r="L699" s="62"/>
      <c r="M699" s="62"/>
      <c r="N699" s="62"/>
      <c r="O699" s="62"/>
      <c r="P699" s="62"/>
      <c r="Q699" s="62"/>
      <c r="R699" s="62"/>
      <c r="S699" s="62"/>
    </row>
    <row r="700">
      <c r="A700" s="68"/>
      <c r="B700" s="68"/>
      <c r="C700" s="62"/>
      <c r="D700" s="62"/>
      <c r="E700" s="62"/>
      <c r="F700" s="62"/>
      <c r="G700" s="63"/>
      <c r="H700" s="64"/>
      <c r="I700" s="69"/>
      <c r="J700" s="64"/>
      <c r="K700" s="62"/>
      <c r="L700" s="62"/>
      <c r="M700" s="62"/>
      <c r="N700" s="62"/>
      <c r="O700" s="62"/>
      <c r="P700" s="62"/>
      <c r="Q700" s="62"/>
      <c r="R700" s="62"/>
      <c r="S700" s="62"/>
    </row>
    <row r="701">
      <c r="A701" s="68"/>
      <c r="B701" s="68"/>
      <c r="C701" s="62"/>
      <c r="D701" s="62"/>
      <c r="E701" s="62"/>
      <c r="F701" s="62"/>
      <c r="G701" s="63"/>
      <c r="H701" s="64"/>
      <c r="I701" s="69"/>
      <c r="J701" s="64"/>
      <c r="K701" s="62"/>
      <c r="L701" s="62"/>
      <c r="M701" s="62"/>
      <c r="N701" s="62"/>
      <c r="O701" s="62"/>
      <c r="P701" s="62"/>
      <c r="Q701" s="62"/>
      <c r="R701" s="62"/>
      <c r="S701" s="62"/>
    </row>
    <row r="702">
      <c r="A702" s="68"/>
      <c r="B702" s="68"/>
      <c r="C702" s="62"/>
      <c r="D702" s="62"/>
      <c r="E702" s="62"/>
      <c r="F702" s="62"/>
      <c r="G702" s="63"/>
      <c r="H702" s="64"/>
      <c r="I702" s="69"/>
      <c r="J702" s="64"/>
      <c r="K702" s="62"/>
      <c r="L702" s="62"/>
      <c r="M702" s="62"/>
      <c r="N702" s="62"/>
      <c r="O702" s="62"/>
      <c r="P702" s="62"/>
      <c r="Q702" s="62"/>
      <c r="R702" s="62"/>
      <c r="S702" s="62"/>
    </row>
    <row r="703">
      <c r="A703" s="68"/>
      <c r="B703" s="68"/>
      <c r="C703" s="62"/>
      <c r="D703" s="62"/>
      <c r="E703" s="62"/>
      <c r="F703" s="62"/>
      <c r="G703" s="63"/>
      <c r="H703" s="64"/>
      <c r="I703" s="69"/>
      <c r="J703" s="64"/>
      <c r="K703" s="62"/>
      <c r="L703" s="62"/>
      <c r="M703" s="62"/>
      <c r="N703" s="62"/>
      <c r="O703" s="62"/>
      <c r="P703" s="62"/>
      <c r="Q703" s="62"/>
      <c r="R703" s="62"/>
      <c r="S703" s="62"/>
    </row>
    <row r="704">
      <c r="A704" s="68"/>
      <c r="B704" s="68"/>
      <c r="C704" s="62"/>
      <c r="D704" s="62"/>
      <c r="E704" s="62"/>
      <c r="F704" s="62"/>
      <c r="G704" s="63"/>
      <c r="H704" s="64"/>
      <c r="I704" s="69"/>
      <c r="J704" s="64"/>
      <c r="K704" s="62"/>
      <c r="L704" s="62"/>
      <c r="M704" s="62"/>
      <c r="N704" s="62"/>
      <c r="O704" s="62"/>
      <c r="P704" s="62"/>
      <c r="Q704" s="62"/>
      <c r="R704" s="62"/>
      <c r="S704" s="62"/>
    </row>
    <row r="705">
      <c r="A705" s="68"/>
      <c r="B705" s="68"/>
      <c r="C705" s="62"/>
      <c r="D705" s="62"/>
      <c r="E705" s="62"/>
      <c r="F705" s="62"/>
      <c r="G705" s="63"/>
      <c r="H705" s="64"/>
      <c r="I705" s="69"/>
      <c r="J705" s="64"/>
      <c r="K705" s="62"/>
      <c r="L705" s="62"/>
      <c r="M705" s="62"/>
      <c r="N705" s="62"/>
      <c r="O705" s="62"/>
      <c r="P705" s="62"/>
      <c r="Q705" s="62"/>
      <c r="R705" s="62"/>
      <c r="S705" s="62"/>
    </row>
    <row r="706">
      <c r="A706" s="68"/>
      <c r="B706" s="68"/>
      <c r="C706" s="62"/>
      <c r="D706" s="62"/>
      <c r="E706" s="62"/>
      <c r="F706" s="62"/>
      <c r="G706" s="63"/>
      <c r="H706" s="64"/>
      <c r="I706" s="69"/>
      <c r="J706" s="64"/>
      <c r="K706" s="62"/>
      <c r="L706" s="62"/>
      <c r="M706" s="62"/>
      <c r="N706" s="62"/>
      <c r="O706" s="62"/>
      <c r="P706" s="62"/>
      <c r="Q706" s="62"/>
      <c r="R706" s="62"/>
      <c r="S706" s="62"/>
    </row>
    <row r="707">
      <c r="A707" s="68"/>
      <c r="B707" s="68"/>
      <c r="C707" s="62"/>
      <c r="D707" s="62"/>
      <c r="E707" s="62"/>
      <c r="F707" s="62"/>
      <c r="G707" s="63"/>
      <c r="H707" s="64"/>
      <c r="I707" s="69"/>
      <c r="J707" s="64"/>
      <c r="K707" s="62"/>
      <c r="L707" s="62"/>
      <c r="M707" s="62"/>
      <c r="N707" s="62"/>
      <c r="O707" s="62"/>
      <c r="P707" s="62"/>
      <c r="Q707" s="62"/>
      <c r="R707" s="62"/>
      <c r="S707" s="62"/>
    </row>
    <row r="708">
      <c r="A708" s="68"/>
      <c r="B708" s="68"/>
      <c r="C708" s="62"/>
      <c r="D708" s="62"/>
      <c r="E708" s="62"/>
      <c r="F708" s="62"/>
      <c r="G708" s="63"/>
      <c r="H708" s="64"/>
      <c r="I708" s="69"/>
      <c r="J708" s="64"/>
      <c r="K708" s="62"/>
      <c r="L708" s="62"/>
      <c r="M708" s="62"/>
      <c r="N708" s="62"/>
      <c r="O708" s="62"/>
      <c r="P708" s="62"/>
      <c r="Q708" s="62"/>
      <c r="R708" s="62"/>
      <c r="S708" s="62"/>
    </row>
    <row r="709">
      <c r="A709" s="68"/>
      <c r="B709" s="68"/>
      <c r="C709" s="62"/>
      <c r="D709" s="62"/>
      <c r="E709" s="62"/>
      <c r="F709" s="62"/>
      <c r="G709" s="63"/>
      <c r="H709" s="64"/>
      <c r="I709" s="69"/>
      <c r="J709" s="64"/>
      <c r="K709" s="62"/>
      <c r="L709" s="62"/>
      <c r="M709" s="62"/>
      <c r="N709" s="62"/>
      <c r="O709" s="62"/>
      <c r="P709" s="62"/>
      <c r="Q709" s="62"/>
      <c r="R709" s="62"/>
      <c r="S709" s="62"/>
    </row>
    <row r="710">
      <c r="A710" s="68"/>
      <c r="B710" s="68"/>
      <c r="C710" s="62"/>
      <c r="D710" s="62"/>
      <c r="E710" s="62"/>
      <c r="F710" s="62"/>
      <c r="G710" s="63"/>
      <c r="H710" s="64"/>
      <c r="I710" s="69"/>
      <c r="J710" s="64"/>
      <c r="K710" s="62"/>
      <c r="L710" s="62"/>
      <c r="M710" s="62"/>
      <c r="N710" s="62"/>
      <c r="O710" s="62"/>
      <c r="P710" s="62"/>
      <c r="Q710" s="62"/>
      <c r="R710" s="62"/>
      <c r="S710" s="62"/>
    </row>
    <row r="711">
      <c r="A711" s="68"/>
      <c r="B711" s="68"/>
      <c r="C711" s="62"/>
      <c r="D711" s="62"/>
      <c r="E711" s="62"/>
      <c r="F711" s="62"/>
      <c r="G711" s="63"/>
      <c r="H711" s="64"/>
      <c r="I711" s="69"/>
      <c r="J711" s="64"/>
      <c r="K711" s="62"/>
      <c r="L711" s="62"/>
      <c r="M711" s="62"/>
      <c r="N711" s="62"/>
      <c r="O711" s="62"/>
      <c r="P711" s="62"/>
      <c r="Q711" s="62"/>
      <c r="R711" s="62"/>
      <c r="S711" s="62"/>
    </row>
    <row r="712">
      <c r="A712" s="68"/>
      <c r="B712" s="68"/>
      <c r="C712" s="62"/>
      <c r="D712" s="62"/>
      <c r="E712" s="62"/>
      <c r="F712" s="62"/>
      <c r="G712" s="63"/>
      <c r="H712" s="64"/>
      <c r="I712" s="69"/>
      <c r="J712" s="64"/>
      <c r="K712" s="62"/>
      <c r="L712" s="62"/>
      <c r="M712" s="62"/>
      <c r="N712" s="62"/>
      <c r="O712" s="62"/>
      <c r="P712" s="62"/>
      <c r="Q712" s="62"/>
      <c r="R712" s="62"/>
      <c r="S712" s="62"/>
    </row>
    <row r="713">
      <c r="A713" s="68"/>
      <c r="B713" s="68"/>
      <c r="C713" s="62"/>
      <c r="D713" s="62"/>
      <c r="E713" s="62"/>
      <c r="F713" s="62"/>
      <c r="G713" s="63"/>
      <c r="H713" s="64"/>
      <c r="I713" s="69"/>
      <c r="J713" s="64"/>
      <c r="K713" s="62"/>
      <c r="L713" s="62"/>
      <c r="M713" s="62"/>
      <c r="N713" s="62"/>
      <c r="O713" s="62"/>
      <c r="P713" s="62"/>
      <c r="Q713" s="62"/>
      <c r="R713" s="62"/>
      <c r="S713" s="62"/>
    </row>
    <row r="714">
      <c r="A714" s="68"/>
      <c r="B714" s="68"/>
      <c r="C714" s="62"/>
      <c r="D714" s="62"/>
      <c r="E714" s="62"/>
      <c r="F714" s="62"/>
      <c r="G714" s="63"/>
      <c r="H714" s="64"/>
      <c r="I714" s="69"/>
      <c r="J714" s="64"/>
      <c r="K714" s="62"/>
      <c r="L714" s="62"/>
      <c r="M714" s="62"/>
      <c r="N714" s="62"/>
      <c r="O714" s="62"/>
      <c r="P714" s="62"/>
      <c r="Q714" s="62"/>
      <c r="R714" s="62"/>
      <c r="S714" s="62"/>
    </row>
    <row r="715">
      <c r="A715" s="68"/>
      <c r="B715" s="68"/>
      <c r="C715" s="62"/>
      <c r="D715" s="62"/>
      <c r="E715" s="62"/>
      <c r="F715" s="62"/>
      <c r="G715" s="63"/>
      <c r="H715" s="64"/>
      <c r="I715" s="69"/>
      <c r="J715" s="64"/>
      <c r="K715" s="62"/>
      <c r="L715" s="62"/>
      <c r="M715" s="62"/>
      <c r="N715" s="62"/>
      <c r="O715" s="62"/>
      <c r="P715" s="62"/>
      <c r="Q715" s="62"/>
      <c r="R715" s="62"/>
      <c r="S715" s="62"/>
    </row>
    <row r="716">
      <c r="A716" s="68"/>
      <c r="B716" s="68"/>
      <c r="C716" s="62"/>
      <c r="D716" s="62"/>
      <c r="E716" s="62"/>
      <c r="F716" s="62"/>
      <c r="G716" s="63"/>
      <c r="H716" s="64"/>
      <c r="I716" s="69"/>
      <c r="J716" s="64"/>
      <c r="K716" s="62"/>
      <c r="L716" s="62"/>
      <c r="M716" s="62"/>
      <c r="N716" s="62"/>
      <c r="O716" s="62"/>
      <c r="P716" s="62"/>
      <c r="Q716" s="62"/>
      <c r="R716" s="62"/>
      <c r="S716" s="62"/>
    </row>
    <row r="717">
      <c r="A717" s="68"/>
      <c r="B717" s="68"/>
      <c r="C717" s="62"/>
      <c r="D717" s="62"/>
      <c r="E717" s="62"/>
      <c r="F717" s="62"/>
      <c r="G717" s="63"/>
      <c r="H717" s="64"/>
      <c r="I717" s="69"/>
      <c r="J717" s="64"/>
      <c r="K717" s="62"/>
      <c r="L717" s="62"/>
      <c r="M717" s="62"/>
      <c r="N717" s="62"/>
      <c r="O717" s="62"/>
      <c r="P717" s="62"/>
      <c r="Q717" s="62"/>
      <c r="R717" s="62"/>
      <c r="S717" s="62"/>
    </row>
    <row r="718">
      <c r="A718" s="68"/>
      <c r="B718" s="68"/>
      <c r="C718" s="62"/>
      <c r="D718" s="62"/>
      <c r="E718" s="62"/>
      <c r="F718" s="62"/>
      <c r="G718" s="63"/>
      <c r="H718" s="64"/>
      <c r="I718" s="69"/>
      <c r="J718" s="64"/>
      <c r="K718" s="62"/>
      <c r="L718" s="62"/>
      <c r="M718" s="62"/>
      <c r="N718" s="62"/>
      <c r="O718" s="62"/>
      <c r="P718" s="62"/>
      <c r="Q718" s="62"/>
      <c r="R718" s="62"/>
      <c r="S718" s="62"/>
    </row>
    <row r="719">
      <c r="A719" s="68"/>
      <c r="B719" s="68"/>
      <c r="C719" s="62"/>
      <c r="D719" s="62"/>
      <c r="E719" s="62"/>
      <c r="F719" s="62"/>
      <c r="G719" s="63"/>
      <c r="H719" s="64"/>
      <c r="I719" s="69"/>
      <c r="J719" s="64"/>
      <c r="K719" s="62"/>
      <c r="L719" s="62"/>
      <c r="M719" s="62"/>
      <c r="N719" s="62"/>
      <c r="O719" s="62"/>
      <c r="P719" s="62"/>
      <c r="Q719" s="62"/>
      <c r="R719" s="62"/>
      <c r="S719" s="62"/>
    </row>
    <row r="720">
      <c r="A720" s="68"/>
      <c r="B720" s="68"/>
      <c r="C720" s="62"/>
      <c r="D720" s="62"/>
      <c r="E720" s="62"/>
      <c r="F720" s="62"/>
      <c r="G720" s="63"/>
      <c r="H720" s="64"/>
      <c r="I720" s="69"/>
      <c r="J720" s="64"/>
      <c r="K720" s="62"/>
      <c r="L720" s="62"/>
      <c r="M720" s="62"/>
      <c r="N720" s="62"/>
      <c r="O720" s="62"/>
      <c r="P720" s="62"/>
      <c r="Q720" s="62"/>
      <c r="R720" s="62"/>
      <c r="S720" s="62"/>
    </row>
    <row r="721">
      <c r="A721" s="68"/>
      <c r="B721" s="68"/>
      <c r="C721" s="62"/>
      <c r="D721" s="62"/>
      <c r="E721" s="62"/>
      <c r="F721" s="62"/>
      <c r="G721" s="63"/>
      <c r="H721" s="64"/>
      <c r="I721" s="69"/>
      <c r="J721" s="64"/>
      <c r="K721" s="62"/>
      <c r="L721" s="62"/>
      <c r="M721" s="62"/>
      <c r="N721" s="62"/>
      <c r="O721" s="62"/>
      <c r="P721" s="62"/>
      <c r="Q721" s="62"/>
      <c r="R721" s="62"/>
      <c r="S721" s="62"/>
    </row>
    <row r="722">
      <c r="A722" s="68"/>
      <c r="B722" s="68"/>
      <c r="C722" s="62"/>
      <c r="D722" s="62"/>
      <c r="E722" s="62"/>
      <c r="F722" s="62"/>
      <c r="G722" s="63"/>
      <c r="H722" s="64"/>
      <c r="I722" s="69"/>
      <c r="J722" s="64"/>
      <c r="K722" s="62"/>
      <c r="L722" s="62"/>
      <c r="M722" s="62"/>
      <c r="N722" s="62"/>
      <c r="O722" s="62"/>
      <c r="P722" s="62"/>
      <c r="Q722" s="62"/>
      <c r="R722" s="62"/>
      <c r="S722" s="62"/>
    </row>
    <row r="723">
      <c r="A723" s="68"/>
      <c r="B723" s="68"/>
      <c r="C723" s="62"/>
      <c r="D723" s="62"/>
      <c r="E723" s="62"/>
      <c r="F723" s="62"/>
      <c r="G723" s="63"/>
      <c r="H723" s="64"/>
      <c r="I723" s="69"/>
      <c r="J723" s="64"/>
      <c r="K723" s="62"/>
      <c r="L723" s="62"/>
      <c r="M723" s="62"/>
      <c r="N723" s="62"/>
      <c r="O723" s="62"/>
      <c r="P723" s="62"/>
      <c r="Q723" s="62"/>
      <c r="R723" s="62"/>
      <c r="S723" s="62"/>
    </row>
    <row r="724">
      <c r="A724" s="68"/>
      <c r="B724" s="68"/>
      <c r="C724" s="62"/>
      <c r="D724" s="62"/>
      <c r="E724" s="62"/>
      <c r="F724" s="62"/>
      <c r="G724" s="63"/>
      <c r="H724" s="64"/>
      <c r="I724" s="69"/>
      <c r="J724" s="64"/>
      <c r="K724" s="62"/>
      <c r="L724" s="62"/>
      <c r="M724" s="62"/>
      <c r="N724" s="62"/>
      <c r="O724" s="62"/>
      <c r="P724" s="62"/>
      <c r="Q724" s="62"/>
      <c r="R724" s="62"/>
      <c r="S724" s="62"/>
    </row>
    <row r="725">
      <c r="A725" s="68"/>
      <c r="B725" s="68"/>
      <c r="C725" s="62"/>
      <c r="D725" s="62"/>
      <c r="E725" s="62"/>
      <c r="F725" s="62"/>
      <c r="G725" s="63"/>
      <c r="H725" s="64"/>
      <c r="I725" s="69"/>
      <c r="J725" s="64"/>
      <c r="K725" s="62"/>
      <c r="L725" s="62"/>
      <c r="M725" s="62"/>
      <c r="N725" s="62"/>
      <c r="O725" s="62"/>
      <c r="P725" s="62"/>
      <c r="Q725" s="62"/>
      <c r="R725" s="62"/>
      <c r="S725" s="62"/>
    </row>
    <row r="726">
      <c r="A726" s="68"/>
      <c r="B726" s="68"/>
      <c r="C726" s="62"/>
      <c r="D726" s="62"/>
      <c r="E726" s="62"/>
      <c r="F726" s="62"/>
      <c r="G726" s="63"/>
      <c r="H726" s="64"/>
      <c r="I726" s="69"/>
      <c r="J726" s="64"/>
      <c r="K726" s="62"/>
      <c r="L726" s="62"/>
      <c r="M726" s="62"/>
      <c r="N726" s="62"/>
      <c r="O726" s="62"/>
      <c r="P726" s="62"/>
      <c r="Q726" s="62"/>
      <c r="R726" s="62"/>
      <c r="S726" s="62"/>
    </row>
    <row r="727">
      <c r="A727" s="68"/>
      <c r="B727" s="68"/>
      <c r="C727" s="62"/>
      <c r="D727" s="62"/>
      <c r="E727" s="62"/>
      <c r="F727" s="62"/>
      <c r="G727" s="63"/>
      <c r="H727" s="64"/>
      <c r="I727" s="69"/>
      <c r="J727" s="64"/>
      <c r="K727" s="62"/>
      <c r="L727" s="62"/>
      <c r="M727" s="62"/>
      <c r="N727" s="62"/>
      <c r="O727" s="62"/>
      <c r="P727" s="62"/>
      <c r="Q727" s="62"/>
      <c r="R727" s="62"/>
      <c r="S727" s="62"/>
    </row>
    <row r="728">
      <c r="A728" s="68"/>
      <c r="B728" s="68"/>
      <c r="C728" s="62"/>
      <c r="D728" s="62"/>
      <c r="E728" s="62"/>
      <c r="F728" s="62"/>
      <c r="G728" s="63"/>
      <c r="H728" s="64"/>
      <c r="I728" s="69"/>
      <c r="J728" s="64"/>
      <c r="K728" s="62"/>
      <c r="L728" s="62"/>
      <c r="M728" s="62"/>
      <c r="N728" s="62"/>
      <c r="O728" s="62"/>
      <c r="P728" s="62"/>
      <c r="Q728" s="62"/>
      <c r="R728" s="62"/>
      <c r="S728" s="62"/>
    </row>
    <row r="729">
      <c r="A729" s="68"/>
      <c r="B729" s="68"/>
      <c r="C729" s="62"/>
      <c r="D729" s="62"/>
      <c r="E729" s="62"/>
      <c r="F729" s="62"/>
      <c r="G729" s="63"/>
      <c r="H729" s="64"/>
      <c r="I729" s="69"/>
      <c r="J729" s="64"/>
      <c r="K729" s="62"/>
      <c r="L729" s="62"/>
      <c r="M729" s="62"/>
      <c r="N729" s="62"/>
      <c r="O729" s="62"/>
      <c r="P729" s="62"/>
      <c r="Q729" s="62"/>
      <c r="R729" s="62"/>
      <c r="S729" s="62"/>
    </row>
    <row r="730">
      <c r="A730" s="68"/>
      <c r="B730" s="68"/>
      <c r="C730" s="62"/>
      <c r="D730" s="62"/>
      <c r="E730" s="62"/>
      <c r="F730" s="62"/>
      <c r="G730" s="63"/>
      <c r="H730" s="64"/>
      <c r="I730" s="69"/>
      <c r="J730" s="64"/>
      <c r="K730" s="62"/>
      <c r="L730" s="62"/>
      <c r="M730" s="62"/>
      <c r="N730" s="62"/>
      <c r="O730" s="62"/>
      <c r="P730" s="62"/>
      <c r="Q730" s="62"/>
      <c r="R730" s="62"/>
      <c r="S730" s="62"/>
    </row>
    <row r="731">
      <c r="A731" s="68"/>
      <c r="B731" s="68"/>
      <c r="C731" s="62"/>
      <c r="D731" s="62"/>
      <c r="E731" s="62"/>
      <c r="F731" s="62"/>
      <c r="G731" s="63"/>
      <c r="H731" s="64"/>
      <c r="I731" s="69"/>
      <c r="J731" s="64"/>
      <c r="K731" s="62"/>
      <c r="L731" s="62"/>
      <c r="M731" s="62"/>
      <c r="N731" s="62"/>
      <c r="O731" s="62"/>
      <c r="P731" s="62"/>
      <c r="Q731" s="62"/>
      <c r="R731" s="62"/>
      <c r="S731" s="62"/>
    </row>
    <row r="732">
      <c r="A732" s="68"/>
      <c r="B732" s="68"/>
      <c r="C732" s="62"/>
      <c r="D732" s="62"/>
      <c r="E732" s="62"/>
      <c r="F732" s="62"/>
      <c r="G732" s="63"/>
      <c r="H732" s="64"/>
      <c r="I732" s="69"/>
      <c r="J732" s="64"/>
      <c r="K732" s="62"/>
      <c r="L732" s="62"/>
      <c r="M732" s="62"/>
      <c r="N732" s="62"/>
      <c r="O732" s="62"/>
      <c r="P732" s="62"/>
      <c r="Q732" s="62"/>
      <c r="R732" s="62"/>
      <c r="S732" s="62"/>
    </row>
    <row r="733">
      <c r="A733" s="68"/>
      <c r="B733" s="68"/>
      <c r="C733" s="62"/>
      <c r="D733" s="62"/>
      <c r="E733" s="62"/>
      <c r="F733" s="62"/>
      <c r="G733" s="63"/>
      <c r="H733" s="64"/>
      <c r="I733" s="69"/>
      <c r="J733" s="64"/>
      <c r="K733" s="62"/>
      <c r="L733" s="62"/>
      <c r="M733" s="62"/>
      <c r="N733" s="62"/>
      <c r="O733" s="62"/>
      <c r="P733" s="62"/>
      <c r="Q733" s="62"/>
      <c r="R733" s="62"/>
      <c r="S733" s="62"/>
    </row>
    <row r="734">
      <c r="A734" s="68"/>
      <c r="B734" s="68"/>
      <c r="C734" s="62"/>
      <c r="D734" s="62"/>
      <c r="E734" s="62"/>
      <c r="F734" s="62"/>
      <c r="G734" s="63"/>
      <c r="H734" s="64"/>
      <c r="I734" s="69"/>
      <c r="J734" s="64"/>
      <c r="K734" s="62"/>
      <c r="L734" s="62"/>
      <c r="M734" s="62"/>
      <c r="N734" s="62"/>
      <c r="O734" s="62"/>
      <c r="P734" s="62"/>
      <c r="Q734" s="62"/>
      <c r="R734" s="62"/>
      <c r="S734" s="62"/>
    </row>
    <row r="735">
      <c r="A735" s="68"/>
      <c r="B735" s="68"/>
      <c r="C735" s="62"/>
      <c r="D735" s="62"/>
      <c r="E735" s="62"/>
      <c r="F735" s="62"/>
      <c r="G735" s="63"/>
      <c r="H735" s="64"/>
      <c r="I735" s="69"/>
      <c r="J735" s="64"/>
      <c r="K735" s="62"/>
      <c r="L735" s="62"/>
      <c r="M735" s="62"/>
      <c r="N735" s="62"/>
      <c r="O735" s="62"/>
      <c r="P735" s="62"/>
      <c r="Q735" s="62"/>
      <c r="R735" s="62"/>
      <c r="S735" s="62"/>
    </row>
    <row r="736">
      <c r="A736" s="68"/>
      <c r="B736" s="68"/>
      <c r="C736" s="62"/>
      <c r="D736" s="62"/>
      <c r="E736" s="62"/>
      <c r="F736" s="62"/>
      <c r="G736" s="63"/>
      <c r="H736" s="64"/>
      <c r="I736" s="69"/>
      <c r="J736" s="64"/>
      <c r="K736" s="62"/>
      <c r="L736" s="62"/>
      <c r="M736" s="62"/>
      <c r="N736" s="62"/>
      <c r="O736" s="62"/>
      <c r="P736" s="62"/>
      <c r="Q736" s="62"/>
      <c r="R736" s="62"/>
      <c r="S736" s="62"/>
    </row>
    <row r="737">
      <c r="A737" s="68"/>
      <c r="B737" s="68"/>
      <c r="C737" s="62"/>
      <c r="D737" s="62"/>
      <c r="E737" s="62"/>
      <c r="F737" s="62"/>
      <c r="G737" s="63"/>
      <c r="H737" s="64"/>
      <c r="I737" s="69"/>
      <c r="J737" s="64"/>
      <c r="K737" s="62"/>
      <c r="L737" s="62"/>
      <c r="M737" s="62"/>
      <c r="N737" s="62"/>
      <c r="O737" s="62"/>
      <c r="P737" s="62"/>
      <c r="Q737" s="62"/>
      <c r="R737" s="62"/>
      <c r="S737" s="62"/>
    </row>
    <row r="738">
      <c r="A738" s="68"/>
      <c r="B738" s="68"/>
      <c r="C738" s="62"/>
      <c r="D738" s="62"/>
      <c r="E738" s="62"/>
      <c r="F738" s="62"/>
      <c r="G738" s="63"/>
      <c r="H738" s="64"/>
      <c r="I738" s="69"/>
      <c r="J738" s="64"/>
      <c r="K738" s="62"/>
      <c r="L738" s="62"/>
      <c r="M738" s="62"/>
      <c r="N738" s="62"/>
      <c r="O738" s="62"/>
      <c r="P738" s="62"/>
      <c r="Q738" s="62"/>
      <c r="R738" s="62"/>
      <c r="S738" s="62"/>
    </row>
    <row r="739">
      <c r="A739" s="68"/>
      <c r="B739" s="68"/>
      <c r="C739" s="62"/>
      <c r="D739" s="62"/>
      <c r="E739" s="62"/>
      <c r="F739" s="62"/>
      <c r="G739" s="63"/>
      <c r="H739" s="64"/>
      <c r="I739" s="69"/>
      <c r="J739" s="64"/>
      <c r="K739" s="62"/>
      <c r="L739" s="62"/>
      <c r="M739" s="62"/>
      <c r="N739" s="62"/>
      <c r="O739" s="62"/>
      <c r="P739" s="62"/>
      <c r="Q739" s="62"/>
      <c r="R739" s="62"/>
      <c r="S739" s="62"/>
    </row>
    <row r="740">
      <c r="A740" s="68"/>
      <c r="B740" s="68"/>
      <c r="C740" s="62"/>
      <c r="D740" s="62"/>
      <c r="E740" s="62"/>
      <c r="F740" s="62"/>
      <c r="G740" s="63"/>
      <c r="H740" s="64"/>
      <c r="I740" s="69"/>
      <c r="J740" s="64"/>
      <c r="K740" s="62"/>
      <c r="L740" s="62"/>
      <c r="M740" s="62"/>
      <c r="N740" s="62"/>
      <c r="O740" s="62"/>
      <c r="P740" s="62"/>
      <c r="Q740" s="62"/>
      <c r="R740" s="62"/>
      <c r="S740" s="62"/>
    </row>
    <row r="741">
      <c r="A741" s="68"/>
      <c r="B741" s="68"/>
      <c r="C741" s="62"/>
      <c r="D741" s="62"/>
      <c r="E741" s="62"/>
      <c r="F741" s="62"/>
      <c r="G741" s="63"/>
      <c r="H741" s="64"/>
      <c r="I741" s="69"/>
      <c r="J741" s="64"/>
      <c r="K741" s="62"/>
      <c r="L741" s="62"/>
      <c r="M741" s="62"/>
      <c r="N741" s="62"/>
      <c r="O741" s="62"/>
      <c r="P741" s="62"/>
      <c r="Q741" s="62"/>
      <c r="R741" s="62"/>
      <c r="S741" s="62"/>
    </row>
    <row r="742">
      <c r="A742" s="68"/>
      <c r="B742" s="68"/>
      <c r="C742" s="62"/>
      <c r="D742" s="62"/>
      <c r="E742" s="62"/>
      <c r="F742" s="62"/>
      <c r="G742" s="63"/>
      <c r="H742" s="64"/>
      <c r="I742" s="69"/>
      <c r="J742" s="64"/>
      <c r="K742" s="62"/>
      <c r="L742" s="62"/>
      <c r="M742" s="62"/>
      <c r="N742" s="62"/>
      <c r="O742" s="62"/>
      <c r="P742" s="62"/>
      <c r="Q742" s="62"/>
      <c r="R742" s="62"/>
      <c r="S742" s="62"/>
    </row>
    <row r="743">
      <c r="A743" s="68"/>
      <c r="B743" s="68"/>
      <c r="C743" s="62"/>
      <c r="D743" s="62"/>
      <c r="E743" s="62"/>
      <c r="F743" s="62"/>
      <c r="G743" s="63"/>
      <c r="H743" s="64"/>
      <c r="I743" s="69"/>
      <c r="J743" s="64"/>
      <c r="K743" s="62"/>
      <c r="L743" s="62"/>
      <c r="M743" s="62"/>
      <c r="N743" s="62"/>
      <c r="O743" s="62"/>
      <c r="P743" s="62"/>
      <c r="Q743" s="62"/>
      <c r="R743" s="62"/>
      <c r="S743" s="62"/>
    </row>
    <row r="744">
      <c r="A744" s="68"/>
      <c r="B744" s="68"/>
      <c r="C744" s="62"/>
      <c r="D744" s="62"/>
      <c r="E744" s="62"/>
      <c r="F744" s="62"/>
      <c r="G744" s="63"/>
      <c r="H744" s="64"/>
      <c r="I744" s="69"/>
      <c r="J744" s="64"/>
      <c r="K744" s="62"/>
      <c r="L744" s="62"/>
      <c r="M744" s="62"/>
      <c r="N744" s="62"/>
      <c r="O744" s="62"/>
      <c r="P744" s="62"/>
      <c r="Q744" s="62"/>
      <c r="R744" s="62"/>
      <c r="S744" s="62"/>
    </row>
    <row r="745">
      <c r="A745" s="68"/>
      <c r="B745" s="68"/>
      <c r="C745" s="62"/>
      <c r="D745" s="62"/>
      <c r="E745" s="62"/>
      <c r="F745" s="62"/>
      <c r="G745" s="63"/>
      <c r="H745" s="64"/>
      <c r="I745" s="69"/>
      <c r="J745" s="64"/>
      <c r="K745" s="62"/>
      <c r="L745" s="62"/>
      <c r="M745" s="62"/>
      <c r="N745" s="62"/>
      <c r="O745" s="62"/>
      <c r="P745" s="62"/>
      <c r="Q745" s="62"/>
      <c r="R745" s="62"/>
      <c r="S745" s="62"/>
    </row>
    <row r="746">
      <c r="A746" s="68"/>
      <c r="B746" s="68"/>
      <c r="C746" s="62"/>
      <c r="D746" s="62"/>
      <c r="E746" s="62"/>
      <c r="F746" s="62"/>
      <c r="G746" s="63"/>
      <c r="H746" s="64"/>
      <c r="I746" s="69"/>
      <c r="J746" s="64"/>
      <c r="K746" s="62"/>
      <c r="L746" s="62"/>
      <c r="M746" s="62"/>
      <c r="N746" s="62"/>
      <c r="O746" s="62"/>
      <c r="P746" s="62"/>
      <c r="Q746" s="62"/>
      <c r="R746" s="62"/>
      <c r="S746" s="62"/>
    </row>
    <row r="747">
      <c r="A747" s="68"/>
      <c r="B747" s="68"/>
      <c r="C747" s="62"/>
      <c r="D747" s="62"/>
      <c r="E747" s="62"/>
      <c r="F747" s="62"/>
      <c r="G747" s="63"/>
      <c r="H747" s="64"/>
      <c r="I747" s="69"/>
      <c r="J747" s="64"/>
      <c r="K747" s="62"/>
      <c r="L747" s="62"/>
      <c r="M747" s="62"/>
      <c r="N747" s="62"/>
      <c r="O747" s="62"/>
      <c r="P747" s="62"/>
      <c r="Q747" s="62"/>
      <c r="R747" s="62"/>
      <c r="S747" s="62"/>
    </row>
    <row r="748">
      <c r="A748" s="68"/>
      <c r="B748" s="68"/>
      <c r="C748" s="62"/>
      <c r="D748" s="62"/>
      <c r="E748" s="62"/>
      <c r="F748" s="62"/>
      <c r="G748" s="63"/>
      <c r="H748" s="64"/>
      <c r="I748" s="69"/>
      <c r="J748" s="64"/>
      <c r="K748" s="62"/>
      <c r="L748" s="62"/>
      <c r="M748" s="62"/>
      <c r="N748" s="62"/>
      <c r="O748" s="62"/>
      <c r="P748" s="62"/>
      <c r="Q748" s="62"/>
      <c r="R748" s="62"/>
      <c r="S748" s="62"/>
    </row>
    <row r="749">
      <c r="A749" s="68"/>
      <c r="B749" s="68"/>
      <c r="C749" s="62"/>
      <c r="D749" s="62"/>
      <c r="E749" s="62"/>
      <c r="F749" s="62"/>
      <c r="G749" s="63"/>
      <c r="H749" s="64"/>
      <c r="I749" s="69"/>
      <c r="J749" s="64"/>
      <c r="K749" s="62"/>
      <c r="L749" s="62"/>
      <c r="M749" s="62"/>
      <c r="N749" s="62"/>
      <c r="O749" s="62"/>
      <c r="P749" s="62"/>
      <c r="Q749" s="62"/>
      <c r="R749" s="62"/>
      <c r="S749" s="62"/>
    </row>
    <row r="750">
      <c r="A750" s="68"/>
      <c r="B750" s="68"/>
      <c r="C750" s="62"/>
      <c r="D750" s="62"/>
      <c r="E750" s="62"/>
      <c r="F750" s="62"/>
      <c r="G750" s="63"/>
      <c r="H750" s="64"/>
      <c r="I750" s="69"/>
      <c r="J750" s="64"/>
      <c r="K750" s="62"/>
      <c r="L750" s="62"/>
      <c r="M750" s="62"/>
      <c r="N750" s="62"/>
      <c r="O750" s="62"/>
      <c r="P750" s="62"/>
      <c r="Q750" s="62"/>
      <c r="R750" s="62"/>
      <c r="S750" s="62"/>
    </row>
    <row r="751">
      <c r="A751" s="68"/>
      <c r="B751" s="68"/>
      <c r="C751" s="62"/>
      <c r="D751" s="62"/>
      <c r="E751" s="62"/>
      <c r="F751" s="62"/>
      <c r="G751" s="63"/>
      <c r="H751" s="64"/>
      <c r="I751" s="69"/>
      <c r="J751" s="64"/>
      <c r="K751" s="62"/>
      <c r="L751" s="62"/>
      <c r="M751" s="62"/>
      <c r="N751" s="62"/>
      <c r="O751" s="62"/>
      <c r="P751" s="62"/>
      <c r="Q751" s="62"/>
      <c r="R751" s="62"/>
      <c r="S751" s="62"/>
    </row>
    <row r="752">
      <c r="A752" s="68"/>
      <c r="B752" s="68"/>
      <c r="C752" s="62"/>
      <c r="D752" s="62"/>
      <c r="E752" s="62"/>
      <c r="F752" s="62"/>
      <c r="G752" s="63"/>
      <c r="H752" s="64"/>
      <c r="I752" s="69"/>
      <c r="J752" s="64"/>
      <c r="K752" s="62"/>
      <c r="L752" s="62"/>
      <c r="M752" s="62"/>
      <c r="N752" s="62"/>
      <c r="O752" s="62"/>
      <c r="P752" s="62"/>
      <c r="Q752" s="62"/>
      <c r="R752" s="62"/>
      <c r="S752" s="62"/>
    </row>
    <row r="753">
      <c r="A753" s="68"/>
      <c r="B753" s="68"/>
      <c r="C753" s="62"/>
      <c r="D753" s="62"/>
      <c r="E753" s="62"/>
      <c r="F753" s="62"/>
      <c r="G753" s="63"/>
      <c r="H753" s="64"/>
      <c r="I753" s="69"/>
      <c r="J753" s="64"/>
      <c r="K753" s="62"/>
      <c r="L753" s="62"/>
      <c r="M753" s="62"/>
      <c r="N753" s="62"/>
      <c r="O753" s="62"/>
      <c r="P753" s="62"/>
      <c r="Q753" s="62"/>
      <c r="R753" s="62"/>
      <c r="S753" s="62"/>
    </row>
    <row r="754">
      <c r="A754" s="68"/>
      <c r="B754" s="68"/>
      <c r="C754" s="62"/>
      <c r="D754" s="62"/>
      <c r="E754" s="62"/>
      <c r="F754" s="62"/>
      <c r="G754" s="63"/>
      <c r="H754" s="64"/>
      <c r="I754" s="69"/>
      <c r="J754" s="64"/>
      <c r="K754" s="62"/>
      <c r="L754" s="62"/>
      <c r="M754" s="62"/>
      <c r="N754" s="62"/>
      <c r="O754" s="62"/>
      <c r="P754" s="62"/>
      <c r="Q754" s="62"/>
      <c r="R754" s="62"/>
      <c r="S754" s="62"/>
    </row>
    <row r="755">
      <c r="A755" s="68"/>
      <c r="B755" s="68"/>
      <c r="C755" s="62"/>
      <c r="D755" s="62"/>
      <c r="E755" s="62"/>
      <c r="F755" s="62"/>
      <c r="G755" s="63"/>
      <c r="H755" s="64"/>
      <c r="I755" s="69"/>
      <c r="J755" s="64"/>
      <c r="K755" s="62"/>
      <c r="L755" s="62"/>
      <c r="M755" s="62"/>
      <c r="N755" s="62"/>
      <c r="O755" s="62"/>
      <c r="P755" s="62"/>
      <c r="Q755" s="62"/>
      <c r="R755" s="62"/>
      <c r="S755" s="62"/>
    </row>
    <row r="756">
      <c r="A756" s="68"/>
      <c r="B756" s="68"/>
      <c r="C756" s="62"/>
      <c r="D756" s="62"/>
      <c r="E756" s="62"/>
      <c r="F756" s="62"/>
      <c r="G756" s="63"/>
      <c r="H756" s="64"/>
      <c r="I756" s="69"/>
      <c r="J756" s="64"/>
      <c r="K756" s="62"/>
      <c r="L756" s="62"/>
      <c r="M756" s="62"/>
      <c r="N756" s="62"/>
      <c r="O756" s="62"/>
      <c r="P756" s="62"/>
      <c r="Q756" s="62"/>
      <c r="R756" s="62"/>
      <c r="S756" s="62"/>
    </row>
    <row r="757">
      <c r="A757" s="68"/>
      <c r="B757" s="68"/>
      <c r="C757" s="62"/>
      <c r="D757" s="62"/>
      <c r="E757" s="62"/>
      <c r="F757" s="62"/>
      <c r="G757" s="63"/>
      <c r="H757" s="64"/>
      <c r="I757" s="69"/>
      <c r="J757" s="64"/>
      <c r="K757" s="62"/>
      <c r="L757" s="62"/>
      <c r="M757" s="62"/>
      <c r="N757" s="62"/>
      <c r="O757" s="62"/>
      <c r="P757" s="62"/>
      <c r="Q757" s="62"/>
      <c r="R757" s="62"/>
      <c r="S757" s="62"/>
    </row>
    <row r="758">
      <c r="A758" s="68"/>
      <c r="B758" s="68"/>
      <c r="C758" s="62"/>
      <c r="D758" s="62"/>
      <c r="E758" s="62"/>
      <c r="F758" s="62"/>
      <c r="G758" s="63"/>
      <c r="H758" s="64"/>
      <c r="I758" s="69"/>
      <c r="J758" s="64"/>
      <c r="K758" s="62"/>
      <c r="L758" s="62"/>
      <c r="M758" s="62"/>
      <c r="N758" s="62"/>
      <c r="O758" s="62"/>
      <c r="P758" s="62"/>
      <c r="Q758" s="62"/>
      <c r="R758" s="62"/>
      <c r="S758" s="62"/>
    </row>
    <row r="759">
      <c r="A759" s="68"/>
      <c r="B759" s="68"/>
      <c r="C759" s="62"/>
      <c r="D759" s="62"/>
      <c r="E759" s="62"/>
      <c r="F759" s="62"/>
      <c r="G759" s="63"/>
      <c r="H759" s="64"/>
      <c r="I759" s="69"/>
      <c r="J759" s="64"/>
      <c r="K759" s="62"/>
      <c r="L759" s="62"/>
      <c r="M759" s="62"/>
      <c r="N759" s="62"/>
      <c r="O759" s="62"/>
      <c r="P759" s="62"/>
      <c r="Q759" s="62"/>
      <c r="R759" s="62"/>
      <c r="S759" s="62"/>
    </row>
    <row r="760">
      <c r="A760" s="68"/>
      <c r="B760" s="68"/>
      <c r="C760" s="62"/>
      <c r="D760" s="62"/>
      <c r="E760" s="62"/>
      <c r="F760" s="62"/>
      <c r="G760" s="63"/>
      <c r="H760" s="64"/>
      <c r="I760" s="69"/>
      <c r="J760" s="64"/>
      <c r="K760" s="62"/>
      <c r="L760" s="62"/>
      <c r="M760" s="62"/>
      <c r="N760" s="62"/>
      <c r="O760" s="62"/>
      <c r="P760" s="62"/>
      <c r="Q760" s="62"/>
      <c r="R760" s="62"/>
      <c r="S760" s="62"/>
    </row>
    <row r="761">
      <c r="A761" s="68"/>
      <c r="B761" s="68"/>
      <c r="C761" s="62"/>
      <c r="D761" s="62"/>
      <c r="E761" s="62"/>
      <c r="F761" s="62"/>
      <c r="G761" s="63"/>
      <c r="H761" s="64"/>
      <c r="I761" s="69"/>
      <c r="J761" s="64"/>
      <c r="K761" s="62"/>
      <c r="L761" s="62"/>
      <c r="M761" s="62"/>
      <c r="N761" s="62"/>
      <c r="O761" s="62"/>
      <c r="P761" s="62"/>
      <c r="Q761" s="62"/>
      <c r="R761" s="62"/>
      <c r="S761" s="62"/>
    </row>
    <row r="762">
      <c r="A762" s="68"/>
      <c r="B762" s="68"/>
      <c r="C762" s="62"/>
      <c r="D762" s="62"/>
      <c r="E762" s="62"/>
      <c r="F762" s="62"/>
      <c r="G762" s="63"/>
      <c r="H762" s="64"/>
      <c r="I762" s="69"/>
      <c r="J762" s="64"/>
      <c r="K762" s="62"/>
      <c r="L762" s="62"/>
      <c r="M762" s="62"/>
      <c r="N762" s="62"/>
      <c r="O762" s="62"/>
      <c r="P762" s="62"/>
      <c r="Q762" s="62"/>
      <c r="R762" s="62"/>
      <c r="S762" s="62"/>
    </row>
    <row r="763">
      <c r="A763" s="68"/>
      <c r="B763" s="68"/>
      <c r="C763" s="62"/>
      <c r="D763" s="62"/>
      <c r="E763" s="62"/>
      <c r="F763" s="62"/>
      <c r="G763" s="63"/>
      <c r="H763" s="64"/>
      <c r="I763" s="69"/>
      <c r="J763" s="64"/>
      <c r="K763" s="62"/>
      <c r="L763" s="62"/>
      <c r="M763" s="62"/>
      <c r="N763" s="62"/>
      <c r="O763" s="62"/>
      <c r="P763" s="62"/>
      <c r="Q763" s="62"/>
      <c r="R763" s="62"/>
      <c r="S763" s="62"/>
    </row>
    <row r="764">
      <c r="A764" s="68"/>
      <c r="B764" s="68"/>
      <c r="C764" s="62"/>
      <c r="D764" s="62"/>
      <c r="E764" s="62"/>
      <c r="F764" s="62"/>
      <c r="G764" s="63"/>
      <c r="H764" s="64"/>
      <c r="I764" s="69"/>
      <c r="J764" s="64"/>
      <c r="K764" s="62"/>
      <c r="L764" s="62"/>
      <c r="M764" s="62"/>
      <c r="N764" s="62"/>
      <c r="O764" s="62"/>
      <c r="P764" s="62"/>
      <c r="Q764" s="62"/>
      <c r="R764" s="62"/>
      <c r="S764" s="62"/>
    </row>
    <row r="765">
      <c r="A765" s="68"/>
      <c r="B765" s="68"/>
      <c r="C765" s="62"/>
      <c r="D765" s="62"/>
      <c r="E765" s="62"/>
      <c r="F765" s="62"/>
      <c r="G765" s="63"/>
      <c r="H765" s="64"/>
      <c r="I765" s="69"/>
      <c r="J765" s="64"/>
      <c r="K765" s="62"/>
      <c r="L765" s="62"/>
      <c r="M765" s="62"/>
      <c r="N765" s="62"/>
      <c r="O765" s="62"/>
      <c r="P765" s="62"/>
      <c r="Q765" s="62"/>
      <c r="R765" s="62"/>
      <c r="S765" s="62"/>
    </row>
    <row r="766">
      <c r="A766" s="68"/>
      <c r="B766" s="68"/>
      <c r="C766" s="62"/>
      <c r="D766" s="62"/>
      <c r="E766" s="62"/>
      <c r="F766" s="62"/>
      <c r="G766" s="63"/>
      <c r="H766" s="64"/>
      <c r="I766" s="69"/>
      <c r="J766" s="64"/>
      <c r="K766" s="62"/>
      <c r="L766" s="62"/>
      <c r="M766" s="62"/>
      <c r="N766" s="62"/>
      <c r="O766" s="62"/>
      <c r="P766" s="62"/>
      <c r="Q766" s="62"/>
      <c r="R766" s="62"/>
      <c r="S766" s="62"/>
    </row>
    <row r="767">
      <c r="A767" s="68"/>
      <c r="B767" s="68"/>
      <c r="C767" s="62"/>
      <c r="D767" s="62"/>
      <c r="E767" s="62"/>
      <c r="F767" s="62"/>
      <c r="G767" s="63"/>
      <c r="H767" s="64"/>
      <c r="I767" s="69"/>
      <c r="J767" s="64"/>
      <c r="K767" s="62"/>
      <c r="L767" s="62"/>
      <c r="M767" s="62"/>
      <c r="N767" s="62"/>
      <c r="O767" s="62"/>
      <c r="P767" s="62"/>
      <c r="Q767" s="62"/>
      <c r="R767" s="62"/>
      <c r="S767" s="62"/>
    </row>
    <row r="768">
      <c r="A768" s="68"/>
      <c r="B768" s="68"/>
      <c r="C768" s="62"/>
      <c r="D768" s="62"/>
      <c r="E768" s="62"/>
      <c r="F768" s="62"/>
      <c r="G768" s="63"/>
      <c r="H768" s="64"/>
      <c r="I768" s="69"/>
      <c r="J768" s="64"/>
      <c r="K768" s="62"/>
      <c r="L768" s="62"/>
      <c r="M768" s="62"/>
      <c r="N768" s="62"/>
      <c r="O768" s="62"/>
      <c r="P768" s="62"/>
      <c r="Q768" s="62"/>
      <c r="R768" s="62"/>
      <c r="S768" s="62"/>
    </row>
    <row r="769">
      <c r="A769" s="68"/>
      <c r="B769" s="68"/>
      <c r="C769" s="62"/>
      <c r="D769" s="62"/>
      <c r="E769" s="62"/>
      <c r="F769" s="62"/>
      <c r="G769" s="63"/>
      <c r="H769" s="64"/>
      <c r="I769" s="69"/>
      <c r="J769" s="64"/>
      <c r="K769" s="62"/>
      <c r="L769" s="62"/>
      <c r="M769" s="62"/>
      <c r="N769" s="62"/>
      <c r="O769" s="62"/>
      <c r="P769" s="62"/>
      <c r="Q769" s="62"/>
      <c r="R769" s="62"/>
      <c r="S769" s="62"/>
    </row>
    <row r="770">
      <c r="A770" s="68"/>
      <c r="B770" s="68"/>
      <c r="C770" s="62"/>
      <c r="D770" s="62"/>
      <c r="E770" s="62"/>
      <c r="F770" s="62"/>
      <c r="G770" s="63"/>
      <c r="H770" s="64"/>
      <c r="I770" s="69"/>
      <c r="J770" s="64"/>
      <c r="K770" s="62"/>
      <c r="L770" s="62"/>
      <c r="M770" s="62"/>
      <c r="N770" s="62"/>
      <c r="O770" s="62"/>
      <c r="P770" s="62"/>
      <c r="Q770" s="62"/>
      <c r="R770" s="62"/>
      <c r="S770" s="62"/>
    </row>
    <row r="771">
      <c r="A771" s="68"/>
      <c r="B771" s="68"/>
      <c r="C771" s="62"/>
      <c r="D771" s="62"/>
      <c r="E771" s="62"/>
      <c r="F771" s="62"/>
      <c r="G771" s="63"/>
      <c r="H771" s="64"/>
      <c r="I771" s="69"/>
      <c r="J771" s="64"/>
      <c r="K771" s="62"/>
      <c r="L771" s="62"/>
      <c r="M771" s="62"/>
      <c r="N771" s="62"/>
      <c r="O771" s="62"/>
      <c r="P771" s="62"/>
      <c r="Q771" s="62"/>
      <c r="R771" s="62"/>
      <c r="S771" s="62"/>
    </row>
    <row r="772">
      <c r="A772" s="68"/>
      <c r="B772" s="68"/>
      <c r="C772" s="62"/>
      <c r="D772" s="62"/>
      <c r="E772" s="62"/>
      <c r="F772" s="62"/>
      <c r="G772" s="63"/>
      <c r="H772" s="64"/>
      <c r="I772" s="69"/>
      <c r="J772" s="64"/>
      <c r="K772" s="62"/>
      <c r="L772" s="62"/>
      <c r="M772" s="62"/>
      <c r="N772" s="62"/>
      <c r="O772" s="62"/>
      <c r="P772" s="62"/>
      <c r="Q772" s="62"/>
      <c r="R772" s="62"/>
      <c r="S772" s="62"/>
    </row>
    <row r="773">
      <c r="A773" s="68"/>
      <c r="B773" s="68"/>
      <c r="C773" s="62"/>
      <c r="D773" s="62"/>
      <c r="E773" s="62"/>
      <c r="F773" s="62"/>
      <c r="G773" s="63"/>
      <c r="H773" s="64"/>
      <c r="I773" s="69"/>
      <c r="J773" s="64"/>
      <c r="K773" s="62"/>
      <c r="L773" s="62"/>
      <c r="M773" s="62"/>
      <c r="N773" s="62"/>
      <c r="O773" s="62"/>
      <c r="P773" s="62"/>
      <c r="Q773" s="62"/>
      <c r="R773" s="62"/>
      <c r="S773" s="62"/>
    </row>
    <row r="774">
      <c r="A774" s="68"/>
      <c r="B774" s="68"/>
      <c r="C774" s="62"/>
      <c r="D774" s="62"/>
      <c r="E774" s="62"/>
      <c r="F774" s="62"/>
      <c r="G774" s="63"/>
      <c r="H774" s="64"/>
      <c r="I774" s="69"/>
      <c r="J774" s="64"/>
      <c r="K774" s="62"/>
      <c r="L774" s="62"/>
      <c r="M774" s="62"/>
      <c r="N774" s="62"/>
      <c r="O774" s="62"/>
      <c r="P774" s="62"/>
      <c r="Q774" s="62"/>
      <c r="R774" s="62"/>
      <c r="S774" s="62"/>
    </row>
    <row r="775">
      <c r="A775" s="68"/>
      <c r="B775" s="68"/>
      <c r="C775" s="62"/>
      <c r="D775" s="62"/>
      <c r="E775" s="62"/>
      <c r="F775" s="62"/>
      <c r="G775" s="63"/>
      <c r="H775" s="64"/>
      <c r="I775" s="69"/>
      <c r="J775" s="64"/>
      <c r="K775" s="62"/>
      <c r="L775" s="62"/>
      <c r="M775" s="62"/>
      <c r="N775" s="62"/>
      <c r="O775" s="62"/>
      <c r="P775" s="62"/>
      <c r="Q775" s="62"/>
      <c r="R775" s="62"/>
      <c r="S775" s="62"/>
    </row>
    <row r="776">
      <c r="A776" s="68"/>
      <c r="B776" s="68"/>
      <c r="C776" s="62"/>
      <c r="D776" s="62"/>
      <c r="E776" s="62"/>
      <c r="F776" s="62"/>
      <c r="G776" s="63"/>
      <c r="H776" s="64"/>
      <c r="I776" s="69"/>
      <c r="J776" s="64"/>
      <c r="K776" s="62"/>
      <c r="L776" s="62"/>
      <c r="M776" s="62"/>
      <c r="N776" s="62"/>
      <c r="O776" s="62"/>
      <c r="P776" s="62"/>
      <c r="Q776" s="62"/>
      <c r="R776" s="62"/>
      <c r="S776" s="62"/>
    </row>
    <row r="777">
      <c r="A777" s="68"/>
      <c r="B777" s="68"/>
      <c r="C777" s="62"/>
      <c r="D777" s="62"/>
      <c r="E777" s="62"/>
      <c r="F777" s="62"/>
      <c r="G777" s="63"/>
      <c r="H777" s="64"/>
      <c r="I777" s="69"/>
      <c r="J777" s="64"/>
      <c r="K777" s="62"/>
      <c r="L777" s="62"/>
      <c r="M777" s="62"/>
      <c r="N777" s="62"/>
      <c r="O777" s="62"/>
      <c r="P777" s="62"/>
      <c r="Q777" s="62"/>
      <c r="R777" s="62"/>
      <c r="S777" s="62"/>
    </row>
    <row r="778">
      <c r="A778" s="68"/>
      <c r="B778" s="68"/>
      <c r="C778" s="62"/>
      <c r="D778" s="62"/>
      <c r="E778" s="62"/>
      <c r="F778" s="62"/>
      <c r="G778" s="63"/>
      <c r="H778" s="64"/>
      <c r="I778" s="69"/>
      <c r="J778" s="64"/>
      <c r="K778" s="62"/>
      <c r="L778" s="62"/>
      <c r="M778" s="62"/>
      <c r="N778" s="62"/>
      <c r="O778" s="62"/>
      <c r="P778" s="62"/>
      <c r="Q778" s="62"/>
      <c r="R778" s="62"/>
      <c r="S778" s="62"/>
    </row>
    <row r="779">
      <c r="A779" s="68"/>
      <c r="B779" s="68"/>
      <c r="C779" s="62"/>
      <c r="D779" s="62"/>
      <c r="E779" s="62"/>
      <c r="F779" s="62"/>
      <c r="G779" s="63"/>
      <c r="H779" s="64"/>
      <c r="I779" s="69"/>
      <c r="J779" s="64"/>
      <c r="K779" s="62"/>
      <c r="L779" s="62"/>
      <c r="M779" s="62"/>
      <c r="N779" s="62"/>
      <c r="O779" s="62"/>
      <c r="P779" s="62"/>
      <c r="Q779" s="62"/>
      <c r="R779" s="62"/>
      <c r="S779" s="62"/>
    </row>
    <row r="780">
      <c r="A780" s="68"/>
      <c r="B780" s="68"/>
      <c r="C780" s="62"/>
      <c r="D780" s="62"/>
      <c r="E780" s="62"/>
      <c r="F780" s="62"/>
      <c r="G780" s="63"/>
      <c r="H780" s="64"/>
      <c r="I780" s="69"/>
      <c r="J780" s="64"/>
      <c r="K780" s="62"/>
      <c r="L780" s="62"/>
      <c r="M780" s="62"/>
      <c r="N780" s="62"/>
      <c r="O780" s="62"/>
      <c r="P780" s="62"/>
      <c r="Q780" s="62"/>
      <c r="R780" s="62"/>
      <c r="S780" s="62"/>
    </row>
    <row r="781">
      <c r="A781" s="68"/>
      <c r="B781" s="68"/>
      <c r="C781" s="62"/>
      <c r="D781" s="62"/>
      <c r="E781" s="62"/>
      <c r="F781" s="62"/>
      <c r="G781" s="63"/>
      <c r="H781" s="64"/>
      <c r="I781" s="69"/>
      <c r="J781" s="64"/>
      <c r="K781" s="62"/>
      <c r="L781" s="62"/>
      <c r="M781" s="62"/>
      <c r="N781" s="62"/>
      <c r="O781" s="62"/>
      <c r="P781" s="62"/>
      <c r="Q781" s="62"/>
      <c r="R781" s="62"/>
      <c r="S781" s="62"/>
    </row>
    <row r="782">
      <c r="A782" s="68"/>
      <c r="B782" s="68"/>
      <c r="C782" s="62"/>
      <c r="D782" s="62"/>
      <c r="E782" s="62"/>
      <c r="F782" s="62"/>
      <c r="G782" s="63"/>
      <c r="H782" s="64"/>
      <c r="I782" s="69"/>
      <c r="J782" s="64"/>
      <c r="K782" s="62"/>
      <c r="L782" s="62"/>
      <c r="M782" s="62"/>
      <c r="N782" s="62"/>
      <c r="O782" s="62"/>
      <c r="P782" s="62"/>
      <c r="Q782" s="62"/>
      <c r="R782" s="62"/>
      <c r="S782" s="62"/>
    </row>
    <row r="783">
      <c r="A783" s="68"/>
      <c r="B783" s="68"/>
      <c r="C783" s="62"/>
      <c r="D783" s="62"/>
      <c r="E783" s="62"/>
      <c r="F783" s="62"/>
      <c r="G783" s="63"/>
      <c r="H783" s="64"/>
      <c r="I783" s="69"/>
      <c r="J783" s="64"/>
      <c r="K783" s="62"/>
      <c r="L783" s="62"/>
      <c r="M783" s="62"/>
      <c r="N783" s="62"/>
      <c r="O783" s="62"/>
      <c r="P783" s="62"/>
      <c r="Q783" s="62"/>
      <c r="R783" s="62"/>
      <c r="S783" s="62"/>
    </row>
    <row r="784">
      <c r="A784" s="68"/>
      <c r="B784" s="68"/>
      <c r="C784" s="62"/>
      <c r="D784" s="62"/>
      <c r="E784" s="62"/>
      <c r="F784" s="62"/>
      <c r="G784" s="63"/>
      <c r="H784" s="64"/>
      <c r="I784" s="69"/>
      <c r="J784" s="64"/>
      <c r="K784" s="62"/>
      <c r="L784" s="62"/>
      <c r="M784" s="62"/>
      <c r="N784" s="62"/>
      <c r="O784" s="62"/>
      <c r="P784" s="62"/>
      <c r="Q784" s="62"/>
      <c r="R784" s="62"/>
      <c r="S784" s="62"/>
    </row>
    <row r="785">
      <c r="A785" s="68"/>
      <c r="B785" s="68"/>
      <c r="C785" s="62"/>
      <c r="D785" s="62"/>
      <c r="E785" s="62"/>
      <c r="F785" s="62"/>
      <c r="G785" s="63"/>
      <c r="H785" s="64"/>
      <c r="I785" s="69"/>
      <c r="J785" s="64"/>
      <c r="K785" s="62"/>
      <c r="L785" s="62"/>
      <c r="M785" s="62"/>
      <c r="N785" s="62"/>
      <c r="O785" s="62"/>
      <c r="P785" s="62"/>
      <c r="Q785" s="62"/>
      <c r="R785" s="62"/>
      <c r="S785" s="62"/>
    </row>
    <row r="786">
      <c r="A786" s="68"/>
      <c r="B786" s="68"/>
      <c r="C786" s="62"/>
      <c r="D786" s="62"/>
      <c r="E786" s="62"/>
      <c r="F786" s="62"/>
      <c r="G786" s="63"/>
      <c r="H786" s="64"/>
      <c r="I786" s="69"/>
      <c r="J786" s="64"/>
      <c r="K786" s="62"/>
      <c r="L786" s="62"/>
      <c r="M786" s="62"/>
      <c r="N786" s="62"/>
      <c r="O786" s="62"/>
      <c r="P786" s="62"/>
      <c r="Q786" s="62"/>
      <c r="R786" s="62"/>
      <c r="S786" s="62"/>
    </row>
    <row r="787">
      <c r="A787" s="68"/>
      <c r="B787" s="68"/>
      <c r="C787" s="62"/>
      <c r="D787" s="62"/>
      <c r="E787" s="62"/>
      <c r="F787" s="62"/>
      <c r="G787" s="63"/>
      <c r="H787" s="64"/>
      <c r="I787" s="69"/>
      <c r="J787" s="64"/>
      <c r="K787" s="62"/>
      <c r="L787" s="62"/>
      <c r="M787" s="62"/>
      <c r="N787" s="62"/>
      <c r="O787" s="62"/>
      <c r="P787" s="62"/>
      <c r="Q787" s="62"/>
      <c r="R787" s="62"/>
      <c r="S787" s="62"/>
    </row>
    <row r="788">
      <c r="A788" s="68"/>
      <c r="B788" s="68"/>
      <c r="C788" s="62"/>
      <c r="D788" s="62"/>
      <c r="E788" s="62"/>
      <c r="F788" s="62"/>
      <c r="G788" s="63"/>
      <c r="H788" s="64"/>
      <c r="I788" s="69"/>
      <c r="J788" s="64"/>
      <c r="K788" s="62"/>
      <c r="L788" s="62"/>
      <c r="M788" s="62"/>
      <c r="N788" s="62"/>
      <c r="O788" s="62"/>
      <c r="P788" s="62"/>
      <c r="Q788" s="62"/>
      <c r="R788" s="62"/>
      <c r="S788" s="62"/>
    </row>
    <row r="789">
      <c r="A789" s="68"/>
      <c r="B789" s="68"/>
      <c r="C789" s="62"/>
      <c r="D789" s="62"/>
      <c r="E789" s="62"/>
      <c r="F789" s="62"/>
      <c r="G789" s="63"/>
      <c r="H789" s="64"/>
      <c r="I789" s="69"/>
      <c r="J789" s="64"/>
      <c r="K789" s="62"/>
      <c r="L789" s="62"/>
      <c r="M789" s="62"/>
      <c r="N789" s="62"/>
      <c r="O789" s="62"/>
      <c r="P789" s="62"/>
      <c r="Q789" s="62"/>
      <c r="R789" s="62"/>
      <c r="S789" s="62"/>
    </row>
    <row r="790">
      <c r="A790" s="68"/>
      <c r="B790" s="68"/>
      <c r="C790" s="62"/>
      <c r="D790" s="62"/>
      <c r="E790" s="62"/>
      <c r="F790" s="62"/>
      <c r="G790" s="63"/>
      <c r="H790" s="64"/>
      <c r="I790" s="69"/>
      <c r="J790" s="64"/>
      <c r="K790" s="62"/>
      <c r="L790" s="62"/>
      <c r="M790" s="62"/>
      <c r="N790" s="62"/>
      <c r="O790" s="62"/>
      <c r="P790" s="62"/>
      <c r="Q790" s="62"/>
      <c r="R790" s="62"/>
      <c r="S790" s="62"/>
    </row>
    <row r="791">
      <c r="A791" s="68"/>
      <c r="B791" s="68"/>
      <c r="C791" s="62"/>
      <c r="D791" s="62"/>
      <c r="E791" s="62"/>
      <c r="F791" s="62"/>
      <c r="G791" s="63"/>
      <c r="H791" s="64"/>
      <c r="I791" s="69"/>
      <c r="J791" s="64"/>
      <c r="K791" s="62"/>
      <c r="L791" s="62"/>
      <c r="M791" s="62"/>
      <c r="N791" s="62"/>
      <c r="O791" s="62"/>
      <c r="P791" s="62"/>
      <c r="Q791" s="62"/>
      <c r="R791" s="62"/>
      <c r="S791" s="62"/>
    </row>
    <row r="792">
      <c r="A792" s="68"/>
      <c r="B792" s="68"/>
      <c r="C792" s="62"/>
      <c r="D792" s="62"/>
      <c r="E792" s="62"/>
      <c r="F792" s="62"/>
      <c r="G792" s="63"/>
      <c r="H792" s="64"/>
      <c r="I792" s="69"/>
      <c r="J792" s="64"/>
      <c r="K792" s="62"/>
      <c r="L792" s="62"/>
      <c r="M792" s="62"/>
      <c r="N792" s="62"/>
      <c r="O792" s="62"/>
      <c r="P792" s="62"/>
      <c r="Q792" s="62"/>
      <c r="R792" s="62"/>
      <c r="S792" s="62"/>
    </row>
    <row r="793">
      <c r="A793" s="68"/>
      <c r="B793" s="68"/>
      <c r="C793" s="62"/>
      <c r="D793" s="62"/>
      <c r="E793" s="62"/>
      <c r="F793" s="62"/>
      <c r="G793" s="63"/>
      <c r="H793" s="64"/>
      <c r="I793" s="69"/>
      <c r="J793" s="64"/>
      <c r="K793" s="62"/>
      <c r="L793" s="62"/>
      <c r="M793" s="62"/>
      <c r="N793" s="62"/>
      <c r="O793" s="62"/>
      <c r="P793" s="62"/>
      <c r="Q793" s="62"/>
      <c r="R793" s="62"/>
      <c r="S793" s="62"/>
    </row>
    <row r="794">
      <c r="A794" s="68"/>
      <c r="B794" s="68"/>
      <c r="C794" s="62"/>
      <c r="D794" s="62"/>
      <c r="E794" s="62"/>
      <c r="F794" s="62"/>
      <c r="G794" s="63"/>
      <c r="H794" s="64"/>
      <c r="I794" s="69"/>
      <c r="J794" s="64"/>
      <c r="K794" s="62"/>
      <c r="L794" s="62"/>
      <c r="M794" s="62"/>
      <c r="N794" s="62"/>
      <c r="O794" s="62"/>
      <c r="P794" s="62"/>
      <c r="Q794" s="62"/>
      <c r="R794" s="62"/>
      <c r="S794" s="62"/>
    </row>
    <row r="795">
      <c r="A795" s="68"/>
      <c r="B795" s="68"/>
      <c r="C795" s="62"/>
      <c r="D795" s="62"/>
      <c r="E795" s="62"/>
      <c r="F795" s="62"/>
      <c r="G795" s="63"/>
      <c r="H795" s="64"/>
      <c r="I795" s="69"/>
      <c r="J795" s="64"/>
      <c r="K795" s="62"/>
      <c r="L795" s="62"/>
      <c r="M795" s="62"/>
      <c r="N795" s="62"/>
      <c r="O795" s="62"/>
      <c r="P795" s="62"/>
      <c r="Q795" s="62"/>
      <c r="R795" s="62"/>
      <c r="S795" s="62"/>
    </row>
    <row r="796">
      <c r="A796" s="68"/>
      <c r="B796" s="68"/>
      <c r="C796" s="62"/>
      <c r="D796" s="62"/>
      <c r="E796" s="62"/>
      <c r="F796" s="62"/>
      <c r="G796" s="63"/>
      <c r="H796" s="64"/>
      <c r="I796" s="69"/>
      <c r="J796" s="64"/>
      <c r="K796" s="62"/>
      <c r="L796" s="62"/>
      <c r="M796" s="62"/>
      <c r="N796" s="62"/>
      <c r="O796" s="62"/>
      <c r="P796" s="62"/>
      <c r="Q796" s="62"/>
      <c r="R796" s="62"/>
      <c r="S796" s="62"/>
    </row>
    <row r="797">
      <c r="A797" s="68"/>
      <c r="B797" s="68"/>
      <c r="C797" s="62"/>
      <c r="D797" s="62"/>
      <c r="E797" s="62"/>
      <c r="F797" s="62"/>
      <c r="G797" s="63"/>
      <c r="H797" s="64"/>
      <c r="I797" s="69"/>
      <c r="J797" s="64"/>
      <c r="K797" s="62"/>
      <c r="L797" s="62"/>
      <c r="M797" s="62"/>
      <c r="N797" s="62"/>
      <c r="O797" s="62"/>
      <c r="P797" s="62"/>
      <c r="Q797" s="62"/>
      <c r="R797" s="62"/>
      <c r="S797" s="62"/>
    </row>
    <row r="798">
      <c r="A798" s="68"/>
      <c r="B798" s="68"/>
      <c r="C798" s="62"/>
      <c r="D798" s="62"/>
      <c r="E798" s="62"/>
      <c r="F798" s="62"/>
      <c r="G798" s="63"/>
      <c r="H798" s="64"/>
      <c r="I798" s="69"/>
      <c r="J798" s="64"/>
      <c r="K798" s="62"/>
      <c r="L798" s="62"/>
      <c r="M798" s="62"/>
      <c r="N798" s="62"/>
      <c r="O798" s="62"/>
      <c r="P798" s="62"/>
      <c r="Q798" s="62"/>
      <c r="R798" s="62"/>
      <c r="S798" s="62"/>
    </row>
    <row r="799">
      <c r="A799" s="68"/>
      <c r="B799" s="68"/>
      <c r="C799" s="62"/>
      <c r="D799" s="62"/>
      <c r="E799" s="62"/>
      <c r="F799" s="62"/>
      <c r="G799" s="63"/>
      <c r="H799" s="64"/>
      <c r="I799" s="69"/>
      <c r="J799" s="64"/>
      <c r="K799" s="62"/>
      <c r="L799" s="62"/>
      <c r="M799" s="62"/>
      <c r="N799" s="62"/>
      <c r="O799" s="62"/>
      <c r="P799" s="62"/>
      <c r="Q799" s="62"/>
      <c r="R799" s="62"/>
      <c r="S799" s="62"/>
    </row>
    <row r="800">
      <c r="A800" s="68"/>
      <c r="B800" s="68"/>
      <c r="C800" s="62"/>
      <c r="D800" s="62"/>
      <c r="E800" s="62"/>
      <c r="F800" s="62"/>
      <c r="G800" s="63"/>
      <c r="H800" s="64"/>
      <c r="I800" s="69"/>
      <c r="J800" s="64"/>
      <c r="K800" s="62"/>
      <c r="L800" s="62"/>
      <c r="M800" s="62"/>
      <c r="N800" s="62"/>
      <c r="O800" s="62"/>
      <c r="P800" s="62"/>
      <c r="Q800" s="62"/>
      <c r="R800" s="62"/>
      <c r="S800" s="62"/>
    </row>
    <row r="801">
      <c r="A801" s="68"/>
      <c r="B801" s="68"/>
      <c r="C801" s="62"/>
      <c r="D801" s="62"/>
      <c r="E801" s="62"/>
      <c r="F801" s="62"/>
      <c r="G801" s="63"/>
      <c r="H801" s="64"/>
      <c r="I801" s="69"/>
      <c r="J801" s="64"/>
      <c r="K801" s="62"/>
      <c r="L801" s="62"/>
      <c r="M801" s="62"/>
      <c r="N801" s="62"/>
      <c r="O801" s="62"/>
      <c r="P801" s="62"/>
      <c r="Q801" s="62"/>
      <c r="R801" s="62"/>
      <c r="S801" s="62"/>
    </row>
    <row r="802">
      <c r="A802" s="68"/>
      <c r="B802" s="68"/>
      <c r="C802" s="62"/>
      <c r="D802" s="62"/>
      <c r="E802" s="62"/>
      <c r="F802" s="62"/>
      <c r="G802" s="63"/>
      <c r="H802" s="64"/>
      <c r="I802" s="69"/>
      <c r="J802" s="64"/>
      <c r="K802" s="62"/>
      <c r="L802" s="62"/>
      <c r="M802" s="62"/>
      <c r="N802" s="62"/>
      <c r="O802" s="62"/>
      <c r="P802" s="62"/>
      <c r="Q802" s="62"/>
      <c r="R802" s="62"/>
      <c r="S802" s="62"/>
    </row>
    <row r="803">
      <c r="A803" s="68"/>
      <c r="B803" s="68"/>
      <c r="C803" s="62"/>
      <c r="D803" s="62"/>
      <c r="E803" s="62"/>
      <c r="F803" s="62"/>
      <c r="G803" s="63"/>
      <c r="H803" s="64"/>
      <c r="I803" s="69"/>
      <c r="J803" s="64"/>
      <c r="K803" s="62"/>
      <c r="L803" s="62"/>
      <c r="M803" s="62"/>
      <c r="N803" s="62"/>
      <c r="O803" s="62"/>
      <c r="P803" s="62"/>
      <c r="Q803" s="62"/>
      <c r="R803" s="62"/>
      <c r="S803" s="62"/>
    </row>
    <row r="804">
      <c r="A804" s="68"/>
      <c r="B804" s="68"/>
      <c r="C804" s="62"/>
      <c r="D804" s="62"/>
      <c r="E804" s="62"/>
      <c r="F804" s="62"/>
      <c r="G804" s="63"/>
      <c r="H804" s="64"/>
      <c r="I804" s="69"/>
      <c r="J804" s="64"/>
      <c r="K804" s="62"/>
      <c r="L804" s="62"/>
      <c r="M804" s="62"/>
      <c r="N804" s="62"/>
      <c r="O804" s="62"/>
      <c r="P804" s="62"/>
      <c r="Q804" s="62"/>
      <c r="R804" s="62"/>
      <c r="S804" s="62"/>
    </row>
    <row r="805">
      <c r="A805" s="68"/>
      <c r="B805" s="68"/>
      <c r="C805" s="62"/>
      <c r="D805" s="62"/>
      <c r="E805" s="62"/>
      <c r="F805" s="62"/>
      <c r="G805" s="63"/>
      <c r="H805" s="64"/>
      <c r="I805" s="69"/>
      <c r="J805" s="64"/>
      <c r="K805" s="62"/>
      <c r="L805" s="62"/>
      <c r="M805" s="62"/>
      <c r="N805" s="62"/>
      <c r="O805" s="62"/>
      <c r="P805" s="62"/>
      <c r="Q805" s="62"/>
      <c r="R805" s="62"/>
      <c r="S805" s="62"/>
    </row>
    <row r="806">
      <c r="A806" s="68"/>
      <c r="B806" s="68"/>
      <c r="C806" s="62"/>
      <c r="D806" s="62"/>
      <c r="E806" s="62"/>
      <c r="F806" s="62"/>
      <c r="G806" s="63"/>
      <c r="H806" s="64"/>
      <c r="I806" s="69"/>
      <c r="J806" s="64"/>
      <c r="K806" s="62"/>
      <c r="L806" s="62"/>
      <c r="M806" s="62"/>
      <c r="N806" s="62"/>
      <c r="O806" s="62"/>
      <c r="P806" s="62"/>
      <c r="Q806" s="62"/>
      <c r="R806" s="62"/>
      <c r="S806" s="62"/>
    </row>
    <row r="807">
      <c r="A807" s="68"/>
      <c r="B807" s="68"/>
      <c r="C807" s="62"/>
      <c r="D807" s="62"/>
      <c r="E807" s="62"/>
      <c r="F807" s="62"/>
      <c r="G807" s="63"/>
      <c r="H807" s="64"/>
      <c r="I807" s="69"/>
      <c r="J807" s="64"/>
      <c r="K807" s="62"/>
      <c r="L807" s="62"/>
      <c r="M807" s="62"/>
      <c r="N807" s="62"/>
      <c r="O807" s="62"/>
      <c r="P807" s="62"/>
      <c r="Q807" s="62"/>
      <c r="R807" s="62"/>
      <c r="S807" s="62"/>
    </row>
    <row r="808">
      <c r="A808" s="68"/>
      <c r="B808" s="68"/>
      <c r="C808" s="62"/>
      <c r="D808" s="62"/>
      <c r="E808" s="62"/>
      <c r="F808" s="62"/>
      <c r="G808" s="63"/>
      <c r="H808" s="64"/>
      <c r="I808" s="69"/>
      <c r="J808" s="64"/>
      <c r="K808" s="62"/>
      <c r="L808" s="62"/>
      <c r="M808" s="62"/>
      <c r="N808" s="62"/>
      <c r="O808" s="62"/>
      <c r="P808" s="62"/>
      <c r="Q808" s="62"/>
      <c r="R808" s="62"/>
      <c r="S808" s="62"/>
    </row>
    <row r="809">
      <c r="A809" s="68"/>
      <c r="B809" s="68"/>
      <c r="C809" s="62"/>
      <c r="D809" s="62"/>
      <c r="E809" s="62"/>
      <c r="F809" s="62"/>
      <c r="G809" s="63"/>
      <c r="H809" s="64"/>
      <c r="I809" s="69"/>
      <c r="J809" s="64"/>
      <c r="K809" s="62"/>
      <c r="L809" s="62"/>
      <c r="M809" s="62"/>
      <c r="N809" s="62"/>
      <c r="O809" s="62"/>
      <c r="P809" s="62"/>
      <c r="Q809" s="62"/>
      <c r="R809" s="62"/>
      <c r="S809" s="62"/>
    </row>
    <row r="810">
      <c r="A810" s="68"/>
      <c r="B810" s="68"/>
      <c r="C810" s="62"/>
      <c r="D810" s="62"/>
      <c r="E810" s="62"/>
      <c r="F810" s="62"/>
      <c r="G810" s="63"/>
      <c r="H810" s="64"/>
      <c r="I810" s="69"/>
      <c r="J810" s="64"/>
      <c r="K810" s="62"/>
      <c r="L810" s="62"/>
      <c r="M810" s="62"/>
      <c r="N810" s="62"/>
      <c r="O810" s="62"/>
      <c r="P810" s="62"/>
      <c r="Q810" s="62"/>
      <c r="R810" s="62"/>
      <c r="S810" s="62"/>
    </row>
    <row r="811">
      <c r="A811" s="68"/>
      <c r="B811" s="68"/>
      <c r="C811" s="62"/>
      <c r="D811" s="62"/>
      <c r="E811" s="62"/>
      <c r="F811" s="62"/>
      <c r="G811" s="63"/>
      <c r="H811" s="64"/>
      <c r="I811" s="69"/>
      <c r="J811" s="64"/>
      <c r="K811" s="62"/>
      <c r="L811" s="62"/>
      <c r="M811" s="62"/>
      <c r="N811" s="62"/>
      <c r="O811" s="62"/>
      <c r="P811" s="62"/>
      <c r="Q811" s="62"/>
      <c r="R811" s="62"/>
      <c r="S811" s="62"/>
    </row>
    <row r="812">
      <c r="A812" s="68"/>
      <c r="B812" s="68"/>
      <c r="C812" s="62"/>
      <c r="D812" s="62"/>
      <c r="E812" s="62"/>
      <c r="F812" s="62"/>
      <c r="G812" s="63"/>
      <c r="H812" s="64"/>
      <c r="I812" s="69"/>
      <c r="J812" s="64"/>
      <c r="K812" s="62"/>
      <c r="L812" s="62"/>
      <c r="M812" s="62"/>
      <c r="N812" s="62"/>
      <c r="O812" s="62"/>
      <c r="P812" s="62"/>
      <c r="Q812" s="62"/>
      <c r="R812" s="62"/>
      <c r="S812" s="62"/>
    </row>
    <row r="813">
      <c r="A813" s="68"/>
      <c r="B813" s="68"/>
      <c r="C813" s="62"/>
      <c r="D813" s="62"/>
      <c r="E813" s="62"/>
      <c r="F813" s="62"/>
      <c r="G813" s="63"/>
      <c r="H813" s="64"/>
      <c r="I813" s="69"/>
      <c r="J813" s="64"/>
      <c r="K813" s="62"/>
      <c r="L813" s="62"/>
      <c r="M813" s="62"/>
      <c r="N813" s="62"/>
      <c r="O813" s="62"/>
      <c r="P813" s="62"/>
      <c r="Q813" s="62"/>
      <c r="R813" s="62"/>
      <c r="S813" s="62"/>
    </row>
    <row r="814">
      <c r="A814" s="68"/>
      <c r="B814" s="68"/>
      <c r="C814" s="62"/>
      <c r="D814" s="62"/>
      <c r="E814" s="62"/>
      <c r="F814" s="62"/>
      <c r="G814" s="63"/>
      <c r="H814" s="64"/>
      <c r="I814" s="69"/>
      <c r="J814" s="64"/>
      <c r="K814" s="62"/>
      <c r="L814" s="62"/>
      <c r="M814" s="62"/>
      <c r="N814" s="62"/>
      <c r="O814" s="62"/>
      <c r="P814" s="62"/>
      <c r="Q814" s="62"/>
      <c r="R814" s="62"/>
      <c r="S814" s="62"/>
    </row>
    <row r="815">
      <c r="A815" s="68"/>
      <c r="B815" s="68"/>
      <c r="C815" s="62"/>
      <c r="D815" s="62"/>
      <c r="E815" s="62"/>
      <c r="F815" s="62"/>
      <c r="G815" s="63"/>
      <c r="H815" s="64"/>
      <c r="I815" s="69"/>
      <c r="J815" s="64"/>
      <c r="K815" s="62"/>
      <c r="L815" s="62"/>
      <c r="M815" s="62"/>
      <c r="N815" s="62"/>
      <c r="O815" s="62"/>
      <c r="P815" s="62"/>
      <c r="Q815" s="62"/>
      <c r="R815" s="62"/>
      <c r="S815" s="62"/>
    </row>
    <row r="816">
      <c r="A816" s="68"/>
      <c r="B816" s="68"/>
      <c r="C816" s="62"/>
      <c r="D816" s="62"/>
      <c r="E816" s="62"/>
      <c r="F816" s="62"/>
      <c r="G816" s="63"/>
      <c r="H816" s="64"/>
      <c r="I816" s="69"/>
      <c r="J816" s="64"/>
      <c r="K816" s="62"/>
      <c r="L816" s="62"/>
      <c r="M816" s="62"/>
      <c r="N816" s="62"/>
      <c r="O816" s="62"/>
      <c r="P816" s="62"/>
      <c r="Q816" s="62"/>
      <c r="R816" s="62"/>
      <c r="S816" s="62"/>
    </row>
    <row r="817">
      <c r="A817" s="68"/>
      <c r="B817" s="68"/>
      <c r="C817" s="62"/>
      <c r="D817" s="62"/>
      <c r="E817" s="62"/>
      <c r="F817" s="62"/>
      <c r="G817" s="63"/>
      <c r="H817" s="64"/>
      <c r="I817" s="69"/>
      <c r="J817" s="64"/>
      <c r="K817" s="62"/>
      <c r="L817" s="62"/>
      <c r="M817" s="62"/>
      <c r="N817" s="62"/>
      <c r="O817" s="62"/>
      <c r="P817" s="62"/>
      <c r="Q817" s="62"/>
      <c r="R817" s="62"/>
      <c r="S817" s="62"/>
    </row>
    <row r="818">
      <c r="A818" s="68"/>
      <c r="B818" s="68"/>
      <c r="C818" s="62"/>
      <c r="D818" s="62"/>
      <c r="E818" s="62"/>
      <c r="F818" s="62"/>
      <c r="G818" s="63"/>
      <c r="H818" s="64"/>
      <c r="I818" s="69"/>
      <c r="J818" s="64"/>
      <c r="K818" s="62"/>
      <c r="L818" s="62"/>
      <c r="M818" s="62"/>
      <c r="N818" s="62"/>
      <c r="O818" s="62"/>
      <c r="P818" s="62"/>
      <c r="Q818" s="62"/>
      <c r="R818" s="62"/>
      <c r="S818" s="62"/>
    </row>
    <row r="819">
      <c r="A819" s="68"/>
      <c r="B819" s="68"/>
      <c r="C819" s="62"/>
      <c r="D819" s="62"/>
      <c r="E819" s="62"/>
      <c r="F819" s="62"/>
      <c r="G819" s="63"/>
      <c r="H819" s="64"/>
      <c r="I819" s="69"/>
      <c r="J819" s="64"/>
      <c r="K819" s="62"/>
      <c r="L819" s="62"/>
      <c r="M819" s="62"/>
      <c r="N819" s="62"/>
      <c r="O819" s="62"/>
      <c r="P819" s="62"/>
      <c r="Q819" s="62"/>
      <c r="R819" s="62"/>
      <c r="S819" s="62"/>
    </row>
    <row r="820">
      <c r="A820" s="68"/>
      <c r="B820" s="68"/>
      <c r="C820" s="62"/>
      <c r="D820" s="62"/>
      <c r="E820" s="62"/>
      <c r="F820" s="62"/>
      <c r="G820" s="63"/>
      <c r="H820" s="64"/>
      <c r="I820" s="69"/>
      <c r="J820" s="64"/>
      <c r="K820" s="62"/>
      <c r="L820" s="62"/>
      <c r="M820" s="62"/>
      <c r="N820" s="62"/>
      <c r="O820" s="62"/>
      <c r="P820" s="62"/>
      <c r="Q820" s="62"/>
      <c r="R820" s="62"/>
      <c r="S820" s="62"/>
    </row>
    <row r="821">
      <c r="A821" s="68"/>
      <c r="B821" s="68"/>
      <c r="C821" s="62"/>
      <c r="D821" s="62"/>
      <c r="E821" s="62"/>
      <c r="F821" s="62"/>
      <c r="G821" s="63"/>
      <c r="H821" s="64"/>
      <c r="I821" s="69"/>
      <c r="J821" s="64"/>
      <c r="K821" s="62"/>
      <c r="L821" s="62"/>
      <c r="M821" s="62"/>
      <c r="N821" s="62"/>
      <c r="O821" s="62"/>
      <c r="P821" s="62"/>
      <c r="Q821" s="62"/>
      <c r="R821" s="62"/>
      <c r="S821" s="62"/>
    </row>
    <row r="822">
      <c r="A822" s="68"/>
      <c r="B822" s="68"/>
      <c r="C822" s="62"/>
      <c r="D822" s="62"/>
      <c r="E822" s="62"/>
      <c r="F822" s="62"/>
      <c r="G822" s="63"/>
      <c r="H822" s="64"/>
      <c r="I822" s="69"/>
      <c r="J822" s="64"/>
      <c r="K822" s="62"/>
      <c r="L822" s="62"/>
      <c r="M822" s="62"/>
      <c r="N822" s="62"/>
      <c r="O822" s="62"/>
      <c r="P822" s="62"/>
      <c r="Q822" s="62"/>
      <c r="R822" s="62"/>
      <c r="S822" s="62"/>
    </row>
    <row r="823">
      <c r="A823" s="68"/>
      <c r="B823" s="68"/>
      <c r="C823" s="62"/>
      <c r="D823" s="62"/>
      <c r="E823" s="62"/>
      <c r="F823" s="62"/>
      <c r="G823" s="63"/>
      <c r="H823" s="64"/>
      <c r="I823" s="69"/>
      <c r="J823" s="64"/>
      <c r="K823" s="62"/>
      <c r="L823" s="62"/>
      <c r="M823" s="62"/>
      <c r="N823" s="62"/>
      <c r="O823" s="62"/>
      <c r="P823" s="62"/>
      <c r="Q823" s="62"/>
      <c r="R823" s="62"/>
      <c r="S823" s="62"/>
    </row>
    <row r="824">
      <c r="A824" s="68"/>
      <c r="B824" s="68"/>
      <c r="C824" s="62"/>
      <c r="D824" s="62"/>
      <c r="E824" s="62"/>
      <c r="F824" s="62"/>
      <c r="G824" s="63"/>
      <c r="H824" s="64"/>
      <c r="I824" s="69"/>
      <c r="J824" s="64"/>
      <c r="K824" s="62"/>
      <c r="L824" s="62"/>
      <c r="M824" s="62"/>
      <c r="N824" s="62"/>
      <c r="O824" s="62"/>
      <c r="P824" s="62"/>
      <c r="Q824" s="62"/>
      <c r="R824" s="62"/>
      <c r="S824" s="62"/>
    </row>
    <row r="825">
      <c r="A825" s="68"/>
      <c r="B825" s="68"/>
      <c r="C825" s="62"/>
      <c r="D825" s="62"/>
      <c r="E825" s="62"/>
      <c r="F825" s="62"/>
      <c r="G825" s="63"/>
      <c r="H825" s="64"/>
      <c r="I825" s="69"/>
      <c r="J825" s="64"/>
      <c r="K825" s="62"/>
      <c r="L825" s="62"/>
      <c r="M825" s="62"/>
      <c r="N825" s="62"/>
      <c r="O825" s="62"/>
      <c r="P825" s="62"/>
      <c r="Q825" s="62"/>
      <c r="R825" s="62"/>
      <c r="S825" s="62"/>
    </row>
    <row r="826">
      <c r="A826" s="68"/>
      <c r="B826" s="68"/>
      <c r="C826" s="62"/>
      <c r="D826" s="62"/>
      <c r="E826" s="62"/>
      <c r="F826" s="62"/>
      <c r="G826" s="63"/>
      <c r="H826" s="64"/>
      <c r="I826" s="69"/>
      <c r="J826" s="64"/>
      <c r="K826" s="62"/>
      <c r="L826" s="62"/>
      <c r="M826" s="62"/>
      <c r="N826" s="62"/>
      <c r="O826" s="62"/>
      <c r="P826" s="62"/>
      <c r="Q826" s="62"/>
      <c r="R826" s="62"/>
      <c r="S826" s="62"/>
    </row>
    <row r="827">
      <c r="A827" s="68"/>
      <c r="B827" s="68"/>
      <c r="C827" s="62"/>
      <c r="D827" s="62"/>
      <c r="E827" s="62"/>
      <c r="F827" s="62"/>
      <c r="G827" s="63"/>
      <c r="H827" s="64"/>
      <c r="I827" s="69"/>
      <c r="J827" s="64"/>
      <c r="K827" s="62"/>
      <c r="L827" s="62"/>
      <c r="M827" s="62"/>
      <c r="N827" s="62"/>
      <c r="O827" s="62"/>
      <c r="P827" s="62"/>
      <c r="Q827" s="62"/>
      <c r="R827" s="62"/>
      <c r="S827" s="62"/>
    </row>
    <row r="828">
      <c r="A828" s="68"/>
      <c r="B828" s="68"/>
      <c r="C828" s="62"/>
      <c r="D828" s="62"/>
      <c r="E828" s="62"/>
      <c r="F828" s="62"/>
      <c r="G828" s="63"/>
      <c r="H828" s="64"/>
      <c r="I828" s="69"/>
      <c r="J828" s="64"/>
      <c r="K828" s="62"/>
      <c r="L828" s="62"/>
      <c r="M828" s="62"/>
      <c r="N828" s="62"/>
      <c r="O828" s="62"/>
      <c r="P828" s="62"/>
      <c r="Q828" s="62"/>
      <c r="R828" s="62"/>
      <c r="S828" s="62"/>
    </row>
    <row r="829">
      <c r="A829" s="68"/>
      <c r="B829" s="68"/>
      <c r="C829" s="62"/>
      <c r="D829" s="62"/>
      <c r="E829" s="62"/>
      <c r="F829" s="62"/>
      <c r="G829" s="63"/>
      <c r="H829" s="64"/>
      <c r="I829" s="69"/>
      <c r="J829" s="64"/>
      <c r="K829" s="62"/>
      <c r="L829" s="62"/>
      <c r="M829" s="62"/>
      <c r="N829" s="62"/>
      <c r="O829" s="62"/>
      <c r="P829" s="62"/>
      <c r="Q829" s="62"/>
      <c r="R829" s="62"/>
      <c r="S829" s="62"/>
    </row>
    <row r="830">
      <c r="A830" s="68"/>
      <c r="B830" s="68"/>
      <c r="C830" s="62"/>
      <c r="D830" s="62"/>
      <c r="E830" s="62"/>
      <c r="F830" s="62"/>
      <c r="G830" s="63"/>
      <c r="H830" s="64"/>
      <c r="I830" s="69"/>
      <c r="J830" s="64"/>
      <c r="K830" s="62"/>
      <c r="L830" s="62"/>
      <c r="M830" s="62"/>
      <c r="N830" s="62"/>
      <c r="O830" s="62"/>
      <c r="P830" s="62"/>
      <c r="Q830" s="62"/>
      <c r="R830" s="62"/>
      <c r="S830" s="62"/>
    </row>
    <row r="831">
      <c r="A831" s="68"/>
      <c r="B831" s="68"/>
      <c r="C831" s="62"/>
      <c r="D831" s="62"/>
      <c r="E831" s="62"/>
      <c r="F831" s="62"/>
      <c r="G831" s="63"/>
      <c r="H831" s="64"/>
      <c r="I831" s="69"/>
      <c r="J831" s="64"/>
      <c r="K831" s="62"/>
      <c r="L831" s="62"/>
      <c r="M831" s="62"/>
      <c r="N831" s="62"/>
      <c r="O831" s="62"/>
      <c r="P831" s="62"/>
      <c r="Q831" s="62"/>
      <c r="R831" s="62"/>
      <c r="S831" s="62"/>
    </row>
    <row r="832">
      <c r="A832" s="68"/>
      <c r="B832" s="68"/>
      <c r="C832" s="62"/>
      <c r="D832" s="62"/>
      <c r="E832" s="62"/>
      <c r="F832" s="62"/>
      <c r="G832" s="63"/>
      <c r="H832" s="64"/>
      <c r="I832" s="69"/>
      <c r="J832" s="64"/>
      <c r="K832" s="62"/>
      <c r="L832" s="62"/>
      <c r="M832" s="62"/>
      <c r="N832" s="62"/>
      <c r="O832" s="62"/>
      <c r="P832" s="62"/>
      <c r="Q832" s="62"/>
      <c r="R832" s="62"/>
      <c r="S832" s="62"/>
    </row>
    <row r="833">
      <c r="A833" s="68"/>
      <c r="B833" s="68"/>
      <c r="C833" s="62"/>
      <c r="D833" s="62"/>
      <c r="E833" s="62"/>
      <c r="F833" s="62"/>
      <c r="G833" s="63"/>
      <c r="H833" s="64"/>
      <c r="I833" s="69"/>
      <c r="J833" s="64"/>
      <c r="K833" s="62"/>
      <c r="L833" s="62"/>
      <c r="M833" s="62"/>
      <c r="N833" s="62"/>
      <c r="O833" s="62"/>
      <c r="P833" s="62"/>
      <c r="Q833" s="62"/>
      <c r="R833" s="62"/>
      <c r="S833" s="62"/>
    </row>
    <row r="834">
      <c r="A834" s="68"/>
      <c r="B834" s="68"/>
      <c r="C834" s="62"/>
      <c r="D834" s="62"/>
      <c r="E834" s="62"/>
      <c r="F834" s="62"/>
      <c r="G834" s="63"/>
      <c r="H834" s="64"/>
      <c r="I834" s="69"/>
      <c r="J834" s="64"/>
      <c r="K834" s="62"/>
      <c r="L834" s="62"/>
      <c r="M834" s="62"/>
      <c r="N834" s="62"/>
      <c r="O834" s="62"/>
      <c r="P834" s="62"/>
      <c r="Q834" s="62"/>
      <c r="R834" s="62"/>
      <c r="S834" s="62"/>
    </row>
    <row r="835">
      <c r="A835" s="68"/>
      <c r="B835" s="68"/>
      <c r="C835" s="62"/>
      <c r="D835" s="62"/>
      <c r="E835" s="62"/>
      <c r="F835" s="62"/>
      <c r="G835" s="63"/>
      <c r="H835" s="64"/>
      <c r="I835" s="69"/>
      <c r="J835" s="64"/>
      <c r="K835" s="62"/>
      <c r="L835" s="62"/>
      <c r="M835" s="62"/>
      <c r="N835" s="62"/>
      <c r="O835" s="62"/>
      <c r="P835" s="62"/>
      <c r="Q835" s="62"/>
      <c r="R835" s="62"/>
      <c r="S835" s="62"/>
    </row>
    <row r="836">
      <c r="A836" s="68"/>
      <c r="B836" s="68"/>
      <c r="C836" s="62"/>
      <c r="D836" s="62"/>
      <c r="E836" s="62"/>
      <c r="F836" s="62"/>
      <c r="G836" s="63"/>
      <c r="H836" s="64"/>
      <c r="I836" s="69"/>
      <c r="J836" s="64"/>
      <c r="K836" s="62"/>
      <c r="L836" s="62"/>
      <c r="M836" s="62"/>
      <c r="N836" s="62"/>
      <c r="O836" s="62"/>
      <c r="P836" s="62"/>
      <c r="Q836" s="62"/>
      <c r="R836" s="62"/>
      <c r="S836" s="62"/>
    </row>
    <row r="837">
      <c r="A837" s="68"/>
      <c r="B837" s="68"/>
      <c r="C837" s="62"/>
      <c r="D837" s="62"/>
      <c r="E837" s="62"/>
      <c r="F837" s="62"/>
      <c r="G837" s="63"/>
      <c r="H837" s="64"/>
      <c r="I837" s="69"/>
      <c r="J837" s="64"/>
      <c r="K837" s="62"/>
      <c r="L837" s="62"/>
      <c r="M837" s="62"/>
      <c r="N837" s="62"/>
      <c r="O837" s="62"/>
      <c r="P837" s="62"/>
      <c r="Q837" s="62"/>
      <c r="R837" s="62"/>
      <c r="S837" s="62"/>
    </row>
    <row r="838">
      <c r="A838" s="68"/>
      <c r="B838" s="68"/>
      <c r="C838" s="62"/>
      <c r="D838" s="62"/>
      <c r="E838" s="62"/>
      <c r="F838" s="62"/>
      <c r="G838" s="63"/>
      <c r="H838" s="64"/>
      <c r="I838" s="69"/>
      <c r="J838" s="64"/>
      <c r="K838" s="62"/>
      <c r="L838" s="62"/>
      <c r="M838" s="62"/>
      <c r="N838" s="62"/>
      <c r="O838" s="62"/>
      <c r="P838" s="62"/>
      <c r="Q838" s="62"/>
      <c r="R838" s="62"/>
      <c r="S838" s="62"/>
    </row>
    <row r="839">
      <c r="A839" s="68"/>
      <c r="B839" s="68"/>
      <c r="C839" s="62"/>
      <c r="D839" s="62"/>
      <c r="E839" s="62"/>
      <c r="F839" s="62"/>
      <c r="G839" s="63"/>
      <c r="H839" s="64"/>
      <c r="I839" s="69"/>
      <c r="J839" s="64"/>
      <c r="K839" s="62"/>
      <c r="L839" s="62"/>
      <c r="M839" s="62"/>
      <c r="N839" s="62"/>
      <c r="O839" s="62"/>
      <c r="P839" s="62"/>
      <c r="Q839" s="62"/>
      <c r="R839" s="62"/>
      <c r="S839" s="62"/>
    </row>
    <row r="840">
      <c r="A840" s="68"/>
      <c r="B840" s="68"/>
      <c r="C840" s="62"/>
      <c r="D840" s="62"/>
      <c r="E840" s="62"/>
      <c r="F840" s="62"/>
      <c r="G840" s="63"/>
      <c r="H840" s="64"/>
      <c r="I840" s="69"/>
      <c r="J840" s="64"/>
      <c r="K840" s="62"/>
      <c r="L840" s="62"/>
      <c r="M840" s="62"/>
      <c r="N840" s="62"/>
      <c r="O840" s="62"/>
      <c r="P840" s="62"/>
      <c r="Q840" s="62"/>
      <c r="R840" s="62"/>
      <c r="S840" s="62"/>
    </row>
    <row r="841">
      <c r="A841" s="68"/>
      <c r="B841" s="68"/>
      <c r="C841" s="62"/>
      <c r="D841" s="62"/>
      <c r="E841" s="62"/>
      <c r="F841" s="62"/>
      <c r="G841" s="63"/>
      <c r="H841" s="64"/>
      <c r="I841" s="69"/>
      <c r="J841" s="64"/>
      <c r="K841" s="62"/>
      <c r="L841" s="62"/>
      <c r="M841" s="62"/>
      <c r="N841" s="62"/>
      <c r="O841" s="62"/>
      <c r="P841" s="62"/>
      <c r="Q841" s="62"/>
      <c r="R841" s="62"/>
      <c r="S841" s="62"/>
    </row>
    <row r="842">
      <c r="A842" s="68"/>
      <c r="B842" s="68"/>
      <c r="C842" s="62"/>
      <c r="D842" s="62"/>
      <c r="E842" s="62"/>
      <c r="F842" s="62"/>
      <c r="G842" s="63"/>
      <c r="H842" s="64"/>
      <c r="I842" s="69"/>
      <c r="J842" s="64"/>
      <c r="K842" s="62"/>
      <c r="L842" s="62"/>
      <c r="M842" s="62"/>
      <c r="N842" s="62"/>
      <c r="O842" s="62"/>
      <c r="P842" s="62"/>
      <c r="Q842" s="62"/>
      <c r="R842" s="62"/>
      <c r="S842" s="62"/>
    </row>
    <row r="843">
      <c r="A843" s="68"/>
      <c r="B843" s="68"/>
      <c r="C843" s="62"/>
      <c r="D843" s="62"/>
      <c r="E843" s="62"/>
      <c r="F843" s="62"/>
      <c r="G843" s="63"/>
      <c r="H843" s="64"/>
      <c r="I843" s="69"/>
      <c r="J843" s="64"/>
      <c r="K843" s="62"/>
      <c r="L843" s="62"/>
      <c r="M843" s="62"/>
      <c r="N843" s="62"/>
      <c r="O843" s="62"/>
      <c r="P843" s="62"/>
      <c r="Q843" s="62"/>
      <c r="R843" s="62"/>
      <c r="S843" s="62"/>
    </row>
    <row r="844">
      <c r="A844" s="68"/>
      <c r="B844" s="68"/>
      <c r="C844" s="62"/>
      <c r="D844" s="62"/>
      <c r="E844" s="62"/>
      <c r="F844" s="62"/>
      <c r="G844" s="63"/>
      <c r="H844" s="64"/>
      <c r="I844" s="69"/>
      <c r="J844" s="64"/>
      <c r="K844" s="62"/>
      <c r="L844" s="62"/>
      <c r="M844" s="62"/>
      <c r="N844" s="62"/>
      <c r="O844" s="62"/>
      <c r="P844" s="62"/>
      <c r="Q844" s="62"/>
      <c r="R844" s="62"/>
      <c r="S844" s="62"/>
    </row>
    <row r="845">
      <c r="A845" s="68"/>
      <c r="B845" s="68"/>
      <c r="C845" s="62"/>
      <c r="D845" s="62"/>
      <c r="E845" s="62"/>
      <c r="F845" s="62"/>
      <c r="G845" s="63"/>
      <c r="H845" s="64"/>
      <c r="I845" s="69"/>
      <c r="J845" s="64"/>
      <c r="K845" s="62"/>
      <c r="L845" s="62"/>
      <c r="M845" s="62"/>
      <c r="N845" s="62"/>
      <c r="O845" s="62"/>
      <c r="P845" s="62"/>
      <c r="Q845" s="62"/>
      <c r="R845" s="62"/>
      <c r="S845" s="62"/>
    </row>
    <row r="846">
      <c r="A846" s="68"/>
      <c r="B846" s="68"/>
      <c r="C846" s="62"/>
      <c r="D846" s="62"/>
      <c r="E846" s="62"/>
      <c r="F846" s="62"/>
      <c r="G846" s="63"/>
      <c r="H846" s="64"/>
      <c r="I846" s="69"/>
      <c r="J846" s="64"/>
      <c r="K846" s="62"/>
      <c r="L846" s="62"/>
      <c r="M846" s="62"/>
      <c r="N846" s="62"/>
      <c r="O846" s="62"/>
      <c r="P846" s="62"/>
      <c r="Q846" s="62"/>
      <c r="R846" s="62"/>
      <c r="S846" s="62"/>
    </row>
    <row r="847">
      <c r="A847" s="68"/>
      <c r="B847" s="68"/>
      <c r="C847" s="62"/>
      <c r="D847" s="62"/>
      <c r="E847" s="62"/>
      <c r="F847" s="62"/>
      <c r="G847" s="63"/>
      <c r="H847" s="64"/>
      <c r="I847" s="69"/>
      <c r="J847" s="64"/>
      <c r="K847" s="62"/>
      <c r="L847" s="62"/>
      <c r="M847" s="62"/>
      <c r="N847" s="62"/>
      <c r="O847" s="62"/>
      <c r="P847" s="62"/>
      <c r="Q847" s="62"/>
      <c r="R847" s="62"/>
      <c r="S847" s="62"/>
    </row>
    <row r="848">
      <c r="A848" s="68"/>
      <c r="B848" s="68"/>
      <c r="C848" s="62"/>
      <c r="D848" s="62"/>
      <c r="E848" s="62"/>
      <c r="F848" s="62"/>
      <c r="G848" s="63"/>
      <c r="H848" s="64"/>
      <c r="I848" s="69"/>
      <c r="J848" s="64"/>
      <c r="K848" s="62"/>
      <c r="L848" s="62"/>
      <c r="M848" s="62"/>
      <c r="N848" s="62"/>
      <c r="O848" s="62"/>
      <c r="P848" s="62"/>
      <c r="Q848" s="62"/>
      <c r="R848" s="62"/>
      <c r="S848" s="62"/>
    </row>
    <row r="849">
      <c r="A849" s="68"/>
      <c r="B849" s="68"/>
      <c r="C849" s="62"/>
      <c r="D849" s="62"/>
      <c r="E849" s="62"/>
      <c r="F849" s="62"/>
      <c r="G849" s="63"/>
      <c r="H849" s="64"/>
      <c r="I849" s="69"/>
      <c r="J849" s="64"/>
      <c r="K849" s="62"/>
      <c r="L849" s="62"/>
      <c r="M849" s="62"/>
      <c r="N849" s="62"/>
      <c r="O849" s="62"/>
      <c r="P849" s="62"/>
      <c r="Q849" s="62"/>
      <c r="R849" s="62"/>
      <c r="S849" s="62"/>
    </row>
    <row r="850">
      <c r="A850" s="68"/>
      <c r="B850" s="68"/>
      <c r="C850" s="62"/>
      <c r="D850" s="62"/>
      <c r="E850" s="62"/>
      <c r="F850" s="62"/>
      <c r="G850" s="63"/>
      <c r="H850" s="64"/>
      <c r="I850" s="69"/>
      <c r="J850" s="64"/>
      <c r="K850" s="62"/>
      <c r="L850" s="62"/>
      <c r="M850" s="62"/>
      <c r="N850" s="62"/>
      <c r="O850" s="62"/>
      <c r="P850" s="62"/>
      <c r="Q850" s="62"/>
      <c r="R850" s="62"/>
      <c r="S850" s="62"/>
    </row>
    <row r="851">
      <c r="A851" s="68"/>
      <c r="B851" s="68"/>
      <c r="C851" s="62"/>
      <c r="D851" s="62"/>
      <c r="E851" s="62"/>
      <c r="F851" s="62"/>
      <c r="G851" s="63"/>
      <c r="H851" s="64"/>
      <c r="I851" s="69"/>
      <c r="J851" s="64"/>
      <c r="K851" s="62"/>
      <c r="L851" s="62"/>
      <c r="M851" s="62"/>
      <c r="N851" s="62"/>
      <c r="O851" s="62"/>
      <c r="P851" s="62"/>
      <c r="Q851" s="62"/>
      <c r="R851" s="62"/>
      <c r="S851" s="62"/>
    </row>
    <row r="852">
      <c r="A852" s="68"/>
      <c r="B852" s="68"/>
      <c r="C852" s="62"/>
      <c r="D852" s="62"/>
      <c r="E852" s="62"/>
      <c r="F852" s="62"/>
      <c r="G852" s="63"/>
      <c r="H852" s="64"/>
      <c r="I852" s="69"/>
      <c r="J852" s="64"/>
      <c r="K852" s="62"/>
      <c r="L852" s="62"/>
      <c r="M852" s="62"/>
      <c r="N852" s="62"/>
      <c r="O852" s="62"/>
      <c r="P852" s="62"/>
      <c r="Q852" s="62"/>
      <c r="R852" s="62"/>
      <c r="S852" s="62"/>
    </row>
    <row r="853">
      <c r="A853" s="68"/>
      <c r="B853" s="68"/>
      <c r="C853" s="62"/>
      <c r="D853" s="62"/>
      <c r="E853" s="62"/>
      <c r="F853" s="62"/>
      <c r="G853" s="63"/>
      <c r="H853" s="64"/>
      <c r="I853" s="69"/>
      <c r="J853" s="64"/>
      <c r="K853" s="62"/>
      <c r="L853" s="62"/>
      <c r="M853" s="62"/>
      <c r="N853" s="62"/>
      <c r="O853" s="62"/>
      <c r="P853" s="62"/>
      <c r="Q853" s="62"/>
      <c r="R853" s="62"/>
      <c r="S853" s="62"/>
    </row>
    <row r="854">
      <c r="A854" s="68"/>
      <c r="B854" s="68"/>
      <c r="C854" s="62"/>
      <c r="D854" s="62"/>
      <c r="E854" s="62"/>
      <c r="F854" s="62"/>
      <c r="G854" s="63"/>
      <c r="H854" s="64"/>
      <c r="I854" s="69"/>
      <c r="J854" s="64"/>
      <c r="K854" s="62"/>
      <c r="L854" s="62"/>
      <c r="M854" s="62"/>
      <c r="N854" s="62"/>
      <c r="O854" s="62"/>
      <c r="P854" s="62"/>
      <c r="Q854" s="62"/>
      <c r="R854" s="62"/>
      <c r="S854" s="62"/>
    </row>
    <row r="855">
      <c r="A855" s="68"/>
      <c r="B855" s="68"/>
      <c r="C855" s="62"/>
      <c r="D855" s="62"/>
      <c r="E855" s="62"/>
      <c r="F855" s="62"/>
      <c r="G855" s="63"/>
      <c r="H855" s="64"/>
      <c r="I855" s="69"/>
      <c r="J855" s="64"/>
      <c r="K855" s="62"/>
      <c r="L855" s="62"/>
      <c r="M855" s="62"/>
      <c r="N855" s="62"/>
      <c r="O855" s="62"/>
      <c r="P855" s="62"/>
      <c r="Q855" s="62"/>
      <c r="R855" s="62"/>
      <c r="S855" s="62"/>
    </row>
    <row r="856">
      <c r="A856" s="68"/>
      <c r="B856" s="68"/>
      <c r="C856" s="62"/>
      <c r="D856" s="62"/>
      <c r="E856" s="62"/>
      <c r="F856" s="62"/>
      <c r="G856" s="63"/>
      <c r="H856" s="64"/>
      <c r="I856" s="69"/>
      <c r="J856" s="64"/>
      <c r="K856" s="62"/>
      <c r="L856" s="62"/>
      <c r="M856" s="62"/>
      <c r="N856" s="62"/>
      <c r="O856" s="62"/>
      <c r="P856" s="62"/>
      <c r="Q856" s="62"/>
      <c r="R856" s="62"/>
      <c r="S856" s="62"/>
    </row>
    <row r="857">
      <c r="A857" s="68"/>
      <c r="B857" s="68"/>
      <c r="C857" s="62"/>
      <c r="D857" s="62"/>
      <c r="E857" s="62"/>
      <c r="F857" s="62"/>
      <c r="G857" s="63"/>
      <c r="H857" s="64"/>
      <c r="I857" s="69"/>
      <c r="J857" s="64"/>
      <c r="K857" s="62"/>
      <c r="L857" s="62"/>
      <c r="M857" s="62"/>
      <c r="N857" s="62"/>
      <c r="O857" s="62"/>
      <c r="P857" s="62"/>
      <c r="Q857" s="62"/>
      <c r="R857" s="62"/>
      <c r="S857" s="62"/>
    </row>
    <row r="858">
      <c r="A858" s="68"/>
      <c r="B858" s="68"/>
      <c r="C858" s="62"/>
      <c r="D858" s="62"/>
      <c r="E858" s="62"/>
      <c r="F858" s="62"/>
      <c r="G858" s="63"/>
      <c r="H858" s="64"/>
      <c r="I858" s="69"/>
      <c r="J858" s="64"/>
      <c r="K858" s="62"/>
      <c r="L858" s="62"/>
      <c r="M858" s="62"/>
      <c r="N858" s="62"/>
      <c r="O858" s="62"/>
      <c r="P858" s="62"/>
      <c r="Q858" s="62"/>
      <c r="R858" s="62"/>
      <c r="S858" s="62"/>
    </row>
    <row r="859">
      <c r="A859" s="68"/>
      <c r="B859" s="68"/>
      <c r="C859" s="62"/>
      <c r="D859" s="62"/>
      <c r="E859" s="62"/>
      <c r="F859" s="62"/>
      <c r="G859" s="63"/>
      <c r="H859" s="64"/>
      <c r="I859" s="69"/>
      <c r="J859" s="64"/>
      <c r="K859" s="62"/>
      <c r="L859" s="62"/>
      <c r="M859" s="62"/>
      <c r="N859" s="62"/>
      <c r="O859" s="62"/>
      <c r="P859" s="62"/>
      <c r="Q859" s="62"/>
      <c r="R859" s="62"/>
      <c r="S859" s="62"/>
    </row>
    <row r="860">
      <c r="A860" s="68"/>
      <c r="B860" s="68"/>
      <c r="C860" s="62"/>
      <c r="D860" s="62"/>
      <c r="E860" s="62"/>
      <c r="F860" s="62"/>
      <c r="G860" s="63"/>
      <c r="H860" s="64"/>
      <c r="I860" s="69"/>
      <c r="J860" s="64"/>
      <c r="K860" s="62"/>
      <c r="L860" s="62"/>
      <c r="M860" s="62"/>
      <c r="N860" s="62"/>
      <c r="O860" s="62"/>
      <c r="P860" s="62"/>
      <c r="Q860" s="62"/>
      <c r="R860" s="62"/>
      <c r="S860" s="62"/>
    </row>
    <row r="861">
      <c r="A861" s="68"/>
      <c r="B861" s="68"/>
      <c r="C861" s="62"/>
      <c r="D861" s="62"/>
      <c r="E861" s="62"/>
      <c r="F861" s="62"/>
      <c r="G861" s="63"/>
      <c r="H861" s="64"/>
      <c r="I861" s="69"/>
      <c r="J861" s="64"/>
      <c r="K861" s="62"/>
      <c r="L861" s="62"/>
      <c r="M861" s="62"/>
      <c r="N861" s="62"/>
      <c r="O861" s="62"/>
      <c r="P861" s="62"/>
      <c r="Q861" s="62"/>
      <c r="R861" s="62"/>
      <c r="S861" s="62"/>
    </row>
    <row r="862">
      <c r="A862" s="68"/>
      <c r="B862" s="68"/>
      <c r="C862" s="62"/>
      <c r="D862" s="62"/>
      <c r="E862" s="62"/>
      <c r="F862" s="62"/>
      <c r="G862" s="63"/>
      <c r="H862" s="64"/>
      <c r="I862" s="69"/>
      <c r="J862" s="64"/>
      <c r="K862" s="62"/>
      <c r="L862" s="62"/>
      <c r="M862" s="62"/>
      <c r="N862" s="62"/>
      <c r="O862" s="62"/>
      <c r="P862" s="62"/>
      <c r="Q862" s="62"/>
      <c r="R862" s="62"/>
      <c r="S862" s="62"/>
    </row>
    <row r="863">
      <c r="A863" s="68"/>
      <c r="B863" s="68"/>
      <c r="C863" s="62"/>
      <c r="D863" s="62"/>
      <c r="E863" s="62"/>
      <c r="F863" s="62"/>
      <c r="G863" s="63"/>
      <c r="H863" s="64"/>
      <c r="I863" s="69"/>
      <c r="J863" s="64"/>
      <c r="K863" s="62"/>
      <c r="L863" s="62"/>
      <c r="M863" s="62"/>
      <c r="N863" s="62"/>
      <c r="O863" s="62"/>
      <c r="P863" s="62"/>
      <c r="Q863" s="62"/>
      <c r="R863" s="62"/>
      <c r="S863" s="62"/>
    </row>
    <row r="864">
      <c r="A864" s="68"/>
      <c r="B864" s="68"/>
      <c r="C864" s="62"/>
      <c r="D864" s="62"/>
      <c r="E864" s="62"/>
      <c r="F864" s="62"/>
      <c r="G864" s="63"/>
      <c r="H864" s="64"/>
      <c r="I864" s="69"/>
      <c r="J864" s="64"/>
      <c r="K864" s="62"/>
      <c r="L864" s="62"/>
      <c r="M864" s="62"/>
      <c r="N864" s="62"/>
      <c r="O864" s="62"/>
      <c r="P864" s="62"/>
      <c r="Q864" s="62"/>
      <c r="R864" s="62"/>
      <c r="S864" s="62"/>
    </row>
    <row r="865">
      <c r="A865" s="68"/>
      <c r="B865" s="68"/>
      <c r="C865" s="62"/>
      <c r="D865" s="62"/>
      <c r="E865" s="62"/>
      <c r="F865" s="62"/>
      <c r="G865" s="63"/>
      <c r="H865" s="64"/>
      <c r="I865" s="69"/>
      <c r="J865" s="64"/>
      <c r="K865" s="62"/>
      <c r="L865" s="62"/>
      <c r="M865" s="62"/>
      <c r="N865" s="62"/>
      <c r="O865" s="62"/>
      <c r="P865" s="62"/>
      <c r="Q865" s="62"/>
      <c r="R865" s="62"/>
      <c r="S865" s="62"/>
    </row>
    <row r="866">
      <c r="A866" s="68"/>
      <c r="B866" s="68"/>
      <c r="C866" s="62"/>
      <c r="D866" s="62"/>
      <c r="E866" s="62"/>
      <c r="F866" s="62"/>
      <c r="G866" s="63"/>
      <c r="H866" s="64"/>
      <c r="I866" s="69"/>
      <c r="J866" s="64"/>
      <c r="K866" s="62"/>
      <c r="L866" s="62"/>
      <c r="M866" s="62"/>
      <c r="N866" s="62"/>
      <c r="O866" s="62"/>
      <c r="P866" s="62"/>
      <c r="Q866" s="62"/>
      <c r="R866" s="62"/>
      <c r="S866" s="62"/>
    </row>
    <row r="867">
      <c r="A867" s="68"/>
      <c r="B867" s="68"/>
      <c r="C867" s="62"/>
      <c r="D867" s="62"/>
      <c r="E867" s="62"/>
      <c r="F867" s="62"/>
      <c r="G867" s="63"/>
      <c r="H867" s="64"/>
      <c r="I867" s="69"/>
      <c r="J867" s="64"/>
      <c r="K867" s="62"/>
      <c r="L867" s="62"/>
      <c r="M867" s="62"/>
      <c r="N867" s="62"/>
      <c r="O867" s="62"/>
      <c r="P867" s="62"/>
      <c r="Q867" s="62"/>
      <c r="R867" s="62"/>
      <c r="S867" s="62"/>
    </row>
    <row r="868">
      <c r="A868" s="68"/>
      <c r="B868" s="68"/>
      <c r="C868" s="62"/>
      <c r="D868" s="62"/>
      <c r="E868" s="62"/>
      <c r="F868" s="62"/>
      <c r="G868" s="63"/>
      <c r="H868" s="64"/>
      <c r="I868" s="69"/>
      <c r="J868" s="64"/>
      <c r="K868" s="62"/>
      <c r="L868" s="62"/>
      <c r="M868" s="62"/>
      <c r="N868" s="62"/>
      <c r="O868" s="62"/>
      <c r="P868" s="62"/>
      <c r="Q868" s="62"/>
      <c r="R868" s="62"/>
      <c r="S868" s="62"/>
    </row>
    <row r="869">
      <c r="A869" s="68"/>
      <c r="B869" s="68"/>
      <c r="C869" s="62"/>
      <c r="D869" s="62"/>
      <c r="E869" s="62"/>
      <c r="F869" s="62"/>
      <c r="G869" s="63"/>
      <c r="H869" s="64"/>
      <c r="I869" s="69"/>
      <c r="J869" s="64"/>
      <c r="K869" s="62"/>
      <c r="L869" s="62"/>
      <c r="M869" s="62"/>
      <c r="N869" s="62"/>
      <c r="O869" s="62"/>
      <c r="P869" s="62"/>
      <c r="Q869" s="62"/>
      <c r="R869" s="62"/>
      <c r="S869" s="62"/>
    </row>
    <row r="870">
      <c r="A870" s="68"/>
      <c r="B870" s="68"/>
      <c r="C870" s="62"/>
      <c r="D870" s="62"/>
      <c r="E870" s="62"/>
      <c r="F870" s="62"/>
      <c r="G870" s="63"/>
      <c r="H870" s="64"/>
      <c r="I870" s="69"/>
      <c r="J870" s="64"/>
      <c r="K870" s="62"/>
      <c r="L870" s="62"/>
      <c r="M870" s="62"/>
      <c r="N870" s="62"/>
      <c r="O870" s="62"/>
      <c r="P870" s="62"/>
      <c r="Q870" s="62"/>
      <c r="R870" s="62"/>
      <c r="S870" s="62"/>
    </row>
    <row r="871">
      <c r="A871" s="68"/>
      <c r="B871" s="68"/>
      <c r="C871" s="62"/>
      <c r="D871" s="62"/>
      <c r="E871" s="62"/>
      <c r="F871" s="62"/>
      <c r="G871" s="63"/>
      <c r="H871" s="64"/>
      <c r="I871" s="69"/>
      <c r="J871" s="64"/>
      <c r="K871" s="62"/>
      <c r="L871" s="62"/>
      <c r="M871" s="62"/>
      <c r="N871" s="62"/>
      <c r="O871" s="62"/>
      <c r="P871" s="62"/>
      <c r="Q871" s="62"/>
      <c r="R871" s="62"/>
      <c r="S871" s="62"/>
    </row>
    <row r="872">
      <c r="A872" s="68"/>
      <c r="B872" s="68"/>
      <c r="C872" s="62"/>
      <c r="D872" s="62"/>
      <c r="E872" s="62"/>
      <c r="F872" s="62"/>
      <c r="G872" s="63"/>
      <c r="H872" s="64"/>
      <c r="I872" s="69"/>
      <c r="J872" s="64"/>
      <c r="K872" s="62"/>
      <c r="L872" s="62"/>
      <c r="M872" s="62"/>
      <c r="N872" s="62"/>
      <c r="O872" s="62"/>
      <c r="P872" s="62"/>
      <c r="Q872" s="62"/>
      <c r="R872" s="62"/>
      <c r="S872" s="62"/>
    </row>
    <row r="873">
      <c r="A873" s="68"/>
      <c r="B873" s="68"/>
      <c r="C873" s="62"/>
      <c r="D873" s="62"/>
      <c r="E873" s="62"/>
      <c r="F873" s="62"/>
      <c r="G873" s="63"/>
      <c r="H873" s="64"/>
      <c r="I873" s="69"/>
      <c r="J873" s="64"/>
      <c r="K873" s="62"/>
      <c r="L873" s="62"/>
      <c r="M873" s="62"/>
      <c r="N873" s="62"/>
      <c r="O873" s="62"/>
      <c r="P873" s="62"/>
      <c r="Q873" s="62"/>
      <c r="R873" s="62"/>
      <c r="S873" s="62"/>
    </row>
    <row r="874">
      <c r="A874" s="68"/>
      <c r="B874" s="68"/>
      <c r="C874" s="62"/>
      <c r="D874" s="62"/>
      <c r="E874" s="62"/>
      <c r="F874" s="62"/>
      <c r="G874" s="63"/>
      <c r="H874" s="64"/>
      <c r="I874" s="69"/>
      <c r="J874" s="64"/>
      <c r="K874" s="62"/>
      <c r="L874" s="62"/>
      <c r="M874" s="62"/>
      <c r="N874" s="62"/>
      <c r="O874" s="62"/>
      <c r="P874" s="62"/>
      <c r="Q874" s="62"/>
      <c r="R874" s="62"/>
      <c r="S874" s="62"/>
    </row>
    <row r="875">
      <c r="A875" s="68"/>
      <c r="B875" s="68"/>
      <c r="C875" s="62"/>
      <c r="D875" s="62"/>
      <c r="E875" s="62"/>
      <c r="F875" s="62"/>
      <c r="G875" s="63"/>
      <c r="H875" s="64"/>
      <c r="I875" s="69"/>
      <c r="J875" s="64"/>
      <c r="K875" s="62"/>
      <c r="L875" s="62"/>
      <c r="M875" s="62"/>
      <c r="N875" s="62"/>
      <c r="O875" s="62"/>
      <c r="P875" s="62"/>
      <c r="Q875" s="62"/>
      <c r="R875" s="62"/>
      <c r="S875" s="62"/>
    </row>
    <row r="876">
      <c r="A876" s="68"/>
      <c r="B876" s="68"/>
      <c r="C876" s="62"/>
      <c r="D876" s="62"/>
      <c r="E876" s="62"/>
      <c r="F876" s="62"/>
      <c r="G876" s="63"/>
      <c r="H876" s="64"/>
      <c r="I876" s="69"/>
      <c r="J876" s="64"/>
      <c r="K876" s="62"/>
      <c r="L876" s="62"/>
      <c r="M876" s="62"/>
      <c r="N876" s="62"/>
      <c r="O876" s="62"/>
      <c r="P876" s="62"/>
      <c r="Q876" s="62"/>
      <c r="R876" s="62"/>
      <c r="S876" s="62"/>
    </row>
    <row r="877">
      <c r="A877" s="68"/>
      <c r="B877" s="68"/>
      <c r="C877" s="62"/>
      <c r="D877" s="62"/>
      <c r="E877" s="62"/>
      <c r="F877" s="62"/>
      <c r="G877" s="63"/>
      <c r="H877" s="64"/>
      <c r="I877" s="69"/>
      <c r="J877" s="64"/>
      <c r="K877" s="62"/>
      <c r="L877" s="62"/>
      <c r="M877" s="62"/>
      <c r="N877" s="62"/>
      <c r="O877" s="62"/>
      <c r="P877" s="62"/>
      <c r="Q877" s="62"/>
      <c r="R877" s="62"/>
      <c r="S877" s="62"/>
    </row>
    <row r="878">
      <c r="A878" s="68"/>
      <c r="B878" s="68"/>
      <c r="C878" s="62"/>
      <c r="D878" s="62"/>
      <c r="E878" s="62"/>
      <c r="F878" s="62"/>
      <c r="G878" s="63"/>
      <c r="H878" s="64"/>
      <c r="I878" s="69"/>
      <c r="J878" s="64"/>
      <c r="K878" s="62"/>
      <c r="L878" s="62"/>
      <c r="M878" s="62"/>
      <c r="N878" s="62"/>
      <c r="O878" s="62"/>
      <c r="P878" s="62"/>
      <c r="Q878" s="62"/>
      <c r="R878" s="62"/>
      <c r="S878" s="62"/>
    </row>
    <row r="879">
      <c r="A879" s="68"/>
      <c r="B879" s="68"/>
      <c r="C879" s="62"/>
      <c r="D879" s="62"/>
      <c r="E879" s="62"/>
      <c r="F879" s="62"/>
      <c r="G879" s="63"/>
      <c r="H879" s="64"/>
      <c r="I879" s="69"/>
      <c r="J879" s="64"/>
      <c r="K879" s="62"/>
      <c r="L879" s="62"/>
      <c r="M879" s="62"/>
      <c r="N879" s="62"/>
      <c r="O879" s="62"/>
      <c r="P879" s="62"/>
      <c r="Q879" s="62"/>
      <c r="R879" s="62"/>
      <c r="S879" s="62"/>
    </row>
    <row r="880">
      <c r="A880" s="68"/>
      <c r="B880" s="68"/>
      <c r="C880" s="62"/>
      <c r="D880" s="62"/>
      <c r="E880" s="62"/>
      <c r="F880" s="62"/>
      <c r="G880" s="63"/>
      <c r="H880" s="64"/>
      <c r="I880" s="69"/>
      <c r="J880" s="64"/>
      <c r="K880" s="62"/>
      <c r="L880" s="62"/>
      <c r="M880" s="62"/>
      <c r="N880" s="62"/>
      <c r="O880" s="62"/>
      <c r="P880" s="62"/>
      <c r="Q880" s="62"/>
      <c r="R880" s="62"/>
      <c r="S880" s="62"/>
    </row>
    <row r="881">
      <c r="A881" s="68"/>
      <c r="B881" s="68"/>
      <c r="C881" s="62"/>
      <c r="D881" s="62"/>
      <c r="E881" s="62"/>
      <c r="F881" s="62"/>
      <c r="G881" s="63"/>
      <c r="H881" s="64"/>
      <c r="I881" s="69"/>
      <c r="J881" s="64"/>
      <c r="K881" s="62"/>
      <c r="L881" s="62"/>
      <c r="M881" s="62"/>
      <c r="N881" s="62"/>
      <c r="O881" s="62"/>
      <c r="P881" s="62"/>
      <c r="Q881" s="62"/>
      <c r="R881" s="62"/>
      <c r="S881" s="62"/>
    </row>
    <row r="882">
      <c r="A882" s="68"/>
      <c r="B882" s="68"/>
      <c r="C882" s="62"/>
      <c r="D882" s="62"/>
      <c r="E882" s="62"/>
      <c r="F882" s="62"/>
      <c r="G882" s="63"/>
      <c r="H882" s="64"/>
      <c r="I882" s="69"/>
      <c r="J882" s="64"/>
      <c r="K882" s="62"/>
      <c r="L882" s="62"/>
      <c r="M882" s="62"/>
      <c r="N882" s="62"/>
      <c r="O882" s="62"/>
      <c r="P882" s="62"/>
      <c r="Q882" s="62"/>
      <c r="R882" s="62"/>
      <c r="S882" s="62"/>
    </row>
    <row r="883">
      <c r="A883" s="68"/>
      <c r="B883" s="68"/>
      <c r="C883" s="62"/>
      <c r="D883" s="62"/>
      <c r="E883" s="62"/>
      <c r="F883" s="62"/>
      <c r="G883" s="63"/>
      <c r="H883" s="64"/>
      <c r="I883" s="69"/>
      <c r="J883" s="64"/>
      <c r="K883" s="62"/>
      <c r="L883" s="62"/>
      <c r="M883" s="62"/>
      <c r="N883" s="62"/>
      <c r="O883" s="62"/>
      <c r="P883" s="62"/>
      <c r="Q883" s="62"/>
      <c r="R883" s="62"/>
      <c r="S883" s="62"/>
    </row>
    <row r="884">
      <c r="A884" s="68"/>
      <c r="B884" s="68"/>
      <c r="C884" s="62"/>
      <c r="D884" s="62"/>
      <c r="E884" s="62"/>
      <c r="F884" s="62"/>
      <c r="G884" s="63"/>
      <c r="H884" s="64"/>
      <c r="I884" s="69"/>
      <c r="J884" s="64"/>
      <c r="K884" s="62"/>
      <c r="L884" s="62"/>
      <c r="M884" s="62"/>
      <c r="N884" s="62"/>
      <c r="O884" s="62"/>
      <c r="P884" s="62"/>
      <c r="Q884" s="62"/>
      <c r="R884" s="62"/>
      <c r="S884" s="62"/>
    </row>
    <row r="885">
      <c r="A885" s="68"/>
      <c r="B885" s="68"/>
      <c r="C885" s="62"/>
      <c r="D885" s="62"/>
      <c r="E885" s="62"/>
      <c r="F885" s="62"/>
      <c r="G885" s="63"/>
      <c r="H885" s="64"/>
      <c r="I885" s="69"/>
      <c r="J885" s="64"/>
      <c r="K885" s="62"/>
      <c r="L885" s="62"/>
      <c r="M885" s="62"/>
      <c r="N885" s="62"/>
      <c r="O885" s="62"/>
      <c r="P885" s="62"/>
      <c r="Q885" s="62"/>
      <c r="R885" s="62"/>
      <c r="S885" s="62"/>
    </row>
    <row r="886">
      <c r="A886" s="68"/>
      <c r="B886" s="68"/>
      <c r="C886" s="62"/>
      <c r="D886" s="62"/>
      <c r="E886" s="62"/>
      <c r="F886" s="62"/>
      <c r="G886" s="63"/>
      <c r="H886" s="64"/>
      <c r="I886" s="69"/>
      <c r="J886" s="64"/>
      <c r="K886" s="62"/>
      <c r="L886" s="62"/>
      <c r="M886" s="62"/>
      <c r="N886" s="62"/>
      <c r="O886" s="62"/>
      <c r="P886" s="62"/>
      <c r="Q886" s="62"/>
      <c r="R886" s="62"/>
      <c r="S886" s="62"/>
    </row>
    <row r="887">
      <c r="A887" s="68"/>
      <c r="B887" s="68"/>
      <c r="C887" s="62"/>
      <c r="D887" s="62"/>
      <c r="E887" s="62"/>
      <c r="F887" s="62"/>
      <c r="G887" s="63"/>
      <c r="H887" s="64"/>
      <c r="I887" s="69"/>
      <c r="J887" s="64"/>
      <c r="K887" s="62"/>
      <c r="L887" s="62"/>
      <c r="M887" s="62"/>
      <c r="N887" s="62"/>
      <c r="O887" s="62"/>
      <c r="P887" s="62"/>
      <c r="Q887" s="62"/>
      <c r="R887" s="62"/>
      <c r="S887" s="62"/>
    </row>
    <row r="888">
      <c r="A888" s="68"/>
      <c r="B888" s="68"/>
      <c r="C888" s="62"/>
      <c r="D888" s="62"/>
      <c r="E888" s="62"/>
      <c r="F888" s="62"/>
      <c r="G888" s="63"/>
      <c r="H888" s="64"/>
      <c r="I888" s="69"/>
      <c r="J888" s="64"/>
      <c r="K888" s="62"/>
      <c r="L888" s="62"/>
      <c r="M888" s="62"/>
      <c r="N888" s="62"/>
      <c r="O888" s="62"/>
      <c r="P888" s="62"/>
      <c r="Q888" s="62"/>
      <c r="R888" s="62"/>
      <c r="S888" s="62"/>
    </row>
    <row r="889">
      <c r="A889" s="68"/>
      <c r="B889" s="68"/>
      <c r="C889" s="62"/>
      <c r="D889" s="62"/>
      <c r="E889" s="62"/>
      <c r="F889" s="62"/>
      <c r="G889" s="63"/>
      <c r="H889" s="64"/>
      <c r="I889" s="69"/>
      <c r="J889" s="64"/>
      <c r="K889" s="62"/>
      <c r="L889" s="62"/>
      <c r="M889" s="62"/>
      <c r="N889" s="62"/>
      <c r="O889" s="62"/>
      <c r="P889" s="62"/>
      <c r="Q889" s="62"/>
      <c r="R889" s="62"/>
      <c r="S889" s="62"/>
    </row>
    <row r="890">
      <c r="A890" s="68"/>
      <c r="B890" s="68"/>
      <c r="C890" s="62"/>
      <c r="D890" s="62"/>
      <c r="E890" s="62"/>
      <c r="F890" s="62"/>
      <c r="G890" s="63"/>
      <c r="H890" s="64"/>
      <c r="I890" s="69"/>
      <c r="J890" s="64"/>
      <c r="K890" s="62"/>
      <c r="L890" s="62"/>
      <c r="M890" s="62"/>
      <c r="N890" s="62"/>
      <c r="O890" s="62"/>
      <c r="P890" s="62"/>
      <c r="Q890" s="62"/>
      <c r="R890" s="62"/>
      <c r="S890" s="62"/>
    </row>
    <row r="891">
      <c r="A891" s="68"/>
      <c r="B891" s="68"/>
      <c r="C891" s="62"/>
      <c r="D891" s="62"/>
      <c r="E891" s="62"/>
      <c r="F891" s="62"/>
      <c r="G891" s="63"/>
      <c r="H891" s="64"/>
      <c r="I891" s="69"/>
      <c r="J891" s="64"/>
      <c r="K891" s="62"/>
      <c r="L891" s="62"/>
      <c r="M891" s="62"/>
      <c r="N891" s="62"/>
      <c r="O891" s="62"/>
      <c r="P891" s="62"/>
      <c r="Q891" s="62"/>
      <c r="R891" s="62"/>
      <c r="S891" s="62"/>
    </row>
    <row r="892">
      <c r="A892" s="68"/>
      <c r="B892" s="68"/>
      <c r="C892" s="62"/>
      <c r="D892" s="62"/>
      <c r="E892" s="62"/>
      <c r="F892" s="62"/>
      <c r="G892" s="63"/>
      <c r="H892" s="64"/>
      <c r="I892" s="69"/>
      <c r="J892" s="64"/>
      <c r="K892" s="62"/>
      <c r="L892" s="62"/>
      <c r="M892" s="62"/>
      <c r="N892" s="62"/>
      <c r="O892" s="62"/>
      <c r="P892" s="62"/>
      <c r="Q892" s="62"/>
      <c r="R892" s="62"/>
      <c r="S892" s="62"/>
    </row>
    <row r="893">
      <c r="A893" s="68"/>
      <c r="B893" s="68"/>
      <c r="C893" s="62"/>
      <c r="D893" s="62"/>
      <c r="E893" s="62"/>
      <c r="F893" s="62"/>
      <c r="G893" s="63"/>
      <c r="H893" s="64"/>
      <c r="I893" s="69"/>
      <c r="J893" s="64"/>
      <c r="K893" s="62"/>
      <c r="L893" s="62"/>
      <c r="M893" s="62"/>
      <c r="N893" s="62"/>
      <c r="O893" s="62"/>
      <c r="P893" s="62"/>
      <c r="Q893" s="62"/>
      <c r="R893" s="62"/>
      <c r="S893" s="62"/>
    </row>
    <row r="894">
      <c r="A894" s="68"/>
      <c r="B894" s="68"/>
      <c r="C894" s="62"/>
      <c r="D894" s="62"/>
      <c r="E894" s="62"/>
      <c r="F894" s="62"/>
      <c r="G894" s="63"/>
      <c r="H894" s="64"/>
      <c r="I894" s="69"/>
      <c r="J894" s="64"/>
      <c r="K894" s="62"/>
      <c r="L894" s="62"/>
      <c r="M894" s="62"/>
      <c r="N894" s="62"/>
      <c r="O894" s="62"/>
      <c r="P894" s="62"/>
      <c r="Q894" s="62"/>
      <c r="R894" s="62"/>
      <c r="S894" s="62"/>
    </row>
    <row r="895">
      <c r="A895" s="68"/>
      <c r="B895" s="68"/>
      <c r="C895" s="62"/>
      <c r="D895" s="62"/>
      <c r="E895" s="62"/>
      <c r="F895" s="62"/>
      <c r="G895" s="63"/>
      <c r="H895" s="64"/>
      <c r="I895" s="69"/>
      <c r="J895" s="64"/>
      <c r="K895" s="62"/>
      <c r="L895" s="62"/>
      <c r="M895" s="62"/>
      <c r="N895" s="62"/>
      <c r="O895" s="62"/>
      <c r="P895" s="62"/>
      <c r="Q895" s="62"/>
      <c r="R895" s="62"/>
      <c r="S895" s="62"/>
    </row>
    <row r="896">
      <c r="A896" s="68"/>
      <c r="B896" s="68"/>
      <c r="C896" s="62"/>
      <c r="D896" s="62"/>
      <c r="E896" s="62"/>
      <c r="F896" s="62"/>
      <c r="G896" s="63"/>
      <c r="H896" s="64"/>
      <c r="I896" s="69"/>
      <c r="J896" s="64"/>
      <c r="K896" s="62"/>
      <c r="L896" s="62"/>
      <c r="M896" s="62"/>
      <c r="N896" s="62"/>
      <c r="O896" s="62"/>
      <c r="P896" s="62"/>
      <c r="Q896" s="62"/>
      <c r="R896" s="62"/>
      <c r="S896" s="62"/>
    </row>
    <row r="897">
      <c r="A897" s="68"/>
      <c r="B897" s="68"/>
      <c r="C897" s="62"/>
      <c r="D897" s="62"/>
      <c r="E897" s="62"/>
      <c r="F897" s="62"/>
      <c r="G897" s="63"/>
      <c r="H897" s="64"/>
      <c r="I897" s="69"/>
      <c r="J897" s="64"/>
      <c r="K897" s="62"/>
      <c r="L897" s="62"/>
      <c r="M897" s="62"/>
      <c r="N897" s="62"/>
      <c r="O897" s="62"/>
      <c r="P897" s="62"/>
      <c r="Q897" s="62"/>
      <c r="R897" s="62"/>
      <c r="S897" s="62"/>
    </row>
    <row r="898">
      <c r="A898" s="68"/>
      <c r="B898" s="68"/>
      <c r="C898" s="62"/>
      <c r="D898" s="62"/>
      <c r="E898" s="62"/>
      <c r="F898" s="62"/>
      <c r="G898" s="63"/>
      <c r="H898" s="64"/>
      <c r="I898" s="69"/>
      <c r="J898" s="64"/>
      <c r="K898" s="62"/>
      <c r="L898" s="62"/>
      <c r="M898" s="62"/>
      <c r="N898" s="62"/>
      <c r="O898" s="62"/>
      <c r="P898" s="62"/>
      <c r="Q898" s="62"/>
      <c r="R898" s="62"/>
      <c r="S898" s="62"/>
    </row>
    <row r="899">
      <c r="A899" s="68"/>
      <c r="B899" s="68"/>
      <c r="C899" s="62"/>
      <c r="D899" s="62"/>
      <c r="E899" s="62"/>
      <c r="F899" s="62"/>
      <c r="G899" s="63"/>
      <c r="H899" s="64"/>
      <c r="I899" s="69"/>
      <c r="J899" s="64"/>
      <c r="K899" s="62"/>
      <c r="L899" s="62"/>
      <c r="M899" s="62"/>
      <c r="N899" s="62"/>
      <c r="O899" s="62"/>
      <c r="P899" s="62"/>
      <c r="Q899" s="62"/>
      <c r="R899" s="62"/>
      <c r="S899" s="62"/>
    </row>
    <row r="900">
      <c r="A900" s="68"/>
      <c r="B900" s="68"/>
      <c r="C900" s="62"/>
      <c r="D900" s="62"/>
      <c r="E900" s="62"/>
      <c r="F900" s="62"/>
      <c r="G900" s="63"/>
      <c r="H900" s="64"/>
      <c r="I900" s="69"/>
      <c r="J900" s="64"/>
      <c r="K900" s="62"/>
      <c r="L900" s="62"/>
      <c r="M900" s="62"/>
      <c r="N900" s="62"/>
      <c r="O900" s="62"/>
      <c r="P900" s="62"/>
      <c r="Q900" s="62"/>
      <c r="R900" s="62"/>
      <c r="S900" s="62"/>
    </row>
    <row r="901">
      <c r="A901" s="68"/>
      <c r="B901" s="68"/>
      <c r="C901" s="62"/>
      <c r="D901" s="62"/>
      <c r="E901" s="62"/>
      <c r="F901" s="62"/>
      <c r="G901" s="63"/>
      <c r="H901" s="64"/>
      <c r="I901" s="69"/>
      <c r="J901" s="64"/>
      <c r="K901" s="62"/>
      <c r="L901" s="62"/>
      <c r="M901" s="62"/>
      <c r="N901" s="62"/>
      <c r="O901" s="62"/>
      <c r="P901" s="62"/>
      <c r="Q901" s="62"/>
      <c r="R901" s="62"/>
      <c r="S901" s="62"/>
    </row>
    <row r="902">
      <c r="A902" s="68"/>
      <c r="B902" s="68"/>
      <c r="C902" s="62"/>
      <c r="D902" s="62"/>
      <c r="E902" s="62"/>
      <c r="F902" s="62"/>
      <c r="G902" s="63"/>
      <c r="H902" s="64"/>
      <c r="I902" s="69"/>
      <c r="J902" s="64"/>
      <c r="K902" s="62"/>
      <c r="L902" s="62"/>
      <c r="M902" s="62"/>
      <c r="N902" s="62"/>
      <c r="O902" s="62"/>
      <c r="P902" s="62"/>
      <c r="Q902" s="62"/>
      <c r="R902" s="62"/>
      <c r="S902" s="62"/>
    </row>
    <row r="903">
      <c r="A903" s="68"/>
      <c r="B903" s="68"/>
      <c r="C903" s="62"/>
      <c r="D903" s="62"/>
      <c r="E903" s="62"/>
      <c r="F903" s="62"/>
      <c r="G903" s="63"/>
      <c r="H903" s="64"/>
      <c r="I903" s="69"/>
      <c r="J903" s="64"/>
      <c r="K903" s="62"/>
      <c r="L903" s="62"/>
      <c r="M903" s="62"/>
      <c r="N903" s="62"/>
      <c r="O903" s="62"/>
      <c r="P903" s="62"/>
      <c r="Q903" s="62"/>
      <c r="R903" s="62"/>
      <c r="S903" s="62"/>
    </row>
    <row r="904">
      <c r="A904" s="68"/>
      <c r="B904" s="68"/>
      <c r="C904" s="62"/>
      <c r="D904" s="62"/>
      <c r="E904" s="62"/>
      <c r="F904" s="62"/>
      <c r="G904" s="63"/>
      <c r="H904" s="64"/>
      <c r="I904" s="69"/>
      <c r="J904" s="64"/>
      <c r="K904" s="62"/>
      <c r="L904" s="62"/>
      <c r="M904" s="62"/>
      <c r="N904" s="62"/>
      <c r="O904" s="62"/>
      <c r="P904" s="62"/>
      <c r="Q904" s="62"/>
      <c r="R904" s="62"/>
      <c r="S904" s="62"/>
    </row>
    <row r="905">
      <c r="A905" s="68"/>
      <c r="B905" s="68"/>
      <c r="C905" s="62"/>
      <c r="D905" s="62"/>
      <c r="E905" s="62"/>
      <c r="F905" s="62"/>
      <c r="G905" s="63"/>
      <c r="H905" s="64"/>
      <c r="I905" s="69"/>
      <c r="J905" s="64"/>
      <c r="K905" s="62"/>
      <c r="L905" s="62"/>
      <c r="M905" s="62"/>
      <c r="N905" s="62"/>
      <c r="O905" s="62"/>
      <c r="P905" s="62"/>
      <c r="Q905" s="62"/>
      <c r="R905" s="62"/>
      <c r="S905" s="62"/>
    </row>
    <row r="906">
      <c r="A906" s="68"/>
      <c r="B906" s="68"/>
      <c r="C906" s="62"/>
      <c r="D906" s="62"/>
      <c r="E906" s="62"/>
      <c r="F906" s="62"/>
      <c r="G906" s="63"/>
      <c r="H906" s="64"/>
      <c r="I906" s="69"/>
      <c r="J906" s="64"/>
      <c r="K906" s="62"/>
      <c r="L906" s="62"/>
      <c r="M906" s="62"/>
      <c r="N906" s="62"/>
      <c r="O906" s="62"/>
      <c r="P906" s="62"/>
      <c r="Q906" s="62"/>
      <c r="R906" s="62"/>
      <c r="S906" s="62"/>
    </row>
    <row r="907">
      <c r="A907" s="68"/>
      <c r="B907" s="68"/>
      <c r="C907" s="62"/>
      <c r="D907" s="62"/>
      <c r="E907" s="62"/>
      <c r="F907" s="62"/>
      <c r="G907" s="63"/>
      <c r="H907" s="64"/>
      <c r="I907" s="69"/>
      <c r="J907" s="64"/>
      <c r="K907" s="62"/>
      <c r="L907" s="62"/>
      <c r="M907" s="62"/>
      <c r="N907" s="62"/>
      <c r="O907" s="62"/>
      <c r="P907" s="62"/>
      <c r="Q907" s="62"/>
      <c r="R907" s="62"/>
      <c r="S907" s="62"/>
    </row>
    <row r="908">
      <c r="A908" s="68"/>
      <c r="B908" s="68"/>
      <c r="C908" s="62"/>
      <c r="D908" s="62"/>
      <c r="E908" s="62"/>
      <c r="F908" s="62"/>
      <c r="G908" s="63"/>
      <c r="H908" s="64"/>
      <c r="I908" s="69"/>
      <c r="J908" s="64"/>
      <c r="K908" s="62"/>
      <c r="L908" s="62"/>
      <c r="M908" s="62"/>
      <c r="N908" s="62"/>
      <c r="O908" s="62"/>
      <c r="P908" s="62"/>
      <c r="Q908" s="62"/>
      <c r="R908" s="62"/>
      <c r="S908" s="62"/>
    </row>
    <row r="909">
      <c r="A909" s="68"/>
      <c r="B909" s="68"/>
      <c r="C909" s="62"/>
      <c r="D909" s="62"/>
      <c r="E909" s="62"/>
      <c r="F909" s="62"/>
      <c r="G909" s="63"/>
      <c r="H909" s="64"/>
      <c r="I909" s="69"/>
      <c r="J909" s="64"/>
      <c r="K909" s="62"/>
      <c r="L909" s="62"/>
      <c r="M909" s="62"/>
      <c r="N909" s="62"/>
      <c r="O909" s="62"/>
      <c r="P909" s="62"/>
      <c r="Q909" s="62"/>
      <c r="R909" s="62"/>
      <c r="S909" s="62"/>
    </row>
    <row r="910">
      <c r="A910" s="68"/>
      <c r="B910" s="68"/>
      <c r="C910" s="62"/>
      <c r="D910" s="62"/>
      <c r="E910" s="62"/>
      <c r="F910" s="62"/>
      <c r="G910" s="63"/>
      <c r="H910" s="64"/>
      <c r="I910" s="69"/>
      <c r="J910" s="64"/>
      <c r="K910" s="62"/>
      <c r="L910" s="62"/>
      <c r="M910" s="62"/>
      <c r="N910" s="62"/>
      <c r="O910" s="62"/>
      <c r="P910" s="62"/>
      <c r="Q910" s="62"/>
      <c r="R910" s="62"/>
      <c r="S910" s="62"/>
    </row>
    <row r="911">
      <c r="A911" s="68"/>
      <c r="B911" s="68"/>
      <c r="C911" s="62"/>
      <c r="D911" s="62"/>
      <c r="E911" s="62"/>
      <c r="F911" s="62"/>
      <c r="G911" s="63"/>
      <c r="H911" s="64"/>
      <c r="I911" s="69"/>
      <c r="J911" s="64"/>
      <c r="K911" s="62"/>
      <c r="L911" s="62"/>
      <c r="M911" s="62"/>
      <c r="N911" s="62"/>
      <c r="O911" s="62"/>
      <c r="P911" s="62"/>
      <c r="Q911" s="62"/>
      <c r="R911" s="62"/>
      <c r="S911" s="62"/>
    </row>
    <row r="912">
      <c r="A912" s="68"/>
      <c r="B912" s="68"/>
      <c r="C912" s="62"/>
      <c r="D912" s="62"/>
      <c r="E912" s="62"/>
      <c r="F912" s="62"/>
      <c r="G912" s="63"/>
      <c r="H912" s="64"/>
      <c r="I912" s="69"/>
      <c r="J912" s="64"/>
      <c r="K912" s="62"/>
      <c r="L912" s="62"/>
      <c r="M912" s="62"/>
      <c r="N912" s="62"/>
      <c r="O912" s="62"/>
      <c r="P912" s="62"/>
      <c r="Q912" s="62"/>
      <c r="R912" s="62"/>
      <c r="S912" s="62"/>
    </row>
    <row r="913">
      <c r="A913" s="68"/>
      <c r="B913" s="68"/>
      <c r="C913" s="62"/>
      <c r="D913" s="62"/>
      <c r="E913" s="62"/>
      <c r="F913" s="62"/>
      <c r="G913" s="63"/>
      <c r="H913" s="64"/>
      <c r="I913" s="69"/>
      <c r="J913" s="64"/>
      <c r="K913" s="62"/>
      <c r="L913" s="62"/>
      <c r="M913" s="62"/>
      <c r="N913" s="62"/>
      <c r="O913" s="62"/>
      <c r="P913" s="62"/>
      <c r="Q913" s="62"/>
      <c r="R913" s="62"/>
      <c r="S913" s="62"/>
    </row>
    <row r="914">
      <c r="A914" s="68"/>
      <c r="B914" s="68"/>
      <c r="C914" s="62"/>
      <c r="D914" s="62"/>
      <c r="E914" s="62"/>
      <c r="F914" s="62"/>
      <c r="G914" s="63"/>
      <c r="H914" s="64"/>
      <c r="I914" s="69"/>
      <c r="J914" s="64"/>
      <c r="K914" s="62"/>
      <c r="L914" s="62"/>
      <c r="M914" s="62"/>
      <c r="N914" s="62"/>
      <c r="O914" s="62"/>
      <c r="P914" s="62"/>
      <c r="Q914" s="62"/>
      <c r="R914" s="62"/>
      <c r="S914" s="62"/>
    </row>
    <row r="915">
      <c r="A915" s="68"/>
      <c r="B915" s="68"/>
      <c r="C915" s="62"/>
      <c r="D915" s="62"/>
      <c r="E915" s="62"/>
      <c r="F915" s="62"/>
      <c r="G915" s="63"/>
      <c r="H915" s="64"/>
      <c r="I915" s="69"/>
      <c r="J915" s="64"/>
      <c r="K915" s="62"/>
      <c r="L915" s="62"/>
      <c r="M915" s="62"/>
      <c r="N915" s="62"/>
      <c r="O915" s="62"/>
      <c r="P915" s="62"/>
      <c r="Q915" s="62"/>
      <c r="R915" s="62"/>
      <c r="S915" s="62"/>
    </row>
    <row r="916">
      <c r="A916" s="68"/>
      <c r="B916" s="68"/>
      <c r="C916" s="62"/>
      <c r="D916" s="62"/>
      <c r="E916" s="62"/>
      <c r="F916" s="62"/>
      <c r="G916" s="63"/>
      <c r="H916" s="64"/>
      <c r="I916" s="69"/>
      <c r="J916" s="64"/>
      <c r="K916" s="62"/>
      <c r="L916" s="62"/>
      <c r="M916" s="62"/>
      <c r="N916" s="62"/>
      <c r="O916" s="62"/>
      <c r="P916" s="62"/>
      <c r="Q916" s="62"/>
      <c r="R916" s="62"/>
      <c r="S916" s="62"/>
    </row>
    <row r="917">
      <c r="A917" s="68"/>
      <c r="B917" s="68"/>
      <c r="C917" s="62"/>
      <c r="D917" s="62"/>
      <c r="E917" s="62"/>
      <c r="F917" s="62"/>
      <c r="G917" s="63"/>
      <c r="H917" s="64"/>
      <c r="I917" s="69"/>
      <c r="J917" s="64"/>
      <c r="K917" s="62"/>
      <c r="L917" s="62"/>
      <c r="M917" s="62"/>
      <c r="N917" s="62"/>
      <c r="O917" s="62"/>
      <c r="P917" s="62"/>
      <c r="Q917" s="62"/>
      <c r="R917" s="62"/>
      <c r="S917" s="62"/>
    </row>
    <row r="918">
      <c r="A918" s="68"/>
      <c r="B918" s="68"/>
      <c r="C918" s="62"/>
      <c r="D918" s="62"/>
      <c r="E918" s="62"/>
      <c r="F918" s="62"/>
      <c r="G918" s="63"/>
      <c r="H918" s="64"/>
      <c r="I918" s="69"/>
      <c r="J918" s="64"/>
      <c r="K918" s="62"/>
      <c r="L918" s="62"/>
      <c r="M918" s="62"/>
      <c r="N918" s="62"/>
      <c r="O918" s="62"/>
      <c r="P918" s="62"/>
      <c r="Q918" s="62"/>
      <c r="R918" s="62"/>
      <c r="S918" s="62"/>
    </row>
    <row r="919">
      <c r="A919" s="68"/>
      <c r="B919" s="68"/>
      <c r="C919" s="62"/>
      <c r="D919" s="62"/>
      <c r="E919" s="62"/>
      <c r="F919" s="62"/>
      <c r="G919" s="63"/>
      <c r="H919" s="64"/>
      <c r="I919" s="69"/>
      <c r="J919" s="64"/>
      <c r="K919" s="62"/>
      <c r="L919" s="62"/>
      <c r="M919" s="62"/>
      <c r="N919" s="62"/>
      <c r="O919" s="62"/>
      <c r="P919" s="62"/>
      <c r="Q919" s="62"/>
      <c r="R919" s="62"/>
      <c r="S919" s="62"/>
    </row>
    <row r="920">
      <c r="A920" s="68"/>
      <c r="B920" s="68"/>
      <c r="C920" s="62"/>
      <c r="D920" s="62"/>
      <c r="E920" s="62"/>
      <c r="F920" s="62"/>
      <c r="G920" s="63"/>
      <c r="H920" s="64"/>
      <c r="I920" s="69"/>
      <c r="J920" s="64"/>
      <c r="K920" s="62"/>
      <c r="L920" s="62"/>
      <c r="M920" s="62"/>
      <c r="N920" s="62"/>
      <c r="O920" s="62"/>
      <c r="P920" s="62"/>
      <c r="Q920" s="62"/>
      <c r="R920" s="62"/>
      <c r="S920" s="62"/>
    </row>
    <row r="921">
      <c r="A921" s="68"/>
      <c r="B921" s="68"/>
      <c r="C921" s="62"/>
      <c r="D921" s="62"/>
      <c r="E921" s="62"/>
      <c r="F921" s="62"/>
      <c r="G921" s="63"/>
      <c r="H921" s="64"/>
      <c r="I921" s="69"/>
      <c r="J921" s="64"/>
      <c r="K921" s="62"/>
      <c r="L921" s="62"/>
      <c r="M921" s="62"/>
      <c r="N921" s="62"/>
      <c r="O921" s="62"/>
      <c r="P921" s="62"/>
      <c r="Q921" s="62"/>
      <c r="R921" s="62"/>
      <c r="S921" s="62"/>
    </row>
    <row r="922">
      <c r="A922" s="68"/>
      <c r="B922" s="68"/>
      <c r="C922" s="62"/>
      <c r="D922" s="62"/>
      <c r="E922" s="62"/>
      <c r="F922" s="62"/>
      <c r="G922" s="63"/>
      <c r="H922" s="64"/>
      <c r="I922" s="69"/>
      <c r="J922" s="64"/>
      <c r="K922" s="62"/>
      <c r="L922" s="62"/>
      <c r="M922" s="62"/>
      <c r="N922" s="62"/>
      <c r="O922" s="62"/>
      <c r="P922" s="62"/>
      <c r="Q922" s="62"/>
      <c r="R922" s="62"/>
      <c r="S922" s="62"/>
    </row>
    <row r="923">
      <c r="A923" s="68"/>
      <c r="B923" s="68"/>
      <c r="C923" s="62"/>
      <c r="D923" s="62"/>
      <c r="E923" s="62"/>
      <c r="F923" s="62"/>
      <c r="G923" s="63"/>
      <c r="H923" s="64"/>
      <c r="I923" s="69"/>
      <c r="J923" s="64"/>
      <c r="K923" s="62"/>
      <c r="L923" s="62"/>
      <c r="M923" s="62"/>
      <c r="N923" s="62"/>
      <c r="O923" s="62"/>
      <c r="P923" s="62"/>
      <c r="Q923" s="62"/>
      <c r="R923" s="62"/>
      <c r="S923" s="62"/>
    </row>
    <row r="924">
      <c r="A924" s="68"/>
      <c r="B924" s="68"/>
      <c r="C924" s="62"/>
      <c r="D924" s="62"/>
      <c r="E924" s="62"/>
      <c r="F924" s="62"/>
      <c r="G924" s="63"/>
      <c r="H924" s="64"/>
      <c r="I924" s="69"/>
      <c r="J924" s="64"/>
      <c r="K924" s="62"/>
      <c r="L924" s="62"/>
      <c r="M924" s="62"/>
      <c r="N924" s="62"/>
      <c r="O924" s="62"/>
      <c r="P924" s="62"/>
      <c r="Q924" s="62"/>
      <c r="R924" s="62"/>
      <c r="S924" s="62"/>
    </row>
    <row r="925">
      <c r="A925" s="68"/>
      <c r="B925" s="68"/>
      <c r="C925" s="62"/>
      <c r="D925" s="62"/>
      <c r="E925" s="62"/>
      <c r="F925" s="62"/>
      <c r="G925" s="63"/>
      <c r="H925" s="64"/>
      <c r="I925" s="69"/>
      <c r="J925" s="64"/>
      <c r="K925" s="62"/>
      <c r="L925" s="62"/>
      <c r="M925" s="62"/>
      <c r="N925" s="62"/>
      <c r="O925" s="62"/>
      <c r="P925" s="62"/>
      <c r="Q925" s="62"/>
      <c r="R925" s="62"/>
      <c r="S925" s="62"/>
    </row>
    <row r="926">
      <c r="A926" s="68"/>
      <c r="B926" s="68"/>
      <c r="C926" s="62"/>
      <c r="D926" s="62"/>
      <c r="E926" s="62"/>
      <c r="F926" s="62"/>
      <c r="G926" s="63"/>
      <c r="H926" s="64"/>
      <c r="I926" s="69"/>
      <c r="J926" s="64"/>
      <c r="K926" s="62"/>
      <c r="L926" s="62"/>
      <c r="M926" s="62"/>
      <c r="N926" s="62"/>
      <c r="O926" s="62"/>
      <c r="P926" s="62"/>
      <c r="Q926" s="62"/>
      <c r="R926" s="62"/>
      <c r="S926" s="62"/>
    </row>
    <row r="927">
      <c r="A927" s="68"/>
      <c r="B927" s="68"/>
      <c r="C927" s="62"/>
      <c r="D927" s="62"/>
      <c r="E927" s="62"/>
      <c r="F927" s="62"/>
      <c r="G927" s="63"/>
      <c r="H927" s="64"/>
      <c r="I927" s="69"/>
      <c r="J927" s="64"/>
      <c r="K927" s="62"/>
      <c r="L927" s="62"/>
      <c r="M927" s="62"/>
      <c r="N927" s="62"/>
      <c r="O927" s="62"/>
      <c r="P927" s="62"/>
      <c r="Q927" s="62"/>
      <c r="R927" s="62"/>
      <c r="S927" s="62"/>
    </row>
    <row r="928">
      <c r="A928" s="68"/>
      <c r="B928" s="68"/>
      <c r="C928" s="62"/>
      <c r="D928" s="62"/>
      <c r="E928" s="62"/>
      <c r="F928" s="62"/>
      <c r="G928" s="63"/>
      <c r="H928" s="64"/>
      <c r="I928" s="69"/>
      <c r="J928" s="64"/>
      <c r="K928" s="62"/>
      <c r="L928" s="62"/>
      <c r="M928" s="62"/>
      <c r="N928" s="62"/>
      <c r="O928" s="62"/>
      <c r="P928" s="62"/>
      <c r="Q928" s="62"/>
      <c r="R928" s="62"/>
      <c r="S928" s="62"/>
    </row>
    <row r="929">
      <c r="A929" s="68"/>
      <c r="B929" s="68"/>
      <c r="C929" s="62"/>
      <c r="D929" s="62"/>
      <c r="E929" s="62"/>
      <c r="F929" s="62"/>
      <c r="G929" s="63"/>
      <c r="H929" s="64"/>
      <c r="I929" s="69"/>
      <c r="J929" s="64"/>
      <c r="K929" s="62"/>
      <c r="L929" s="62"/>
      <c r="M929" s="62"/>
      <c r="N929" s="62"/>
      <c r="O929" s="62"/>
      <c r="P929" s="62"/>
      <c r="Q929" s="62"/>
      <c r="R929" s="62"/>
      <c r="S929" s="62"/>
    </row>
    <row r="930">
      <c r="A930" s="68"/>
      <c r="B930" s="68"/>
      <c r="C930" s="62"/>
      <c r="D930" s="62"/>
      <c r="E930" s="62"/>
      <c r="F930" s="62"/>
      <c r="G930" s="63"/>
      <c r="H930" s="64"/>
      <c r="I930" s="69"/>
      <c r="J930" s="64"/>
      <c r="K930" s="62"/>
      <c r="L930" s="62"/>
      <c r="M930" s="62"/>
      <c r="N930" s="62"/>
      <c r="O930" s="62"/>
      <c r="P930" s="62"/>
      <c r="Q930" s="62"/>
      <c r="R930" s="62"/>
      <c r="S930" s="62"/>
    </row>
    <row r="931">
      <c r="A931" s="68"/>
      <c r="B931" s="68"/>
      <c r="C931" s="62"/>
      <c r="D931" s="62"/>
      <c r="E931" s="62"/>
      <c r="F931" s="62"/>
      <c r="G931" s="63"/>
      <c r="H931" s="64"/>
      <c r="I931" s="69"/>
      <c r="J931" s="64"/>
      <c r="K931" s="62"/>
      <c r="L931" s="62"/>
      <c r="M931" s="62"/>
      <c r="N931" s="62"/>
      <c r="O931" s="62"/>
      <c r="P931" s="62"/>
      <c r="Q931" s="62"/>
      <c r="R931" s="62"/>
      <c r="S931" s="62"/>
    </row>
    <row r="932">
      <c r="A932" s="68"/>
      <c r="B932" s="68"/>
      <c r="C932" s="62"/>
      <c r="D932" s="62"/>
      <c r="E932" s="62"/>
      <c r="F932" s="62"/>
      <c r="G932" s="63"/>
      <c r="H932" s="64"/>
      <c r="I932" s="69"/>
      <c r="J932" s="64"/>
      <c r="K932" s="62"/>
      <c r="L932" s="62"/>
      <c r="M932" s="62"/>
      <c r="N932" s="62"/>
      <c r="O932" s="62"/>
      <c r="P932" s="62"/>
      <c r="Q932" s="62"/>
      <c r="R932" s="62"/>
      <c r="S932" s="62"/>
    </row>
    <row r="933">
      <c r="A933" s="68"/>
      <c r="B933" s="68"/>
      <c r="C933" s="62"/>
      <c r="D933" s="62"/>
      <c r="E933" s="62"/>
      <c r="F933" s="62"/>
      <c r="G933" s="63"/>
      <c r="H933" s="64"/>
      <c r="I933" s="69"/>
      <c r="J933" s="64"/>
      <c r="K933" s="62"/>
      <c r="L933" s="62"/>
      <c r="M933" s="62"/>
      <c r="N933" s="62"/>
      <c r="O933" s="62"/>
      <c r="P933" s="62"/>
      <c r="Q933" s="62"/>
      <c r="R933" s="62"/>
      <c r="S933" s="62"/>
    </row>
    <row r="934">
      <c r="A934" s="68"/>
      <c r="B934" s="68"/>
      <c r="C934" s="62"/>
      <c r="D934" s="62"/>
      <c r="E934" s="62"/>
      <c r="F934" s="62"/>
      <c r="G934" s="63"/>
      <c r="H934" s="64"/>
      <c r="I934" s="69"/>
      <c r="J934" s="64"/>
      <c r="K934" s="62"/>
      <c r="L934" s="62"/>
      <c r="M934" s="62"/>
      <c r="N934" s="62"/>
      <c r="O934" s="62"/>
      <c r="P934" s="62"/>
      <c r="Q934" s="62"/>
      <c r="R934" s="62"/>
      <c r="S934" s="62"/>
    </row>
    <row r="935">
      <c r="A935" s="68"/>
      <c r="B935" s="68"/>
      <c r="C935" s="62"/>
      <c r="D935" s="62"/>
      <c r="E935" s="62"/>
      <c r="F935" s="62"/>
      <c r="G935" s="63"/>
      <c r="H935" s="64"/>
      <c r="I935" s="69"/>
      <c r="J935" s="64"/>
      <c r="K935" s="62"/>
      <c r="L935" s="62"/>
      <c r="M935" s="62"/>
      <c r="N935" s="62"/>
      <c r="O935" s="62"/>
      <c r="P935" s="62"/>
      <c r="Q935" s="62"/>
      <c r="R935" s="62"/>
      <c r="S935" s="62"/>
    </row>
    <row r="936">
      <c r="A936" s="68"/>
      <c r="B936" s="68"/>
      <c r="C936" s="62"/>
      <c r="D936" s="62"/>
      <c r="E936" s="62"/>
      <c r="F936" s="62"/>
      <c r="G936" s="63"/>
      <c r="H936" s="64"/>
      <c r="I936" s="69"/>
      <c r="J936" s="64"/>
      <c r="K936" s="62"/>
      <c r="L936" s="62"/>
      <c r="M936" s="62"/>
      <c r="N936" s="62"/>
      <c r="O936" s="62"/>
      <c r="P936" s="62"/>
      <c r="Q936" s="62"/>
      <c r="R936" s="62"/>
      <c r="S936" s="62"/>
    </row>
    <row r="937">
      <c r="A937" s="68"/>
      <c r="B937" s="68"/>
      <c r="C937" s="62"/>
      <c r="D937" s="62"/>
      <c r="E937" s="62"/>
      <c r="F937" s="62"/>
      <c r="G937" s="63"/>
      <c r="H937" s="64"/>
      <c r="I937" s="69"/>
      <c r="J937" s="64"/>
      <c r="K937" s="62"/>
      <c r="L937" s="62"/>
      <c r="M937" s="62"/>
      <c r="N937" s="62"/>
      <c r="O937" s="62"/>
      <c r="P937" s="62"/>
      <c r="Q937" s="62"/>
      <c r="R937" s="62"/>
      <c r="S937" s="62"/>
    </row>
    <row r="938">
      <c r="A938" s="68"/>
      <c r="B938" s="68"/>
      <c r="C938" s="62"/>
      <c r="D938" s="62"/>
      <c r="E938" s="62"/>
      <c r="F938" s="62"/>
      <c r="G938" s="63"/>
      <c r="H938" s="64"/>
      <c r="I938" s="69"/>
      <c r="J938" s="64"/>
      <c r="K938" s="62"/>
      <c r="L938" s="62"/>
      <c r="M938" s="62"/>
      <c r="N938" s="62"/>
      <c r="O938" s="62"/>
      <c r="P938" s="62"/>
      <c r="Q938" s="62"/>
      <c r="R938" s="62"/>
      <c r="S938" s="62"/>
    </row>
    <row r="939">
      <c r="A939" s="68"/>
      <c r="B939" s="68"/>
      <c r="C939" s="62"/>
      <c r="D939" s="62"/>
      <c r="E939" s="62"/>
      <c r="F939" s="62"/>
      <c r="G939" s="63"/>
      <c r="H939" s="64"/>
      <c r="I939" s="69"/>
      <c r="J939" s="64"/>
      <c r="K939" s="62"/>
      <c r="L939" s="62"/>
      <c r="M939" s="62"/>
      <c r="N939" s="62"/>
      <c r="O939" s="62"/>
      <c r="P939" s="62"/>
      <c r="Q939" s="62"/>
      <c r="R939" s="62"/>
      <c r="S939" s="62"/>
    </row>
    <row r="940">
      <c r="A940" s="68"/>
      <c r="B940" s="68"/>
      <c r="C940" s="62"/>
      <c r="D940" s="62"/>
      <c r="E940" s="62"/>
      <c r="F940" s="62"/>
      <c r="G940" s="63"/>
      <c r="H940" s="64"/>
      <c r="I940" s="69"/>
      <c r="J940" s="64"/>
      <c r="K940" s="62"/>
      <c r="L940" s="62"/>
      <c r="M940" s="62"/>
      <c r="N940" s="62"/>
      <c r="O940" s="62"/>
      <c r="P940" s="62"/>
      <c r="Q940" s="62"/>
      <c r="R940" s="62"/>
      <c r="S940" s="62"/>
    </row>
    <row r="941">
      <c r="A941" s="68"/>
      <c r="B941" s="68"/>
      <c r="C941" s="62"/>
      <c r="D941" s="62"/>
      <c r="E941" s="62"/>
      <c r="F941" s="62"/>
      <c r="G941" s="63"/>
      <c r="H941" s="64"/>
      <c r="I941" s="69"/>
      <c r="J941" s="64"/>
      <c r="K941" s="62"/>
      <c r="L941" s="62"/>
      <c r="M941" s="62"/>
      <c r="N941" s="62"/>
      <c r="O941" s="62"/>
      <c r="P941" s="62"/>
      <c r="Q941" s="62"/>
      <c r="R941" s="62"/>
      <c r="S941" s="62"/>
    </row>
    <row r="942">
      <c r="A942" s="68"/>
      <c r="B942" s="68"/>
      <c r="C942" s="62"/>
      <c r="D942" s="62"/>
      <c r="E942" s="62"/>
      <c r="F942" s="62"/>
      <c r="G942" s="63"/>
      <c r="H942" s="64"/>
      <c r="I942" s="69"/>
      <c r="J942" s="64"/>
      <c r="K942" s="62"/>
      <c r="L942" s="62"/>
      <c r="M942" s="62"/>
      <c r="N942" s="62"/>
      <c r="O942" s="62"/>
      <c r="P942" s="62"/>
      <c r="Q942" s="62"/>
      <c r="R942" s="62"/>
      <c r="S942" s="62"/>
    </row>
    <row r="943">
      <c r="A943" s="68"/>
      <c r="B943" s="68"/>
      <c r="C943" s="62"/>
      <c r="D943" s="62"/>
      <c r="E943" s="62"/>
      <c r="F943" s="62"/>
      <c r="G943" s="63"/>
      <c r="H943" s="64"/>
      <c r="I943" s="69"/>
      <c r="J943" s="64"/>
      <c r="K943" s="62"/>
      <c r="L943" s="62"/>
      <c r="M943" s="62"/>
      <c r="N943" s="62"/>
      <c r="O943" s="62"/>
      <c r="P943" s="62"/>
      <c r="Q943" s="62"/>
      <c r="R943" s="62"/>
      <c r="S943" s="62"/>
    </row>
    <row r="944">
      <c r="A944" s="68"/>
      <c r="B944" s="68"/>
      <c r="C944" s="62"/>
      <c r="D944" s="62"/>
      <c r="E944" s="62"/>
      <c r="F944" s="62"/>
      <c r="G944" s="63"/>
      <c r="H944" s="64"/>
      <c r="I944" s="69"/>
      <c r="J944" s="64"/>
      <c r="K944" s="62"/>
      <c r="L944" s="62"/>
      <c r="M944" s="62"/>
      <c r="N944" s="62"/>
      <c r="O944" s="62"/>
      <c r="P944" s="62"/>
      <c r="Q944" s="62"/>
      <c r="R944" s="62"/>
      <c r="S944" s="62"/>
    </row>
    <row r="945">
      <c r="A945" s="68"/>
      <c r="B945" s="68"/>
      <c r="C945" s="62"/>
      <c r="D945" s="62"/>
      <c r="E945" s="62"/>
      <c r="F945" s="62"/>
      <c r="G945" s="63"/>
      <c r="H945" s="64"/>
      <c r="I945" s="69"/>
      <c r="J945" s="64"/>
      <c r="K945" s="62"/>
      <c r="L945" s="62"/>
      <c r="M945" s="62"/>
      <c r="N945" s="62"/>
      <c r="O945" s="62"/>
      <c r="P945" s="62"/>
      <c r="Q945" s="62"/>
      <c r="R945" s="62"/>
      <c r="S945" s="62"/>
    </row>
    <row r="946">
      <c r="A946" s="68"/>
      <c r="B946" s="68"/>
      <c r="C946" s="62"/>
      <c r="D946" s="62"/>
      <c r="E946" s="62"/>
      <c r="F946" s="62"/>
      <c r="G946" s="63"/>
      <c r="H946" s="64"/>
      <c r="I946" s="69"/>
      <c r="J946" s="64"/>
      <c r="K946" s="62"/>
      <c r="L946" s="62"/>
      <c r="M946" s="62"/>
      <c r="N946" s="62"/>
      <c r="O946" s="62"/>
      <c r="P946" s="62"/>
      <c r="Q946" s="62"/>
      <c r="R946" s="62"/>
      <c r="S946" s="62"/>
    </row>
    <row r="947">
      <c r="A947" s="68"/>
      <c r="B947" s="68"/>
      <c r="C947" s="62"/>
      <c r="D947" s="62"/>
      <c r="E947" s="62"/>
      <c r="F947" s="62"/>
      <c r="G947" s="63"/>
      <c r="H947" s="64"/>
      <c r="I947" s="69"/>
      <c r="J947" s="64"/>
      <c r="K947" s="62"/>
      <c r="L947" s="62"/>
      <c r="M947" s="62"/>
      <c r="N947" s="62"/>
      <c r="O947" s="62"/>
      <c r="P947" s="62"/>
      <c r="Q947" s="62"/>
      <c r="R947" s="62"/>
      <c r="S947" s="62"/>
    </row>
    <row r="948">
      <c r="A948" s="68"/>
      <c r="B948" s="68"/>
      <c r="C948" s="62"/>
      <c r="D948" s="62"/>
      <c r="E948" s="62"/>
      <c r="F948" s="62"/>
      <c r="G948" s="63"/>
      <c r="H948" s="64"/>
      <c r="I948" s="69"/>
      <c r="J948" s="64"/>
      <c r="K948" s="62"/>
      <c r="L948" s="62"/>
      <c r="M948" s="62"/>
      <c r="N948" s="62"/>
      <c r="O948" s="62"/>
      <c r="P948" s="62"/>
      <c r="Q948" s="62"/>
      <c r="R948" s="62"/>
      <c r="S948" s="62"/>
    </row>
    <row r="949">
      <c r="A949" s="68"/>
      <c r="B949" s="68"/>
      <c r="C949" s="62"/>
      <c r="D949" s="62"/>
      <c r="E949" s="62"/>
      <c r="F949" s="62"/>
      <c r="G949" s="63"/>
      <c r="H949" s="64"/>
      <c r="I949" s="69"/>
      <c r="J949" s="64"/>
      <c r="K949" s="62"/>
      <c r="L949" s="62"/>
      <c r="M949" s="62"/>
      <c r="N949" s="62"/>
      <c r="O949" s="62"/>
      <c r="P949" s="62"/>
      <c r="Q949" s="62"/>
      <c r="R949" s="62"/>
      <c r="S949" s="62"/>
    </row>
    <row r="950">
      <c r="A950" s="68"/>
      <c r="B950" s="68"/>
      <c r="C950" s="62"/>
      <c r="D950" s="62"/>
      <c r="E950" s="62"/>
      <c r="F950" s="62"/>
      <c r="G950" s="63"/>
      <c r="H950" s="64"/>
      <c r="I950" s="69"/>
      <c r="J950" s="64"/>
      <c r="K950" s="62"/>
      <c r="L950" s="62"/>
      <c r="M950" s="62"/>
      <c r="N950" s="62"/>
      <c r="O950" s="62"/>
      <c r="P950" s="62"/>
      <c r="Q950" s="62"/>
      <c r="R950" s="62"/>
      <c r="S950" s="62"/>
    </row>
    <row r="951">
      <c r="A951" s="68"/>
      <c r="B951" s="68"/>
      <c r="C951" s="62"/>
      <c r="D951" s="62"/>
      <c r="E951" s="62"/>
      <c r="F951" s="62"/>
      <c r="G951" s="63"/>
      <c r="H951" s="64"/>
      <c r="I951" s="69"/>
      <c r="J951" s="64"/>
      <c r="K951" s="62"/>
      <c r="L951" s="62"/>
      <c r="M951" s="62"/>
      <c r="N951" s="62"/>
      <c r="O951" s="62"/>
      <c r="P951" s="62"/>
      <c r="Q951" s="62"/>
      <c r="R951" s="62"/>
      <c r="S951" s="62"/>
    </row>
    <row r="952">
      <c r="A952" s="68"/>
      <c r="B952" s="68"/>
      <c r="C952" s="62"/>
      <c r="D952" s="62"/>
      <c r="E952" s="62"/>
      <c r="F952" s="62"/>
      <c r="G952" s="63"/>
      <c r="H952" s="64"/>
      <c r="I952" s="69"/>
      <c r="J952" s="64"/>
      <c r="K952" s="62"/>
      <c r="L952" s="62"/>
      <c r="M952" s="62"/>
      <c r="N952" s="62"/>
      <c r="O952" s="62"/>
      <c r="P952" s="62"/>
      <c r="Q952" s="62"/>
      <c r="R952" s="62"/>
      <c r="S952" s="62"/>
    </row>
    <row r="953">
      <c r="A953" s="68"/>
      <c r="B953" s="68"/>
      <c r="C953" s="62"/>
      <c r="D953" s="62"/>
      <c r="E953" s="62"/>
      <c r="F953" s="62"/>
      <c r="G953" s="63"/>
      <c r="H953" s="64"/>
      <c r="I953" s="69"/>
      <c r="J953" s="64"/>
      <c r="K953" s="62"/>
      <c r="L953" s="62"/>
      <c r="M953" s="62"/>
      <c r="N953" s="62"/>
      <c r="O953" s="62"/>
      <c r="P953" s="62"/>
      <c r="Q953" s="62"/>
      <c r="R953" s="62"/>
      <c r="S953" s="62"/>
    </row>
    <row r="954">
      <c r="A954" s="68"/>
      <c r="B954" s="68"/>
      <c r="C954" s="62"/>
      <c r="D954" s="62"/>
      <c r="E954" s="62"/>
      <c r="F954" s="62"/>
      <c r="G954" s="63"/>
      <c r="H954" s="64"/>
      <c r="I954" s="69"/>
      <c r="J954" s="64"/>
      <c r="K954" s="62"/>
      <c r="L954" s="62"/>
      <c r="M954" s="62"/>
      <c r="N954" s="62"/>
      <c r="O954" s="62"/>
      <c r="P954" s="62"/>
      <c r="Q954" s="62"/>
      <c r="R954" s="62"/>
      <c r="S954" s="62"/>
    </row>
    <row r="955">
      <c r="A955" s="68"/>
      <c r="B955" s="68"/>
      <c r="C955" s="62"/>
      <c r="D955" s="62"/>
      <c r="E955" s="62"/>
      <c r="F955" s="62"/>
      <c r="G955" s="63"/>
      <c r="H955" s="64"/>
      <c r="I955" s="69"/>
      <c r="J955" s="64"/>
      <c r="K955" s="62"/>
      <c r="L955" s="62"/>
      <c r="M955" s="62"/>
      <c r="N955" s="62"/>
      <c r="O955" s="62"/>
      <c r="P955" s="62"/>
      <c r="Q955" s="62"/>
      <c r="R955" s="62"/>
      <c r="S955" s="62"/>
    </row>
    <row r="956">
      <c r="A956" s="68"/>
      <c r="B956" s="68"/>
      <c r="C956" s="62"/>
      <c r="D956" s="62"/>
      <c r="E956" s="62"/>
      <c r="F956" s="62"/>
      <c r="G956" s="63"/>
      <c r="H956" s="64"/>
      <c r="I956" s="69"/>
      <c r="J956" s="64"/>
      <c r="K956" s="62"/>
      <c r="L956" s="62"/>
      <c r="M956" s="62"/>
      <c r="N956" s="62"/>
      <c r="O956" s="62"/>
      <c r="P956" s="62"/>
      <c r="Q956" s="62"/>
      <c r="R956" s="62"/>
      <c r="S956" s="62"/>
    </row>
    <row r="957">
      <c r="A957" s="68"/>
      <c r="B957" s="68"/>
      <c r="C957" s="62"/>
      <c r="D957" s="62"/>
      <c r="E957" s="62"/>
      <c r="F957" s="62"/>
      <c r="G957" s="63"/>
      <c r="H957" s="64"/>
      <c r="I957" s="69"/>
      <c r="J957" s="64"/>
      <c r="K957" s="62"/>
      <c r="L957" s="62"/>
      <c r="M957" s="62"/>
      <c r="N957" s="62"/>
      <c r="O957" s="62"/>
      <c r="P957" s="62"/>
      <c r="Q957" s="62"/>
      <c r="R957" s="62"/>
      <c r="S957" s="62"/>
    </row>
    <row r="958">
      <c r="A958" s="68"/>
      <c r="B958" s="68"/>
      <c r="C958" s="62"/>
      <c r="D958" s="62"/>
      <c r="E958" s="62"/>
      <c r="F958" s="62"/>
      <c r="G958" s="63"/>
      <c r="H958" s="64"/>
      <c r="I958" s="69"/>
      <c r="J958" s="64"/>
      <c r="K958" s="62"/>
      <c r="L958" s="62"/>
      <c r="M958" s="62"/>
      <c r="N958" s="62"/>
      <c r="O958" s="62"/>
      <c r="P958" s="62"/>
      <c r="Q958" s="62"/>
      <c r="R958" s="62"/>
      <c r="S958" s="62"/>
    </row>
    <row r="959">
      <c r="A959" s="68"/>
      <c r="B959" s="68"/>
      <c r="C959" s="62"/>
      <c r="D959" s="62"/>
      <c r="E959" s="62"/>
      <c r="F959" s="62"/>
      <c r="G959" s="63"/>
      <c r="H959" s="64"/>
      <c r="I959" s="69"/>
      <c r="J959" s="64"/>
      <c r="K959" s="62"/>
      <c r="L959" s="62"/>
      <c r="M959" s="62"/>
      <c r="N959" s="62"/>
      <c r="O959" s="62"/>
      <c r="P959" s="62"/>
      <c r="Q959" s="62"/>
      <c r="R959" s="62"/>
      <c r="S959" s="62"/>
    </row>
    <row r="960">
      <c r="A960" s="68"/>
      <c r="B960" s="68"/>
      <c r="C960" s="62"/>
      <c r="D960" s="62"/>
      <c r="E960" s="62"/>
      <c r="F960" s="62"/>
      <c r="G960" s="63"/>
      <c r="H960" s="64"/>
      <c r="I960" s="69"/>
      <c r="J960" s="64"/>
      <c r="K960" s="62"/>
      <c r="L960" s="62"/>
      <c r="M960" s="62"/>
      <c r="N960" s="62"/>
      <c r="O960" s="62"/>
      <c r="P960" s="62"/>
      <c r="Q960" s="62"/>
      <c r="R960" s="62"/>
      <c r="S960" s="62"/>
    </row>
    <row r="961">
      <c r="A961" s="68"/>
      <c r="B961" s="68"/>
      <c r="C961" s="62"/>
      <c r="D961" s="62"/>
      <c r="E961" s="62"/>
      <c r="F961" s="62"/>
      <c r="G961" s="63"/>
      <c r="H961" s="64"/>
      <c r="I961" s="69"/>
      <c r="J961" s="64"/>
      <c r="K961" s="62"/>
      <c r="L961" s="62"/>
      <c r="M961" s="62"/>
      <c r="N961" s="62"/>
      <c r="O961" s="62"/>
      <c r="P961" s="62"/>
      <c r="Q961" s="62"/>
      <c r="R961" s="62"/>
      <c r="S961" s="62"/>
    </row>
    <row r="962">
      <c r="A962" s="68"/>
      <c r="B962" s="68"/>
      <c r="C962" s="62"/>
      <c r="D962" s="62"/>
      <c r="E962" s="62"/>
      <c r="F962" s="62"/>
      <c r="G962" s="63"/>
      <c r="H962" s="64"/>
      <c r="I962" s="69"/>
      <c r="J962" s="64"/>
      <c r="K962" s="62"/>
      <c r="L962" s="62"/>
      <c r="M962" s="62"/>
      <c r="N962" s="62"/>
      <c r="O962" s="62"/>
      <c r="P962" s="62"/>
      <c r="Q962" s="62"/>
      <c r="R962" s="62"/>
      <c r="S962" s="62"/>
    </row>
    <row r="963">
      <c r="A963" s="68"/>
      <c r="B963" s="68"/>
      <c r="C963" s="62"/>
      <c r="D963" s="62"/>
      <c r="E963" s="62"/>
      <c r="F963" s="62"/>
      <c r="G963" s="63"/>
      <c r="H963" s="64"/>
      <c r="I963" s="69"/>
      <c r="J963" s="64"/>
      <c r="K963" s="62"/>
      <c r="L963" s="62"/>
      <c r="M963" s="62"/>
      <c r="N963" s="62"/>
      <c r="O963" s="62"/>
      <c r="P963" s="62"/>
      <c r="Q963" s="62"/>
      <c r="R963" s="62"/>
      <c r="S963" s="62"/>
    </row>
    <row r="964">
      <c r="A964" s="68"/>
      <c r="B964" s="68"/>
      <c r="C964" s="62"/>
      <c r="D964" s="62"/>
      <c r="E964" s="62"/>
      <c r="F964" s="62"/>
      <c r="G964" s="63"/>
      <c r="H964" s="64"/>
      <c r="I964" s="69"/>
      <c r="J964" s="64"/>
      <c r="K964" s="62"/>
      <c r="L964" s="62"/>
      <c r="M964" s="62"/>
      <c r="N964" s="62"/>
      <c r="O964" s="62"/>
      <c r="P964" s="62"/>
      <c r="Q964" s="62"/>
      <c r="R964" s="62"/>
      <c r="S964" s="62"/>
    </row>
    <row r="965">
      <c r="A965" s="68"/>
      <c r="B965" s="68"/>
      <c r="C965" s="62"/>
      <c r="D965" s="62"/>
      <c r="E965" s="62"/>
      <c r="F965" s="62"/>
      <c r="G965" s="63"/>
      <c r="H965" s="64"/>
      <c r="I965" s="69"/>
      <c r="J965" s="64"/>
      <c r="K965" s="62"/>
      <c r="L965" s="62"/>
      <c r="M965" s="62"/>
      <c r="N965" s="62"/>
      <c r="O965" s="62"/>
      <c r="P965" s="62"/>
      <c r="Q965" s="62"/>
      <c r="R965" s="62"/>
      <c r="S965" s="62"/>
    </row>
    <row r="966">
      <c r="A966" s="68"/>
      <c r="B966" s="68"/>
      <c r="C966" s="62"/>
      <c r="D966" s="62"/>
      <c r="E966" s="62"/>
      <c r="F966" s="62"/>
      <c r="G966" s="63"/>
      <c r="H966" s="64"/>
      <c r="I966" s="69"/>
      <c r="J966" s="64"/>
      <c r="K966" s="62"/>
      <c r="L966" s="62"/>
      <c r="M966" s="62"/>
      <c r="N966" s="62"/>
      <c r="O966" s="62"/>
      <c r="P966" s="62"/>
      <c r="Q966" s="62"/>
      <c r="R966" s="62"/>
      <c r="S966" s="62"/>
    </row>
    <row r="967">
      <c r="A967" s="68"/>
      <c r="B967" s="68"/>
      <c r="C967" s="62"/>
      <c r="D967" s="62"/>
      <c r="E967" s="62"/>
      <c r="F967" s="62"/>
      <c r="G967" s="63"/>
      <c r="H967" s="64"/>
      <c r="I967" s="69"/>
      <c r="J967" s="64"/>
      <c r="K967" s="62"/>
      <c r="L967" s="62"/>
      <c r="M967" s="62"/>
      <c r="N967" s="62"/>
      <c r="O967" s="62"/>
      <c r="P967" s="62"/>
      <c r="Q967" s="62"/>
      <c r="R967" s="62"/>
      <c r="S967" s="62"/>
    </row>
    <row r="968">
      <c r="A968" s="68"/>
      <c r="B968" s="68"/>
      <c r="C968" s="62"/>
      <c r="D968" s="62"/>
      <c r="E968" s="62"/>
      <c r="F968" s="62"/>
      <c r="G968" s="63"/>
      <c r="H968" s="64"/>
      <c r="I968" s="69"/>
      <c r="J968" s="64"/>
      <c r="K968" s="62"/>
      <c r="L968" s="62"/>
      <c r="M968" s="62"/>
      <c r="N968" s="62"/>
      <c r="O968" s="62"/>
      <c r="P968" s="62"/>
      <c r="Q968" s="62"/>
      <c r="R968" s="62"/>
      <c r="S968" s="62"/>
    </row>
    <row r="969">
      <c r="A969" s="68"/>
      <c r="B969" s="68"/>
      <c r="C969" s="62"/>
      <c r="D969" s="62"/>
      <c r="E969" s="62"/>
      <c r="F969" s="62"/>
      <c r="G969" s="63"/>
      <c r="H969" s="64"/>
      <c r="I969" s="69"/>
      <c r="J969" s="64"/>
      <c r="K969" s="62"/>
      <c r="L969" s="62"/>
      <c r="M969" s="62"/>
      <c r="N969" s="62"/>
      <c r="O969" s="62"/>
      <c r="P969" s="62"/>
      <c r="Q969" s="62"/>
      <c r="R969" s="62"/>
      <c r="S969" s="62"/>
    </row>
    <row r="970">
      <c r="A970" s="68"/>
      <c r="B970" s="68"/>
      <c r="C970" s="62"/>
      <c r="D970" s="62"/>
      <c r="E970" s="62"/>
      <c r="F970" s="62"/>
      <c r="G970" s="63"/>
      <c r="H970" s="64"/>
      <c r="I970" s="69"/>
      <c r="J970" s="64"/>
      <c r="K970" s="62"/>
      <c r="L970" s="62"/>
      <c r="M970" s="62"/>
      <c r="N970" s="62"/>
      <c r="O970" s="62"/>
      <c r="P970" s="62"/>
      <c r="Q970" s="62"/>
      <c r="R970" s="62"/>
      <c r="S970" s="62"/>
    </row>
    <row r="971">
      <c r="A971" s="68"/>
      <c r="B971" s="68"/>
      <c r="C971" s="62"/>
      <c r="D971" s="62"/>
      <c r="E971" s="62"/>
      <c r="F971" s="62"/>
      <c r="G971" s="63"/>
      <c r="H971" s="64"/>
      <c r="I971" s="69"/>
      <c r="J971" s="64"/>
      <c r="K971" s="62"/>
      <c r="L971" s="62"/>
      <c r="M971" s="62"/>
      <c r="N971" s="62"/>
      <c r="O971" s="62"/>
      <c r="P971" s="62"/>
      <c r="Q971" s="62"/>
      <c r="R971" s="62"/>
      <c r="S971" s="62"/>
    </row>
    <row r="972">
      <c r="A972" s="68"/>
      <c r="B972" s="68"/>
      <c r="C972" s="62"/>
      <c r="D972" s="62"/>
      <c r="E972" s="62"/>
      <c r="F972" s="62"/>
      <c r="G972" s="63"/>
      <c r="H972" s="64"/>
      <c r="I972" s="69"/>
      <c r="J972" s="64"/>
      <c r="K972" s="62"/>
      <c r="L972" s="62"/>
      <c r="M972" s="62"/>
      <c r="N972" s="62"/>
      <c r="O972" s="62"/>
      <c r="P972" s="62"/>
      <c r="Q972" s="62"/>
      <c r="R972" s="62"/>
      <c r="S972" s="62"/>
    </row>
    <row r="973">
      <c r="A973" s="68"/>
      <c r="B973" s="68"/>
      <c r="C973" s="62"/>
      <c r="D973" s="62"/>
      <c r="E973" s="62"/>
      <c r="F973" s="62"/>
      <c r="G973" s="63"/>
      <c r="H973" s="64"/>
      <c r="I973" s="69"/>
      <c r="J973" s="64"/>
      <c r="K973" s="62"/>
      <c r="L973" s="62"/>
      <c r="M973" s="62"/>
      <c r="N973" s="62"/>
      <c r="O973" s="62"/>
      <c r="P973" s="62"/>
      <c r="Q973" s="62"/>
      <c r="R973" s="62"/>
      <c r="S973" s="62"/>
    </row>
    <row r="974">
      <c r="A974" s="68"/>
      <c r="B974" s="68"/>
      <c r="C974" s="62"/>
      <c r="D974" s="62"/>
      <c r="E974" s="62"/>
      <c r="F974" s="62"/>
      <c r="G974" s="63"/>
      <c r="H974" s="64"/>
      <c r="I974" s="69"/>
      <c r="J974" s="64"/>
      <c r="K974" s="62"/>
      <c r="L974" s="62"/>
      <c r="M974" s="62"/>
      <c r="N974" s="62"/>
      <c r="O974" s="62"/>
      <c r="P974" s="62"/>
      <c r="Q974" s="62"/>
      <c r="R974" s="62"/>
      <c r="S974" s="62"/>
    </row>
    <row r="975">
      <c r="A975" s="68"/>
      <c r="B975" s="68"/>
      <c r="C975" s="62"/>
      <c r="D975" s="62"/>
      <c r="E975" s="62"/>
      <c r="F975" s="62"/>
      <c r="G975" s="63"/>
      <c r="H975" s="64"/>
      <c r="I975" s="69"/>
      <c r="J975" s="64"/>
      <c r="K975" s="62"/>
      <c r="L975" s="62"/>
      <c r="M975" s="62"/>
      <c r="N975" s="62"/>
      <c r="O975" s="62"/>
      <c r="P975" s="62"/>
      <c r="Q975" s="62"/>
      <c r="R975" s="62"/>
      <c r="S975" s="62"/>
    </row>
    <row r="976">
      <c r="A976" s="68"/>
      <c r="B976" s="68"/>
      <c r="C976" s="62"/>
      <c r="D976" s="62"/>
      <c r="E976" s="62"/>
      <c r="F976" s="62"/>
      <c r="G976" s="63"/>
      <c r="H976" s="64"/>
      <c r="I976" s="69"/>
      <c r="J976" s="64"/>
      <c r="K976" s="62"/>
      <c r="L976" s="62"/>
      <c r="M976" s="62"/>
      <c r="N976" s="62"/>
      <c r="O976" s="62"/>
      <c r="P976" s="62"/>
      <c r="Q976" s="62"/>
      <c r="R976" s="62"/>
      <c r="S976" s="62"/>
    </row>
    <row r="977">
      <c r="A977" s="68"/>
      <c r="B977" s="68"/>
      <c r="C977" s="62"/>
      <c r="D977" s="62"/>
      <c r="E977" s="62"/>
      <c r="F977" s="62"/>
      <c r="G977" s="63"/>
      <c r="H977" s="64"/>
      <c r="I977" s="69"/>
      <c r="J977" s="64"/>
      <c r="K977" s="62"/>
      <c r="L977" s="62"/>
      <c r="M977" s="62"/>
      <c r="N977" s="62"/>
      <c r="O977" s="62"/>
      <c r="P977" s="62"/>
      <c r="Q977" s="62"/>
      <c r="R977" s="62"/>
      <c r="S977" s="62"/>
    </row>
    <row r="978">
      <c r="A978" s="68"/>
      <c r="B978" s="68"/>
      <c r="C978" s="62"/>
      <c r="D978" s="62"/>
      <c r="E978" s="62"/>
      <c r="F978" s="62"/>
      <c r="G978" s="63"/>
      <c r="H978" s="64"/>
      <c r="I978" s="69"/>
      <c r="J978" s="64"/>
      <c r="K978" s="62"/>
      <c r="L978" s="62"/>
      <c r="M978" s="62"/>
      <c r="N978" s="62"/>
      <c r="O978" s="62"/>
      <c r="P978" s="62"/>
      <c r="Q978" s="62"/>
      <c r="R978" s="62"/>
      <c r="S978" s="62"/>
    </row>
    <row r="979">
      <c r="A979" s="68"/>
      <c r="B979" s="68"/>
      <c r="C979" s="62"/>
      <c r="D979" s="62"/>
      <c r="E979" s="62"/>
      <c r="F979" s="62"/>
      <c r="G979" s="63"/>
      <c r="H979" s="64"/>
      <c r="I979" s="69"/>
      <c r="J979" s="64"/>
      <c r="K979" s="62"/>
      <c r="L979" s="62"/>
      <c r="M979" s="62"/>
      <c r="N979" s="62"/>
      <c r="O979" s="62"/>
      <c r="P979" s="62"/>
      <c r="Q979" s="62"/>
      <c r="R979" s="62"/>
      <c r="S979" s="62"/>
    </row>
    <row r="980">
      <c r="A980" s="68"/>
      <c r="B980" s="68"/>
      <c r="C980" s="62"/>
      <c r="D980" s="62"/>
      <c r="E980" s="62"/>
      <c r="F980" s="62"/>
      <c r="G980" s="63"/>
      <c r="H980" s="64"/>
      <c r="I980" s="69"/>
      <c r="J980" s="64"/>
      <c r="K980" s="62"/>
      <c r="L980" s="62"/>
      <c r="M980" s="62"/>
      <c r="N980" s="62"/>
      <c r="O980" s="62"/>
      <c r="P980" s="62"/>
      <c r="Q980" s="62"/>
      <c r="R980" s="62"/>
      <c r="S980" s="62"/>
    </row>
    <row r="981">
      <c r="A981" s="68"/>
      <c r="B981" s="68"/>
      <c r="C981" s="62"/>
      <c r="D981" s="62"/>
      <c r="E981" s="62"/>
      <c r="F981" s="62"/>
      <c r="G981" s="63"/>
      <c r="H981" s="64"/>
      <c r="I981" s="69"/>
      <c r="J981" s="64"/>
      <c r="K981" s="62"/>
      <c r="L981" s="62"/>
      <c r="M981" s="62"/>
      <c r="N981" s="62"/>
      <c r="O981" s="62"/>
      <c r="P981" s="62"/>
      <c r="Q981" s="62"/>
      <c r="R981" s="62"/>
      <c r="S981" s="62"/>
    </row>
    <row r="982">
      <c r="A982" s="68"/>
      <c r="B982" s="68"/>
      <c r="C982" s="62"/>
      <c r="D982" s="62"/>
      <c r="E982" s="62"/>
      <c r="F982" s="62"/>
      <c r="G982" s="63"/>
      <c r="H982" s="64"/>
      <c r="I982" s="69"/>
      <c r="J982" s="64"/>
      <c r="K982" s="62"/>
      <c r="L982" s="62"/>
      <c r="M982" s="62"/>
      <c r="N982" s="62"/>
      <c r="O982" s="62"/>
      <c r="P982" s="62"/>
      <c r="Q982" s="62"/>
      <c r="R982" s="62"/>
      <c r="S982" s="62"/>
    </row>
    <row r="983">
      <c r="A983" s="68"/>
      <c r="B983" s="68"/>
      <c r="C983" s="62"/>
      <c r="D983" s="62"/>
      <c r="E983" s="62"/>
      <c r="F983" s="62"/>
      <c r="G983" s="63"/>
      <c r="H983" s="64"/>
      <c r="I983" s="69"/>
      <c r="J983" s="64"/>
      <c r="K983" s="62"/>
      <c r="L983" s="62"/>
      <c r="M983" s="62"/>
      <c r="N983" s="62"/>
      <c r="O983" s="62"/>
      <c r="P983" s="62"/>
      <c r="Q983" s="62"/>
      <c r="R983" s="62"/>
      <c r="S983" s="62"/>
    </row>
    <row r="984">
      <c r="A984" s="68"/>
      <c r="B984" s="68"/>
      <c r="C984" s="62"/>
      <c r="D984" s="62"/>
      <c r="E984" s="62"/>
      <c r="F984" s="62"/>
      <c r="G984" s="63"/>
      <c r="H984" s="64"/>
      <c r="I984" s="69"/>
      <c r="J984" s="64"/>
      <c r="K984" s="62"/>
      <c r="L984" s="62"/>
      <c r="M984" s="62"/>
      <c r="N984" s="62"/>
      <c r="O984" s="62"/>
      <c r="P984" s="62"/>
      <c r="Q984" s="62"/>
      <c r="R984" s="62"/>
      <c r="S984" s="62"/>
    </row>
    <row r="985">
      <c r="A985" s="68"/>
      <c r="B985" s="68"/>
      <c r="C985" s="62"/>
      <c r="D985" s="62"/>
      <c r="E985" s="62"/>
      <c r="F985" s="62"/>
      <c r="G985" s="63"/>
      <c r="H985" s="64"/>
      <c r="I985" s="69"/>
      <c r="J985" s="64"/>
      <c r="K985" s="62"/>
      <c r="L985" s="62"/>
      <c r="M985" s="62"/>
      <c r="N985" s="62"/>
      <c r="O985" s="62"/>
      <c r="P985" s="62"/>
      <c r="Q985" s="62"/>
      <c r="R985" s="62"/>
      <c r="S985" s="62"/>
    </row>
    <row r="986">
      <c r="A986" s="68"/>
      <c r="B986" s="68"/>
      <c r="C986" s="62"/>
      <c r="D986" s="62"/>
      <c r="E986" s="62"/>
      <c r="F986" s="62"/>
      <c r="G986" s="63"/>
      <c r="H986" s="64"/>
      <c r="I986" s="69"/>
      <c r="J986" s="64"/>
      <c r="K986" s="62"/>
      <c r="L986" s="62"/>
      <c r="M986" s="62"/>
      <c r="N986" s="62"/>
      <c r="O986" s="62"/>
      <c r="P986" s="62"/>
      <c r="Q986" s="62"/>
      <c r="R986" s="62"/>
      <c r="S986" s="62"/>
    </row>
    <row r="987">
      <c r="A987" s="68"/>
      <c r="B987" s="68"/>
      <c r="C987" s="62"/>
      <c r="D987" s="62"/>
      <c r="E987" s="62"/>
      <c r="F987" s="62"/>
      <c r="G987" s="63"/>
      <c r="H987" s="64"/>
      <c r="I987" s="69"/>
      <c r="J987" s="64"/>
      <c r="K987" s="62"/>
      <c r="L987" s="62"/>
      <c r="M987" s="62"/>
      <c r="N987" s="62"/>
      <c r="O987" s="62"/>
      <c r="P987" s="62"/>
      <c r="Q987" s="62"/>
      <c r="R987" s="62"/>
      <c r="S987" s="62"/>
    </row>
    <row r="988">
      <c r="A988" s="68"/>
      <c r="B988" s="68"/>
      <c r="C988" s="62"/>
      <c r="D988" s="62"/>
      <c r="E988" s="62"/>
      <c r="F988" s="62"/>
      <c r="G988" s="63"/>
      <c r="H988" s="64"/>
      <c r="I988" s="69"/>
      <c r="J988" s="64"/>
      <c r="K988" s="62"/>
      <c r="L988" s="62"/>
      <c r="M988" s="62"/>
      <c r="N988" s="62"/>
      <c r="O988" s="62"/>
      <c r="P988" s="62"/>
      <c r="Q988" s="62"/>
      <c r="R988" s="62"/>
      <c r="S988" s="62"/>
    </row>
    <row r="989">
      <c r="A989" s="68"/>
      <c r="B989" s="68"/>
      <c r="C989" s="62"/>
      <c r="D989" s="62"/>
      <c r="E989" s="62"/>
      <c r="F989" s="62"/>
      <c r="G989" s="63"/>
      <c r="H989" s="64"/>
      <c r="I989" s="69"/>
      <c r="J989" s="64"/>
      <c r="K989" s="62"/>
      <c r="L989" s="62"/>
      <c r="M989" s="62"/>
      <c r="N989" s="62"/>
      <c r="O989" s="62"/>
      <c r="P989" s="62"/>
      <c r="Q989" s="62"/>
      <c r="R989" s="62"/>
      <c r="S989" s="62"/>
    </row>
    <row r="990">
      <c r="A990" s="68"/>
      <c r="B990" s="68"/>
      <c r="C990" s="62"/>
      <c r="D990" s="62"/>
      <c r="E990" s="62"/>
      <c r="F990" s="62"/>
      <c r="G990" s="63"/>
      <c r="H990" s="64"/>
      <c r="I990" s="69"/>
      <c r="J990" s="64"/>
      <c r="K990" s="62"/>
      <c r="L990" s="62"/>
      <c r="M990" s="62"/>
      <c r="N990" s="62"/>
      <c r="O990" s="62"/>
      <c r="P990" s="62"/>
      <c r="Q990" s="62"/>
      <c r="R990" s="62"/>
      <c r="S990" s="62"/>
    </row>
    <row r="991">
      <c r="A991" s="68"/>
      <c r="B991" s="68"/>
      <c r="C991" s="62"/>
      <c r="D991" s="62"/>
      <c r="E991" s="62"/>
      <c r="F991" s="62"/>
      <c r="G991" s="63"/>
      <c r="H991" s="64"/>
      <c r="I991" s="69"/>
      <c r="J991" s="64"/>
      <c r="K991" s="62"/>
      <c r="L991" s="62"/>
      <c r="M991" s="62"/>
      <c r="N991" s="62"/>
      <c r="O991" s="62"/>
      <c r="P991" s="62"/>
      <c r="Q991" s="62"/>
      <c r="R991" s="62"/>
      <c r="S991" s="62"/>
    </row>
    <row r="992">
      <c r="A992" s="68"/>
      <c r="B992" s="68"/>
      <c r="C992" s="62"/>
      <c r="D992" s="62"/>
      <c r="E992" s="62"/>
      <c r="F992" s="62"/>
      <c r="G992" s="63"/>
      <c r="H992" s="64"/>
      <c r="I992" s="69"/>
      <c r="J992" s="64"/>
      <c r="K992" s="62"/>
      <c r="L992" s="62"/>
      <c r="M992" s="62"/>
      <c r="N992" s="62"/>
      <c r="O992" s="62"/>
      <c r="P992" s="62"/>
      <c r="Q992" s="62"/>
      <c r="R992" s="62"/>
      <c r="S992" s="62"/>
    </row>
    <row r="993">
      <c r="A993" s="68"/>
      <c r="B993" s="68"/>
      <c r="C993" s="62"/>
      <c r="D993" s="62"/>
      <c r="E993" s="62"/>
      <c r="F993" s="62"/>
      <c r="G993" s="63"/>
      <c r="H993" s="64"/>
      <c r="I993" s="69"/>
      <c r="J993" s="64"/>
      <c r="K993" s="62"/>
      <c r="L993" s="62"/>
      <c r="M993" s="62"/>
      <c r="N993" s="62"/>
      <c r="O993" s="62"/>
      <c r="P993" s="62"/>
      <c r="Q993" s="62"/>
      <c r="R993" s="62"/>
      <c r="S993" s="62"/>
    </row>
    <row r="994">
      <c r="A994" s="68"/>
      <c r="B994" s="68"/>
      <c r="C994" s="62"/>
      <c r="D994" s="62"/>
      <c r="E994" s="62"/>
      <c r="F994" s="62"/>
      <c r="G994" s="63"/>
      <c r="H994" s="64"/>
      <c r="I994" s="69"/>
      <c r="J994" s="64"/>
      <c r="K994" s="62"/>
      <c r="L994" s="62"/>
      <c r="M994" s="62"/>
      <c r="N994" s="62"/>
      <c r="O994" s="62"/>
      <c r="P994" s="62"/>
      <c r="Q994" s="62"/>
      <c r="R994" s="62"/>
      <c r="S994" s="62"/>
    </row>
    <row r="995">
      <c r="A995" s="68"/>
      <c r="B995" s="68"/>
      <c r="C995" s="62"/>
      <c r="D995" s="62"/>
      <c r="E995" s="62"/>
      <c r="F995" s="62"/>
      <c r="G995" s="63"/>
      <c r="H995" s="64"/>
      <c r="I995" s="69"/>
      <c r="J995" s="64"/>
      <c r="K995" s="62"/>
      <c r="L995" s="62"/>
      <c r="M995" s="62"/>
      <c r="N995" s="62"/>
      <c r="O995" s="62"/>
      <c r="P995" s="62"/>
      <c r="Q995" s="62"/>
      <c r="R995" s="62"/>
      <c r="S995" s="62"/>
    </row>
    <row r="996">
      <c r="A996" s="68"/>
      <c r="B996" s="68"/>
      <c r="C996" s="62"/>
      <c r="D996" s="62"/>
      <c r="E996" s="62"/>
      <c r="F996" s="62"/>
      <c r="G996" s="63"/>
      <c r="H996" s="64"/>
      <c r="I996" s="69"/>
      <c r="J996" s="64"/>
      <c r="K996" s="62"/>
      <c r="L996" s="62"/>
      <c r="M996" s="62"/>
      <c r="N996" s="62"/>
      <c r="O996" s="62"/>
      <c r="P996" s="62"/>
      <c r="Q996" s="62"/>
      <c r="R996" s="62"/>
      <c r="S996" s="62"/>
    </row>
    <row r="997">
      <c r="A997" s="68"/>
      <c r="B997" s="68"/>
      <c r="C997" s="62"/>
      <c r="D997" s="62"/>
      <c r="E997" s="62"/>
      <c r="F997" s="62"/>
      <c r="G997" s="63"/>
      <c r="H997" s="64"/>
      <c r="I997" s="69"/>
      <c r="J997" s="64"/>
      <c r="K997" s="62"/>
      <c r="L997" s="62"/>
      <c r="M997" s="62"/>
      <c r="N997" s="62"/>
      <c r="O997" s="62"/>
      <c r="P997" s="62"/>
      <c r="Q997" s="62"/>
      <c r="R997" s="62"/>
      <c r="S997" s="62"/>
    </row>
    <row r="998">
      <c r="A998" s="68"/>
      <c r="B998" s="68"/>
      <c r="C998" s="62"/>
      <c r="D998" s="62"/>
      <c r="E998" s="62"/>
      <c r="F998" s="62"/>
      <c r="G998" s="63"/>
      <c r="H998" s="64"/>
      <c r="I998" s="69"/>
      <c r="J998" s="64"/>
      <c r="K998" s="62"/>
      <c r="L998" s="62"/>
      <c r="M998" s="62"/>
      <c r="N998" s="62"/>
      <c r="O998" s="62"/>
      <c r="P998" s="62"/>
      <c r="Q998" s="62"/>
      <c r="R998" s="62"/>
      <c r="S998" s="62"/>
    </row>
    <row r="999">
      <c r="A999" s="68"/>
      <c r="B999" s="68"/>
      <c r="C999" s="62"/>
      <c r="D999" s="62"/>
      <c r="E999" s="62"/>
      <c r="F999" s="62"/>
      <c r="G999" s="63"/>
      <c r="H999" s="64"/>
      <c r="I999" s="69"/>
      <c r="J999" s="64"/>
      <c r="K999" s="62"/>
      <c r="L999" s="62"/>
      <c r="M999" s="62"/>
      <c r="N999" s="62"/>
      <c r="O999" s="62"/>
      <c r="P999" s="62"/>
      <c r="Q999" s="62"/>
      <c r="R999" s="62"/>
      <c r="S999" s="62"/>
    </row>
    <row r="1000">
      <c r="A1000" s="68"/>
      <c r="B1000" s="68"/>
      <c r="C1000" s="62"/>
      <c r="D1000" s="62"/>
      <c r="E1000" s="62"/>
      <c r="F1000" s="62"/>
      <c r="G1000" s="63"/>
      <c r="H1000" s="64"/>
      <c r="I1000" s="69"/>
      <c r="J1000" s="64"/>
      <c r="K1000" s="62"/>
      <c r="L1000" s="62"/>
      <c r="M1000" s="62"/>
      <c r="N1000" s="62"/>
      <c r="O1000" s="62"/>
      <c r="P1000" s="62"/>
      <c r="Q1000" s="62"/>
      <c r="R1000" s="62"/>
      <c r="S1000" s="6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75"/>
    <col customWidth="1" min="3" max="3" width="17.63"/>
    <col customWidth="1" min="4" max="4" width="29.38"/>
  </cols>
  <sheetData>
    <row r="1">
      <c r="A1" s="70" t="s">
        <v>0</v>
      </c>
      <c r="B1" s="70" t="s">
        <v>1683</v>
      </c>
      <c r="C1" s="71" t="s">
        <v>1688</v>
      </c>
      <c r="D1" s="72" t="s">
        <v>1689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</row>
    <row r="2">
      <c r="A2" s="74" t="s">
        <v>24</v>
      </c>
      <c r="B2" s="75">
        <v>2201.7</v>
      </c>
      <c r="C2" s="76" t="s">
        <v>1693</v>
      </c>
      <c r="D2" s="77" t="s">
        <v>1694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74" t="s">
        <v>139</v>
      </c>
      <c r="B3" s="75">
        <v>23487.99</v>
      </c>
      <c r="C3" s="76" t="s">
        <v>1695</v>
      </c>
      <c r="D3" s="77" t="s">
        <v>1696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>
      <c r="A4" s="74" t="s">
        <v>30</v>
      </c>
      <c r="B4" s="75">
        <v>17552.77</v>
      </c>
      <c r="C4" s="76" t="s">
        <v>1697</v>
      </c>
      <c r="D4" s="77" t="s">
        <v>1698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>
      <c r="A5" s="74" t="s">
        <v>56</v>
      </c>
      <c r="B5" s="75">
        <v>18017.46</v>
      </c>
      <c r="C5" s="76" t="s">
        <v>480</v>
      </c>
      <c r="D5" s="77" t="s">
        <v>1699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>
      <c r="A6" s="74" t="s">
        <v>171</v>
      </c>
      <c r="B6" s="75">
        <v>74939.47</v>
      </c>
      <c r="C6" s="76" t="s">
        <v>480</v>
      </c>
      <c r="D6" s="77" t="s">
        <v>1700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>
      <c r="A7" s="74" t="s">
        <v>84</v>
      </c>
      <c r="B7" s="75">
        <v>8347.953</v>
      </c>
      <c r="C7" s="76" t="s">
        <v>1701</v>
      </c>
      <c r="D7" s="77" t="s">
        <v>1702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>
      <c r="A8" s="74" t="s">
        <v>198</v>
      </c>
      <c r="B8" s="75">
        <v>33602.35</v>
      </c>
      <c r="C8" s="76" t="s">
        <v>1504</v>
      </c>
      <c r="D8" s="77" t="s">
        <v>1703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>
      <c r="A9" s="74" t="s">
        <v>168</v>
      </c>
      <c r="B9" s="75">
        <v>30175.54</v>
      </c>
      <c r="C9" s="76" t="s">
        <v>1704</v>
      </c>
      <c r="D9" s="77" t="s">
        <v>1705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>
      <c r="A10" s="74" t="s">
        <v>130</v>
      </c>
      <c r="B10" s="75">
        <v>22823.18</v>
      </c>
      <c r="C10" s="76" t="s">
        <v>1706</v>
      </c>
      <c r="D10" s="77" t="s">
        <v>1707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74" t="s">
        <v>159</v>
      </c>
      <c r="B11" s="75">
        <v>71193.22</v>
      </c>
      <c r="C11" s="76" t="s">
        <v>1708</v>
      </c>
      <c r="D11" s="77" t="s">
        <v>1709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>
      <c r="A12" s="74" t="s">
        <v>172</v>
      </c>
      <c r="B12" s="75">
        <v>71617.9</v>
      </c>
      <c r="C12" s="76" t="s">
        <v>1710</v>
      </c>
      <c r="D12" s="77" t="s">
        <v>1711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>
      <c r="A13" s="74" t="s">
        <v>131</v>
      </c>
      <c r="B13" s="75">
        <v>25088.95</v>
      </c>
      <c r="C13" s="76" t="s">
        <v>1712</v>
      </c>
      <c r="D13" s="77" t="s">
        <v>1713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>
      <c r="A14" s="74" t="s">
        <v>199</v>
      </c>
      <c r="B14" s="75">
        <v>41197.9</v>
      </c>
      <c r="C14" s="76" t="s">
        <v>1714</v>
      </c>
      <c r="D14" s="77" t="s">
        <v>1715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>
      <c r="A15" s="74" t="s">
        <v>31</v>
      </c>
      <c r="B15" s="75">
        <v>67210.99</v>
      </c>
      <c r="C15" s="76" t="s">
        <v>1716</v>
      </c>
      <c r="D15" s="77" t="s">
        <v>1717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>
      <c r="A16" s="74" t="s">
        <v>49</v>
      </c>
      <c r="B16" s="75">
        <v>9646.77</v>
      </c>
      <c r="C16" s="76" t="s">
        <v>1718</v>
      </c>
      <c r="D16" s="77" t="s">
        <v>1719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>
      <c r="A17" s="74" t="s">
        <v>200</v>
      </c>
      <c r="B17" s="75">
        <v>22671.95</v>
      </c>
      <c r="C17" s="76" t="s">
        <v>1720</v>
      </c>
      <c r="D17" s="77" t="s">
        <v>1721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>
      <c r="A18" s="74" t="s">
        <v>152</v>
      </c>
      <c r="B18" s="75">
        <v>33006.42</v>
      </c>
      <c r="C18" s="76" t="s">
        <v>1722</v>
      </c>
      <c r="D18" s="77" t="s">
        <v>1723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>
      <c r="A19" s="74" t="s">
        <v>173</v>
      </c>
      <c r="B19" s="75">
        <v>72126.0</v>
      </c>
      <c r="C19" s="76" t="s">
        <v>1724</v>
      </c>
      <c r="D19" s="77" t="s">
        <v>1725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>
      <c r="A20" s="74" t="s">
        <v>201</v>
      </c>
      <c r="B20" s="75">
        <v>15092.78</v>
      </c>
      <c r="C20" s="76" t="s">
        <v>1726</v>
      </c>
      <c r="D20" s="77" t="s">
        <v>1727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74" t="s">
        <v>111</v>
      </c>
      <c r="B21" s="75">
        <v>4434.564</v>
      </c>
      <c r="C21" s="76" t="s">
        <v>1728</v>
      </c>
      <c r="D21" s="77" t="s">
        <v>1729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>
      <c r="A22" s="74" t="s">
        <v>202</v>
      </c>
      <c r="B22" s="75">
        <v>119718.6</v>
      </c>
      <c r="C22" s="76" t="s">
        <v>491</v>
      </c>
      <c r="D22" s="77" t="s">
        <v>1730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>
      <c r="A23" s="74" t="s">
        <v>50</v>
      </c>
      <c r="B23" s="75">
        <v>16254.0</v>
      </c>
      <c r="C23" s="76" t="s">
        <v>433</v>
      </c>
      <c r="D23" s="77" t="s">
        <v>1731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>
      <c r="A24" s="74" t="s">
        <v>195</v>
      </c>
      <c r="B24" s="75">
        <v>11189.81</v>
      </c>
      <c r="C24" s="76" t="s">
        <v>1732</v>
      </c>
      <c r="D24" s="77" t="s">
        <v>1733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>
      <c r="A25" s="74" t="s">
        <v>140</v>
      </c>
      <c r="B25" s="75">
        <v>21971.05</v>
      </c>
      <c r="C25" s="76" t="s">
        <v>1734</v>
      </c>
      <c r="D25" s="77" t="s">
        <v>1735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>
      <c r="A26" s="74" t="s">
        <v>105</v>
      </c>
      <c r="B26" s="75">
        <v>20538.13</v>
      </c>
      <c r="C26" s="76" t="s">
        <v>1736</v>
      </c>
      <c r="D26" s="77" t="s">
        <v>1737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>
      <c r="A27" s="74" t="s">
        <v>226</v>
      </c>
      <c r="B27" s="75">
        <v>22333.41</v>
      </c>
      <c r="C27" s="76" t="s">
        <v>1738</v>
      </c>
      <c r="D27" s="77" t="s">
        <v>1739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>
      <c r="A28" s="74" t="s">
        <v>161</v>
      </c>
      <c r="B28" s="75">
        <v>90007.08</v>
      </c>
      <c r="C28" s="76" t="s">
        <v>1740</v>
      </c>
      <c r="D28" s="77" t="s">
        <v>1741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>
      <c r="A29" s="74" t="s">
        <v>141</v>
      </c>
      <c r="B29" s="75">
        <v>41086.12</v>
      </c>
      <c r="C29" s="76" t="s">
        <v>1742</v>
      </c>
      <c r="D29" s="77" t="s">
        <v>1743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>
      <c r="A30" s="74" t="s">
        <v>112</v>
      </c>
      <c r="B30" s="75">
        <v>2896.187</v>
      </c>
      <c r="C30" s="76" t="s">
        <v>1744</v>
      </c>
      <c r="D30" s="77" t="s">
        <v>1745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>
      <c r="A31" s="74" t="s">
        <v>90</v>
      </c>
      <c r="B31" s="75">
        <v>949.8346</v>
      </c>
      <c r="C31" s="76" t="s">
        <v>1746</v>
      </c>
      <c r="D31" s="77" t="s">
        <v>1747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>
      <c r="A32" s="74" t="s">
        <v>113</v>
      </c>
      <c r="B32" s="75">
        <v>11261.77</v>
      </c>
      <c r="C32" s="76" t="s">
        <v>1748</v>
      </c>
      <c r="D32" s="77" t="s">
        <v>1749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>
      <c r="A33" s="74" t="s">
        <v>71</v>
      </c>
      <c r="B33" s="75">
        <v>7969.934</v>
      </c>
      <c r="C33" s="76" t="s">
        <v>1750</v>
      </c>
      <c r="D33" s="77" t="s">
        <v>1751</v>
      </c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>
      <c r="A34" s="74" t="s">
        <v>114</v>
      </c>
      <c r="B34" s="75">
        <v>5591.496</v>
      </c>
      <c r="C34" s="76" t="s">
        <v>1752</v>
      </c>
      <c r="D34" s="77" t="s">
        <v>1753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>
      <c r="A35" s="74" t="s">
        <v>165</v>
      </c>
      <c r="B35" s="75">
        <v>65463.1</v>
      </c>
      <c r="C35" s="76" t="s">
        <v>1754</v>
      </c>
      <c r="D35" s="77" t="s">
        <v>1755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>
      <c r="A36" s="74" t="s">
        <v>85</v>
      </c>
      <c r="B36" s="75">
        <v>1263.596</v>
      </c>
      <c r="C36" s="76" t="s">
        <v>1756</v>
      </c>
      <c r="D36" s="77" t="s">
        <v>1757</v>
      </c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>
      <c r="A37" s="74" t="s">
        <v>115</v>
      </c>
      <c r="B37" s="75">
        <v>2961.932</v>
      </c>
      <c r="C37" s="76" t="s">
        <v>1758</v>
      </c>
      <c r="D37" s="77" t="s">
        <v>1759</v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>
      <c r="A38" s="74" t="s">
        <v>169</v>
      </c>
      <c r="B38" s="75">
        <v>34637.12</v>
      </c>
      <c r="C38" s="76" t="s">
        <v>1760</v>
      </c>
      <c r="D38" s="77" t="s">
        <v>1761</v>
      </c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>
      <c r="A39" s="74" t="s">
        <v>54</v>
      </c>
      <c r="B39" s="75">
        <v>27104.87</v>
      </c>
      <c r="C39" s="76" t="s">
        <v>1762</v>
      </c>
      <c r="D39" s="77" t="s">
        <v>1763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74" t="s">
        <v>217</v>
      </c>
      <c r="B40" s="75">
        <v>21494.6</v>
      </c>
      <c r="C40" s="76" t="s">
        <v>1764</v>
      </c>
      <c r="D40" s="77" t="s">
        <v>1765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74" t="s">
        <v>91</v>
      </c>
      <c r="B41" s="75">
        <v>4055.126</v>
      </c>
      <c r="C41" s="76" t="s">
        <v>1766</v>
      </c>
      <c r="D41" s="77" t="s">
        <v>1767</v>
      </c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74" t="s">
        <v>87</v>
      </c>
      <c r="B42" s="75">
        <v>1709.7</v>
      </c>
      <c r="C42" s="76" t="s">
        <v>1768</v>
      </c>
      <c r="D42" s="77" t="s">
        <v>1769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74" t="s">
        <v>86</v>
      </c>
      <c r="B43" s="75">
        <v>7026.4</v>
      </c>
      <c r="C43" s="76" t="s">
        <v>1770</v>
      </c>
      <c r="D43" s="77" t="s">
        <v>1771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74" t="s">
        <v>218</v>
      </c>
      <c r="B44" s="75">
        <v>30062.85</v>
      </c>
      <c r="C44" s="76" t="s">
        <v>1772</v>
      </c>
      <c r="D44" s="77" t="s">
        <v>1773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74" t="s">
        <v>116</v>
      </c>
      <c r="B45" s="75">
        <v>7653.45</v>
      </c>
      <c r="C45" s="76" t="s">
        <v>1774</v>
      </c>
      <c r="D45" s="77" t="s">
        <v>1775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74" t="s">
        <v>142</v>
      </c>
      <c r="B46" s="75">
        <v>48575.21</v>
      </c>
      <c r="C46" s="76" t="s">
        <v>1776</v>
      </c>
      <c r="D46" s="77" t="s">
        <v>1777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74" t="s">
        <v>203</v>
      </c>
      <c r="B47" s="75">
        <v>9605.3</v>
      </c>
      <c r="C47" s="76" t="s">
        <v>1778</v>
      </c>
      <c r="D47" s="77" t="s">
        <v>1779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74" t="s">
        <v>174</v>
      </c>
      <c r="B48" s="75">
        <v>61239.66</v>
      </c>
      <c r="C48" s="76" t="s">
        <v>1780</v>
      </c>
      <c r="D48" s="77" t="s">
        <v>1781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74" t="s">
        <v>143</v>
      </c>
      <c r="B49" s="75">
        <v>56805.65</v>
      </c>
      <c r="C49" s="76" t="s">
        <v>1782</v>
      </c>
      <c r="D49" s="77" t="s">
        <v>1783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74" t="s">
        <v>175</v>
      </c>
      <c r="B50" s="75">
        <v>79514.29</v>
      </c>
      <c r="C50" s="76" t="s">
        <v>1784</v>
      </c>
      <c r="D50" s="77" t="s">
        <v>1785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74" t="s">
        <v>92</v>
      </c>
      <c r="B51" s="75">
        <v>7776.226</v>
      </c>
      <c r="C51" s="76" t="s">
        <v>1786</v>
      </c>
      <c r="D51" s="77" t="s">
        <v>1787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74" t="s">
        <v>204</v>
      </c>
      <c r="B52" s="75">
        <v>21300.68</v>
      </c>
      <c r="C52" s="76" t="s">
        <v>542</v>
      </c>
      <c r="D52" s="77" t="s">
        <v>1788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74" t="s">
        <v>205</v>
      </c>
      <c r="B53" s="75">
        <v>27541.18</v>
      </c>
      <c r="C53" s="76" t="s">
        <v>1789</v>
      </c>
      <c r="D53" s="77" t="s">
        <v>1790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74" t="s">
        <v>196</v>
      </c>
      <c r="B54" s="75">
        <v>15840.27</v>
      </c>
      <c r="C54" s="76" t="s">
        <v>1791</v>
      </c>
      <c r="D54" s="77" t="s">
        <v>1792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74" t="s">
        <v>32</v>
      </c>
      <c r="B55" s="75">
        <v>15840.3</v>
      </c>
      <c r="C55" s="76" t="s">
        <v>1793</v>
      </c>
      <c r="D55" s="77" t="s">
        <v>1794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74" t="s">
        <v>219</v>
      </c>
      <c r="B56" s="75">
        <v>13264.03</v>
      </c>
      <c r="C56" s="76" t="s">
        <v>1795</v>
      </c>
      <c r="D56" s="77" t="s">
        <v>1796</v>
      </c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74" t="s">
        <v>88</v>
      </c>
      <c r="B57" s="75">
        <v>17566.76</v>
      </c>
      <c r="C57" s="76" t="s">
        <v>1797</v>
      </c>
      <c r="D57" s="77" t="s">
        <v>1798</v>
      </c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74" t="s">
        <v>93</v>
      </c>
      <c r="B58" s="75">
        <v>1742.3</v>
      </c>
      <c r="C58" s="76" t="s">
        <v>1799</v>
      </c>
      <c r="D58" s="77" t="s">
        <v>1800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74" t="s">
        <v>153</v>
      </c>
      <c r="B59" s="75">
        <v>49333.81</v>
      </c>
      <c r="C59" s="76" t="s">
        <v>1312</v>
      </c>
      <c r="D59" s="77" t="s">
        <v>1801</v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74" t="s">
        <v>106</v>
      </c>
      <c r="B60" s="75">
        <v>11784.28</v>
      </c>
      <c r="C60" s="76" t="s">
        <v>1802</v>
      </c>
      <c r="D60" s="77" t="s">
        <v>1803</v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74" t="s">
        <v>94</v>
      </c>
      <c r="B61" s="75">
        <v>3278.49</v>
      </c>
      <c r="C61" s="76" t="s">
        <v>1804</v>
      </c>
      <c r="D61" s="77" t="s">
        <v>1805</v>
      </c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74" t="s">
        <v>57</v>
      </c>
      <c r="B62" s="75">
        <v>16032.26</v>
      </c>
      <c r="C62" s="76" t="s">
        <v>1806</v>
      </c>
      <c r="D62" s="77" t="s">
        <v>1807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74" t="s">
        <v>176</v>
      </c>
      <c r="B63" s="75">
        <v>64091.23</v>
      </c>
      <c r="C63" s="76" t="s">
        <v>1808</v>
      </c>
      <c r="D63" s="77" t="s">
        <v>1809</v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74" t="s">
        <v>177</v>
      </c>
      <c r="B64" s="75">
        <v>61321.69</v>
      </c>
      <c r="C64" s="76" t="s">
        <v>1810</v>
      </c>
      <c r="D64" s="77" t="s">
        <v>1811</v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74" t="s">
        <v>89</v>
      </c>
      <c r="B65" s="75">
        <v>21509.52</v>
      </c>
      <c r="C65" s="76" t="s">
        <v>1812</v>
      </c>
      <c r="D65" s="77" t="s">
        <v>1813</v>
      </c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74" t="s">
        <v>117</v>
      </c>
      <c r="B66" s="75">
        <v>3445.3</v>
      </c>
      <c r="C66" s="76" t="s">
        <v>1814</v>
      </c>
      <c r="D66" s="77" t="s">
        <v>1815</v>
      </c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74" t="s">
        <v>132</v>
      </c>
      <c r="B67" s="75">
        <v>28417.75</v>
      </c>
      <c r="C67" s="76" t="s">
        <v>1816</v>
      </c>
      <c r="D67" s="77" t="s">
        <v>1817</v>
      </c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74" t="s">
        <v>178</v>
      </c>
      <c r="B68" s="75">
        <v>72300.12</v>
      </c>
      <c r="C68" s="76" t="s">
        <v>1818</v>
      </c>
      <c r="D68" s="77" t="s">
        <v>1819</v>
      </c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74" t="s">
        <v>118</v>
      </c>
      <c r="B69" s="75">
        <v>8027.168</v>
      </c>
      <c r="C69" s="76" t="s">
        <v>1820</v>
      </c>
      <c r="D69" s="77" t="s">
        <v>1821</v>
      </c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74" t="s">
        <v>179</v>
      </c>
      <c r="B70" s="75">
        <v>44074.3</v>
      </c>
      <c r="C70" s="76" t="s">
        <v>1822</v>
      </c>
      <c r="D70" s="77" t="s">
        <v>1823</v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74" t="s">
        <v>166</v>
      </c>
      <c r="B71" s="75">
        <v>78840.0</v>
      </c>
      <c r="C71" s="76" t="s">
        <v>512</v>
      </c>
      <c r="D71" s="77" t="s">
        <v>1824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74" t="s">
        <v>206</v>
      </c>
      <c r="B72" s="75">
        <v>20167.2</v>
      </c>
      <c r="C72" s="76" t="s">
        <v>1504</v>
      </c>
      <c r="D72" s="77" t="s">
        <v>1825</v>
      </c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74" t="s">
        <v>58</v>
      </c>
      <c r="B73" s="75">
        <v>41833.15</v>
      </c>
      <c r="C73" s="76" t="s">
        <v>1826</v>
      </c>
      <c r="D73" s="77" t="s">
        <v>1827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74" t="s">
        <v>220</v>
      </c>
      <c r="B74" s="75">
        <v>14368.66</v>
      </c>
      <c r="C74" s="76" t="s">
        <v>1828</v>
      </c>
      <c r="D74" s="77" t="s">
        <v>1829</v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74" t="s">
        <v>119</v>
      </c>
      <c r="B75" s="75">
        <v>4579.102</v>
      </c>
      <c r="C75" s="76" t="s">
        <v>1830</v>
      </c>
      <c r="D75" s="77" t="s">
        <v>1831</v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74" t="s">
        <v>120</v>
      </c>
      <c r="B76" s="75">
        <v>3052.691</v>
      </c>
      <c r="C76" s="76" t="s">
        <v>1832</v>
      </c>
      <c r="D76" s="77" t="s">
        <v>1833</v>
      </c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74" t="s">
        <v>207</v>
      </c>
      <c r="B77" s="75">
        <v>79905.74</v>
      </c>
      <c r="C77" s="76" t="s">
        <v>1834</v>
      </c>
      <c r="D77" s="77" t="s">
        <v>1835</v>
      </c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74" t="s">
        <v>208</v>
      </c>
      <c r="B78" s="75">
        <v>3183.459</v>
      </c>
      <c r="C78" s="76" t="s">
        <v>1836</v>
      </c>
      <c r="D78" s="77" t="s">
        <v>1837</v>
      </c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74" t="s">
        <v>221</v>
      </c>
      <c r="B79" s="75">
        <v>7486.019</v>
      </c>
      <c r="C79" s="76" t="s">
        <v>1838</v>
      </c>
      <c r="D79" s="77" t="s">
        <v>1839</v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74" t="s">
        <v>144</v>
      </c>
      <c r="B80" s="75">
        <v>47635.9</v>
      </c>
      <c r="C80" s="76" t="s">
        <v>1840</v>
      </c>
      <c r="D80" s="77" t="s">
        <v>1841</v>
      </c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>
      <c r="A81" s="74" t="s">
        <v>180</v>
      </c>
      <c r="B81" s="75">
        <v>78258.76</v>
      </c>
      <c r="C81" s="76" t="s">
        <v>1382</v>
      </c>
      <c r="D81" s="77" t="s">
        <v>1842</v>
      </c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>
      <c r="A82" s="74" t="s">
        <v>51</v>
      </c>
      <c r="B82" s="75">
        <v>11158.88</v>
      </c>
      <c r="C82" s="76" t="s">
        <v>1843</v>
      </c>
      <c r="D82" s="77" t="s">
        <v>1844</v>
      </c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>
      <c r="A83" s="74" t="s">
        <v>72</v>
      </c>
      <c r="B83" s="75">
        <v>16448.28</v>
      </c>
      <c r="C83" s="76" t="s">
        <v>1845</v>
      </c>
      <c r="D83" s="77" t="s">
        <v>1846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>
      <c r="A84" s="74" t="s">
        <v>33</v>
      </c>
      <c r="B84" s="75">
        <v>18441.6</v>
      </c>
      <c r="C84" s="76" t="s">
        <v>1847</v>
      </c>
      <c r="D84" s="77" t="s">
        <v>1848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>
      <c r="A85" s="74" t="s">
        <v>34</v>
      </c>
      <c r="B85" s="75">
        <v>14464.32</v>
      </c>
      <c r="C85" s="76" t="s">
        <v>1849</v>
      </c>
      <c r="D85" s="77" t="s">
        <v>1850</v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>
      <c r="A86" s="74" t="s">
        <v>181</v>
      </c>
      <c r="B86" s="75">
        <v>131175.1</v>
      </c>
      <c r="C86" s="76" t="s">
        <v>1851</v>
      </c>
      <c r="D86" s="77" t="s">
        <v>1852</v>
      </c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>
      <c r="A87" s="74" t="s">
        <v>182</v>
      </c>
      <c r="B87" s="75">
        <v>55690.74</v>
      </c>
      <c r="C87" s="76" t="s">
        <v>1853</v>
      </c>
      <c r="D87" s="77" t="s">
        <v>1854</v>
      </c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>
      <c r="A88" s="74" t="s">
        <v>183</v>
      </c>
      <c r="B88" s="75">
        <v>60846.98</v>
      </c>
      <c r="C88" s="76" t="s">
        <v>1855</v>
      </c>
      <c r="D88" s="77" t="s">
        <v>1856</v>
      </c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74" t="s">
        <v>209</v>
      </c>
      <c r="B89" s="75">
        <v>11662.34</v>
      </c>
      <c r="C89" s="76" t="s">
        <v>1857</v>
      </c>
      <c r="D89" s="77" t="s">
        <v>1858</v>
      </c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>
      <c r="A90" s="74" t="s">
        <v>162</v>
      </c>
      <c r="B90" s="75">
        <v>51685.04</v>
      </c>
      <c r="C90" s="76" t="s">
        <v>1859</v>
      </c>
      <c r="D90" s="77" t="s">
        <v>1860</v>
      </c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>
      <c r="A91" s="74" t="s">
        <v>35</v>
      </c>
      <c r="B91" s="75">
        <v>10821.49</v>
      </c>
      <c r="C91" s="76" t="s">
        <v>1861</v>
      </c>
      <c r="D91" s="77" t="s">
        <v>1862</v>
      </c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>
      <c r="A92" s="74" t="s">
        <v>133</v>
      </c>
      <c r="B92" s="75">
        <v>40813.04</v>
      </c>
      <c r="C92" s="76" t="s">
        <v>1863</v>
      </c>
      <c r="D92" s="77" t="s">
        <v>1864</v>
      </c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>
      <c r="A93" s="74" t="s">
        <v>95</v>
      </c>
      <c r="B93" s="75">
        <v>6619.359</v>
      </c>
      <c r="C93" s="76" t="s">
        <v>1865</v>
      </c>
      <c r="D93" s="77" t="s">
        <v>1866</v>
      </c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>
      <c r="A94" s="74" t="s">
        <v>59</v>
      </c>
      <c r="B94" s="75">
        <v>3702.326</v>
      </c>
      <c r="C94" s="76" t="s">
        <v>1867</v>
      </c>
      <c r="D94" s="77" t="s">
        <v>1868</v>
      </c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>
      <c r="A95" s="74" t="s">
        <v>163</v>
      </c>
      <c r="B95" s="75">
        <v>52204.0</v>
      </c>
      <c r="C95" s="76" t="s">
        <v>1869</v>
      </c>
      <c r="D95" s="77" t="s">
        <v>1870</v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>
      <c r="A96" s="74" t="s">
        <v>36</v>
      </c>
      <c r="B96" s="75">
        <v>51635.96</v>
      </c>
      <c r="C96" s="76" t="s">
        <v>1871</v>
      </c>
      <c r="D96" s="77" t="s">
        <v>1872</v>
      </c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>
      <c r="A97" s="74" t="s">
        <v>134</v>
      </c>
      <c r="B97" s="75">
        <v>8009.4</v>
      </c>
      <c r="C97" s="76" t="s">
        <v>1873</v>
      </c>
      <c r="D97" s="77" t="s">
        <v>1874</v>
      </c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>
      <c r="A98" s="74" t="s">
        <v>73</v>
      </c>
      <c r="B98" s="75">
        <v>9787.851</v>
      </c>
      <c r="C98" s="76" t="s">
        <v>1875</v>
      </c>
      <c r="D98" s="77" t="s">
        <v>1876</v>
      </c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>
      <c r="A99" s="74" t="s">
        <v>154</v>
      </c>
      <c r="B99" s="75">
        <v>43866.96</v>
      </c>
      <c r="C99" s="76" t="s">
        <v>1877</v>
      </c>
      <c r="D99" s="77" t="s">
        <v>1878</v>
      </c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>
      <c r="A100" s="74" t="s">
        <v>37</v>
      </c>
      <c r="B100" s="75">
        <v>5835.0</v>
      </c>
      <c r="C100" s="76" t="s">
        <v>1879</v>
      </c>
      <c r="D100" s="77" t="s">
        <v>1880</v>
      </c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74" t="s">
        <v>107</v>
      </c>
      <c r="B101" s="75">
        <v>2998.47</v>
      </c>
      <c r="C101" s="76" t="s">
        <v>1881</v>
      </c>
      <c r="D101" s="77" t="s">
        <v>1882</v>
      </c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>
      <c r="A102" s="74" t="s">
        <v>121</v>
      </c>
      <c r="B102" s="75">
        <v>1884.913</v>
      </c>
      <c r="C102" s="76" t="s">
        <v>1883</v>
      </c>
      <c r="D102" s="77" t="s">
        <v>1884</v>
      </c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>
      <c r="A103" s="74" t="s">
        <v>38</v>
      </c>
      <c r="B103" s="75">
        <v>13953.8</v>
      </c>
      <c r="C103" s="76" t="s">
        <v>1885</v>
      </c>
      <c r="D103" s="77" t="s">
        <v>1886</v>
      </c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>
      <c r="A104" s="74" t="s">
        <v>155</v>
      </c>
      <c r="B104" s="75">
        <v>54413.96</v>
      </c>
      <c r="C104" s="76" t="s">
        <v>1887</v>
      </c>
      <c r="D104" s="77" t="s">
        <v>1888</v>
      </c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>
      <c r="A105" s="74" t="s">
        <v>184</v>
      </c>
      <c r="B105" s="75">
        <v>150772.4</v>
      </c>
      <c r="C105" s="76" t="s">
        <v>1127</v>
      </c>
      <c r="D105" s="77" t="s">
        <v>1889</v>
      </c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74" t="s">
        <v>96</v>
      </c>
      <c r="B106" s="75">
        <v>1883.537</v>
      </c>
      <c r="C106" s="76" t="s">
        <v>1890</v>
      </c>
      <c r="D106" s="77" t="s">
        <v>1891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>
      <c r="A107" s="74" t="s">
        <v>97</v>
      </c>
      <c r="B107" s="75">
        <v>1859.448</v>
      </c>
      <c r="C107" s="76" t="s">
        <v>1892</v>
      </c>
      <c r="D107" s="77" t="s">
        <v>1893</v>
      </c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>
      <c r="A108" s="74" t="s">
        <v>74</v>
      </c>
      <c r="B108" s="75">
        <v>38728.94</v>
      </c>
      <c r="C108" s="76" t="s">
        <v>1894</v>
      </c>
      <c r="D108" s="77" t="s">
        <v>1895</v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>
      <c r="A109" s="74" t="s">
        <v>75</v>
      </c>
      <c r="B109" s="75">
        <v>26542.71</v>
      </c>
      <c r="C109" s="76" t="s">
        <v>1312</v>
      </c>
      <c r="D109" s="77" t="s">
        <v>1896</v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>
      <c r="A110" s="74" t="s">
        <v>122</v>
      </c>
      <c r="B110" s="75">
        <v>3308.669</v>
      </c>
      <c r="C110" s="76" t="s">
        <v>1897</v>
      </c>
      <c r="D110" s="77" t="s">
        <v>1898</v>
      </c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>
      <c r="A111" s="74" t="s">
        <v>185</v>
      </c>
      <c r="B111" s="75">
        <v>67364.18</v>
      </c>
      <c r="C111" s="76" t="s">
        <v>1417</v>
      </c>
      <c r="D111" s="77" t="s">
        <v>1899</v>
      </c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>
      <c r="A112" s="74" t="s">
        <v>60</v>
      </c>
      <c r="B112" s="75">
        <v>8198.126</v>
      </c>
      <c r="C112" s="76" t="s">
        <v>1900</v>
      </c>
      <c r="D112" s="77" t="s">
        <v>1901</v>
      </c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74" t="s">
        <v>123</v>
      </c>
      <c r="B113" s="75">
        <v>7271.34</v>
      </c>
      <c r="C113" s="76" t="s">
        <v>1902</v>
      </c>
      <c r="D113" s="77" t="s">
        <v>1903</v>
      </c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>
      <c r="A114" s="74" t="s">
        <v>76</v>
      </c>
      <c r="B114" s="75">
        <v>31050.93</v>
      </c>
      <c r="C114" s="76" t="s">
        <v>1904</v>
      </c>
      <c r="D114" s="77" t="s">
        <v>1905</v>
      </c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>
      <c r="A115" s="74" t="s">
        <v>222</v>
      </c>
      <c r="B115" s="75">
        <v>25688.1</v>
      </c>
      <c r="C115" s="76" t="s">
        <v>1906</v>
      </c>
      <c r="D115" s="77" t="s">
        <v>1907</v>
      </c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>
      <c r="A116" s="74" t="s">
        <v>61</v>
      </c>
      <c r="B116" s="75">
        <v>4346.2</v>
      </c>
      <c r="C116" s="76" t="s">
        <v>1908</v>
      </c>
      <c r="D116" s="77" t="s">
        <v>1909</v>
      </c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74" t="s">
        <v>156</v>
      </c>
      <c r="B117" s="75">
        <v>18716.51</v>
      </c>
      <c r="C117" s="76" t="s">
        <v>1910</v>
      </c>
      <c r="D117" s="77" t="s">
        <v>1911</v>
      </c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>
      <c r="A118" s="74" t="s">
        <v>186</v>
      </c>
      <c r="B118" s="75">
        <v>256580.5</v>
      </c>
      <c r="C118" s="76" t="s">
        <v>512</v>
      </c>
      <c r="D118" s="77" t="s">
        <v>1912</v>
      </c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>
      <c r="A119" s="74" t="s">
        <v>135</v>
      </c>
      <c r="B119" s="75">
        <v>19097.73</v>
      </c>
      <c r="C119" s="76" t="s">
        <v>1913</v>
      </c>
      <c r="D119" s="77" t="s">
        <v>1914</v>
      </c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>
      <c r="A120" s="74" t="s">
        <v>145</v>
      </c>
      <c r="B120" s="75">
        <v>33379.64</v>
      </c>
      <c r="C120" s="76" t="s">
        <v>1915</v>
      </c>
      <c r="D120" s="77" t="s">
        <v>1916</v>
      </c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>
      <c r="A121" s="74" t="s">
        <v>39</v>
      </c>
      <c r="B121" s="75">
        <v>10305.05</v>
      </c>
      <c r="C121" s="76" t="s">
        <v>1917</v>
      </c>
      <c r="D121" s="77" t="s">
        <v>1918</v>
      </c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>
      <c r="A122" s="74" t="s">
        <v>98</v>
      </c>
      <c r="B122" s="75">
        <v>1699.705</v>
      </c>
      <c r="C122" s="76" t="s">
        <v>1919</v>
      </c>
      <c r="D122" s="77" t="s">
        <v>1920</v>
      </c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>
      <c r="A123" s="74" t="s">
        <v>77</v>
      </c>
      <c r="B123" s="75">
        <v>5997.465</v>
      </c>
      <c r="C123" s="76" t="s">
        <v>1921</v>
      </c>
      <c r="D123" s="77" t="s">
        <v>1922</v>
      </c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>
      <c r="A124" s="74" t="s">
        <v>108</v>
      </c>
      <c r="B124" s="75">
        <v>11686.6</v>
      </c>
      <c r="C124" s="76" t="s">
        <v>1923</v>
      </c>
      <c r="D124" s="77" t="s">
        <v>1924</v>
      </c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>
      <c r="A125" s="74" t="s">
        <v>62</v>
      </c>
      <c r="B125" s="75">
        <v>14326.8</v>
      </c>
      <c r="C125" s="76" t="s">
        <v>481</v>
      </c>
      <c r="D125" s="77" t="s">
        <v>1925</v>
      </c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>
      <c r="A126" s="74" t="s">
        <v>52</v>
      </c>
      <c r="B126" s="75">
        <v>5736.621</v>
      </c>
      <c r="C126" s="76" t="s">
        <v>1926</v>
      </c>
      <c r="D126" s="77" t="s">
        <v>1927</v>
      </c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>
      <c r="A127" s="74" t="s">
        <v>187</v>
      </c>
      <c r="B127" s="75">
        <v>84218.46</v>
      </c>
      <c r="C127" s="76" t="s">
        <v>1928</v>
      </c>
      <c r="D127" s="77" t="s">
        <v>1929</v>
      </c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>
      <c r="A128" s="74" t="s">
        <v>160</v>
      </c>
      <c r="B128" s="75">
        <v>55093.54</v>
      </c>
      <c r="C128" s="76" t="s">
        <v>1930</v>
      </c>
      <c r="D128" s="77" t="s">
        <v>1931</v>
      </c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>
      <c r="A129" s="74" t="s">
        <v>223</v>
      </c>
      <c r="B129" s="75">
        <v>8708.8</v>
      </c>
      <c r="C129" s="76" t="s">
        <v>1932</v>
      </c>
      <c r="D129" s="77" t="s">
        <v>1933</v>
      </c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>
      <c r="A130" s="74" t="s">
        <v>124</v>
      </c>
      <c r="B130" s="75">
        <v>2015.023</v>
      </c>
      <c r="C130" s="76" t="s">
        <v>1934</v>
      </c>
      <c r="D130" s="77" t="s">
        <v>1935</v>
      </c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>
      <c r="A131" s="74" t="s">
        <v>125</v>
      </c>
      <c r="B131" s="75">
        <v>6439.813</v>
      </c>
      <c r="C131" s="76" t="s">
        <v>1936</v>
      </c>
      <c r="D131" s="77" t="s">
        <v>1937</v>
      </c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>
      <c r="A132" s="74" t="s">
        <v>55</v>
      </c>
      <c r="B132" s="75">
        <v>1700.0</v>
      </c>
      <c r="C132" s="76" t="s">
        <v>1869</v>
      </c>
      <c r="D132" s="77" t="s">
        <v>1938</v>
      </c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>
      <c r="A133" s="74" t="s">
        <v>146</v>
      </c>
      <c r="B133" s="75">
        <v>26587.03</v>
      </c>
      <c r="C133" s="76" t="s">
        <v>1939</v>
      </c>
      <c r="D133" s="77" t="s">
        <v>1940</v>
      </c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>
      <c r="A134" s="74" t="s">
        <v>1692</v>
      </c>
      <c r="B134" s="75">
        <v>23785.75</v>
      </c>
      <c r="C134" s="76" t="s">
        <v>480</v>
      </c>
      <c r="D134" s="77" t="s">
        <v>1941</v>
      </c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>
      <c r="A135" s="74" t="s">
        <v>188</v>
      </c>
      <c r="B135" s="75">
        <v>101031.6</v>
      </c>
      <c r="C135" s="76" t="s">
        <v>1942</v>
      </c>
      <c r="D135" s="77" t="s">
        <v>1943</v>
      </c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>
      <c r="A136" s="74" t="s">
        <v>40</v>
      </c>
      <c r="B136" s="75">
        <v>41664.18</v>
      </c>
      <c r="C136" s="76" t="s">
        <v>1944</v>
      </c>
      <c r="D136" s="77" t="s">
        <v>1945</v>
      </c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>
      <c r="A137" s="74" t="s">
        <v>53</v>
      </c>
      <c r="B137" s="75">
        <v>6286.98</v>
      </c>
      <c r="C137" s="76" t="s">
        <v>1946</v>
      </c>
      <c r="D137" s="77" t="s">
        <v>1947</v>
      </c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>
      <c r="A138" s="74" t="s">
        <v>64</v>
      </c>
      <c r="B138" s="75">
        <v>17531.7</v>
      </c>
      <c r="C138" s="76" t="s">
        <v>477</v>
      </c>
      <c r="D138" s="77" t="s">
        <v>1948</v>
      </c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>
      <c r="A139" s="74" t="s">
        <v>224</v>
      </c>
      <c r="B139" s="75">
        <v>41404.76</v>
      </c>
      <c r="C139" s="76" t="s">
        <v>1949</v>
      </c>
      <c r="D139" s="77" t="s">
        <v>1950</v>
      </c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>
      <c r="A140" s="74" t="s">
        <v>65</v>
      </c>
      <c r="B140" s="75">
        <v>4888.555</v>
      </c>
      <c r="C140" s="76" t="s">
        <v>1951</v>
      </c>
      <c r="D140" s="77" t="s">
        <v>1952</v>
      </c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>
      <c r="A141" s="74" t="s">
        <v>227</v>
      </c>
      <c r="B141" s="75">
        <v>18523.68</v>
      </c>
      <c r="C141" s="76" t="s">
        <v>1953</v>
      </c>
      <c r="D141" s="77" t="s">
        <v>1954</v>
      </c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>
      <c r="A142" s="74" t="s">
        <v>197</v>
      </c>
      <c r="B142" s="75">
        <v>17802.42</v>
      </c>
      <c r="C142" s="76" t="s">
        <v>1955</v>
      </c>
      <c r="D142" s="77" t="s">
        <v>1956</v>
      </c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>
      <c r="A143" s="74" t="s">
        <v>78</v>
      </c>
      <c r="B143" s="75">
        <v>11794.14</v>
      </c>
      <c r="C143" s="76" t="s">
        <v>1957</v>
      </c>
      <c r="D143" s="77" t="s">
        <v>1958</v>
      </c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>
      <c r="A144" s="74" t="s">
        <v>147</v>
      </c>
      <c r="B144" s="75">
        <v>50378.06</v>
      </c>
      <c r="C144" s="76" t="s">
        <v>1959</v>
      </c>
      <c r="D144" s="77" t="s">
        <v>1960</v>
      </c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>
      <c r="A145" s="74" t="s">
        <v>189</v>
      </c>
      <c r="B145" s="75">
        <v>50616.59</v>
      </c>
      <c r="C145" s="76" t="s">
        <v>1961</v>
      </c>
      <c r="D145" s="77" t="s">
        <v>1962</v>
      </c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>
      <c r="A146" s="74" t="s">
        <v>210</v>
      </c>
      <c r="B146" s="75">
        <v>50155.5</v>
      </c>
      <c r="C146" s="76" t="s">
        <v>1963</v>
      </c>
      <c r="D146" s="77" t="s">
        <v>1964</v>
      </c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>
      <c r="A147" s="74" t="s">
        <v>41</v>
      </c>
      <c r="B147" s="75">
        <v>126110.1</v>
      </c>
      <c r="C147" s="76" t="s">
        <v>1965</v>
      </c>
      <c r="D147" s="77" t="s">
        <v>1966</v>
      </c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>
      <c r="A148" s="74" t="s">
        <v>148</v>
      </c>
      <c r="B148" s="75">
        <v>48712.17</v>
      </c>
      <c r="C148" s="76" t="s">
        <v>1967</v>
      </c>
      <c r="D148" s="77" t="s">
        <v>1968</v>
      </c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>
      <c r="A149" s="74" t="s">
        <v>157</v>
      </c>
      <c r="B149" s="75">
        <v>47405.0</v>
      </c>
      <c r="C149" s="76" t="s">
        <v>1969</v>
      </c>
      <c r="D149" s="77" t="s">
        <v>1970</v>
      </c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>
      <c r="A150" s="74" t="s">
        <v>99</v>
      </c>
      <c r="B150" s="75">
        <v>3710.86</v>
      </c>
      <c r="C150" s="76" t="s">
        <v>1971</v>
      </c>
      <c r="D150" s="77" t="s">
        <v>1972</v>
      </c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>
      <c r="A151" s="74" t="s">
        <v>211</v>
      </c>
      <c r="B151" s="75">
        <v>35544.8</v>
      </c>
      <c r="C151" s="76" t="s">
        <v>491</v>
      </c>
      <c r="D151" s="77" t="s">
        <v>1973</v>
      </c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>
      <c r="A152" s="74" t="s">
        <v>66</v>
      </c>
      <c r="B152" s="75">
        <v>7837.292</v>
      </c>
      <c r="C152" s="76" t="s">
        <v>1974</v>
      </c>
      <c r="D152" s="77" t="s">
        <v>1975</v>
      </c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>
      <c r="A153" s="74" t="s">
        <v>190</v>
      </c>
      <c r="B153" s="75">
        <v>75941.5</v>
      </c>
      <c r="C153" s="76" t="s">
        <v>503</v>
      </c>
      <c r="D153" s="77" t="s">
        <v>1976</v>
      </c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>
      <c r="A154" s="74" t="s">
        <v>126</v>
      </c>
      <c r="B154" s="75">
        <v>6229.508</v>
      </c>
      <c r="C154" s="76" t="s">
        <v>1977</v>
      </c>
      <c r="D154" s="77" t="s">
        <v>1978</v>
      </c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>
      <c r="A155" s="74" t="s">
        <v>42</v>
      </c>
      <c r="B155" s="75">
        <v>71243.43</v>
      </c>
      <c r="C155" s="76" t="s">
        <v>1979</v>
      </c>
      <c r="D155" s="77" t="s">
        <v>1980</v>
      </c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>
      <c r="A156" s="74" t="s">
        <v>127</v>
      </c>
      <c r="B156" s="75">
        <v>5110.4</v>
      </c>
      <c r="C156" s="76" t="s">
        <v>1981</v>
      </c>
      <c r="D156" s="77" t="s">
        <v>1982</v>
      </c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>
      <c r="A157" s="74" t="s">
        <v>149</v>
      </c>
      <c r="B157" s="75">
        <v>31867.24</v>
      </c>
      <c r="C157" s="76" t="s">
        <v>1983</v>
      </c>
      <c r="D157" s="77" t="s">
        <v>1984</v>
      </c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>
      <c r="A158" s="74" t="s">
        <v>79</v>
      </c>
      <c r="B158" s="75">
        <v>33238.58</v>
      </c>
      <c r="C158" s="76" t="s">
        <v>523</v>
      </c>
      <c r="D158" s="77" t="s">
        <v>1985</v>
      </c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>
      <c r="A159" s="74" t="s">
        <v>128</v>
      </c>
      <c r="B159" s="75">
        <v>3515.563</v>
      </c>
      <c r="C159" s="76" t="s">
        <v>1986</v>
      </c>
      <c r="D159" s="77" t="s">
        <v>1987</v>
      </c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>
      <c r="A160" s="74" t="s">
        <v>164</v>
      </c>
      <c r="B160" s="75">
        <v>150689.3</v>
      </c>
      <c r="C160" s="76" t="s">
        <v>1988</v>
      </c>
      <c r="D160" s="77" t="s">
        <v>1989</v>
      </c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>
      <c r="A161" s="74" t="s">
        <v>150</v>
      </c>
      <c r="B161" s="75">
        <v>47180.8</v>
      </c>
      <c r="C161" s="76" t="s">
        <v>1990</v>
      </c>
      <c r="D161" s="77" t="s">
        <v>1991</v>
      </c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>
      <c r="A162" s="74" t="s">
        <v>151</v>
      </c>
      <c r="B162" s="75">
        <v>56530.63</v>
      </c>
      <c r="C162" s="76" t="s">
        <v>1992</v>
      </c>
      <c r="D162" s="77" t="s">
        <v>1993</v>
      </c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>
      <c r="A163" s="74" t="s">
        <v>529</v>
      </c>
      <c r="B163" s="75">
        <v>2872.5</v>
      </c>
      <c r="C163" s="76" t="s">
        <v>1994</v>
      </c>
      <c r="D163" s="77" t="s">
        <v>1995</v>
      </c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>
      <c r="A164" s="74" t="s">
        <v>100</v>
      </c>
      <c r="B164" s="75">
        <v>1600.764</v>
      </c>
      <c r="C164" s="76" t="s">
        <v>1996</v>
      </c>
      <c r="D164" s="77" t="s">
        <v>1997</v>
      </c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>
      <c r="A165" s="74" t="s">
        <v>109</v>
      </c>
      <c r="B165" s="75">
        <v>15457.49</v>
      </c>
      <c r="C165" s="76" t="s">
        <v>1998</v>
      </c>
      <c r="D165" s="77" t="s">
        <v>1999</v>
      </c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>
      <c r="A166" s="74" t="s">
        <v>101</v>
      </c>
      <c r="B166" s="75">
        <v>1154.9</v>
      </c>
      <c r="C166" s="76" t="s">
        <v>2000</v>
      </c>
      <c r="D166" s="77" t="s">
        <v>2001</v>
      </c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>
      <c r="A167" s="74" t="s">
        <v>191</v>
      </c>
      <c r="B167" s="75">
        <v>56926.24</v>
      </c>
      <c r="C167" s="76" t="s">
        <v>2002</v>
      </c>
      <c r="D167" s="77" t="s">
        <v>2003</v>
      </c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>
      <c r="A168" s="74" t="s">
        <v>80</v>
      </c>
      <c r="B168" s="75">
        <v>15632.59</v>
      </c>
      <c r="C168" s="76" t="s">
        <v>2004</v>
      </c>
      <c r="D168" s="77" t="s">
        <v>2005</v>
      </c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>
      <c r="A169" s="74" t="s">
        <v>212</v>
      </c>
      <c r="B169" s="75">
        <v>27567.33</v>
      </c>
      <c r="C169" s="76" t="s">
        <v>1383</v>
      </c>
      <c r="D169" s="77" t="s">
        <v>2006</v>
      </c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>
      <c r="A170" s="74" t="s">
        <v>213</v>
      </c>
      <c r="B170" s="75">
        <v>21272.1</v>
      </c>
      <c r="C170" s="76" t="s">
        <v>616</v>
      </c>
      <c r="D170" s="77" t="s">
        <v>2007</v>
      </c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>
      <c r="A171" s="74" t="s">
        <v>43</v>
      </c>
      <c r="B171" s="75">
        <v>2127.4</v>
      </c>
      <c r="C171" s="76" t="s">
        <v>2008</v>
      </c>
      <c r="D171" s="77" t="s">
        <v>2009</v>
      </c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>
      <c r="A172" s="74" t="s">
        <v>214</v>
      </c>
      <c r="B172" s="75">
        <v>22066.73</v>
      </c>
      <c r="C172" s="76" t="s">
        <v>2010</v>
      </c>
      <c r="D172" s="77" t="s">
        <v>2011</v>
      </c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>
      <c r="A173" s="74" t="s">
        <v>192</v>
      </c>
      <c r="B173" s="75">
        <v>71030.46</v>
      </c>
      <c r="C173" s="76" t="s">
        <v>2012</v>
      </c>
      <c r="D173" s="77" t="s">
        <v>2013</v>
      </c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>
      <c r="A174" s="74" t="s">
        <v>193</v>
      </c>
      <c r="B174" s="75">
        <v>93818.71</v>
      </c>
      <c r="C174" s="76" t="s">
        <v>2014</v>
      </c>
      <c r="D174" s="77" t="s">
        <v>2015</v>
      </c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>
      <c r="A175" s="74" t="s">
        <v>44</v>
      </c>
      <c r="B175" s="75">
        <v>4650.1</v>
      </c>
      <c r="C175" s="76" t="s">
        <v>2016</v>
      </c>
      <c r="D175" s="77" t="s">
        <v>2017</v>
      </c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>
      <c r="A176" s="74" t="s">
        <v>136</v>
      </c>
      <c r="B176" s="75">
        <v>5405.98</v>
      </c>
      <c r="C176" s="76" t="s">
        <v>2018</v>
      </c>
      <c r="D176" s="77" t="s">
        <v>2019</v>
      </c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>
      <c r="A177" s="74" t="s">
        <v>103</v>
      </c>
      <c r="B177" s="75">
        <v>4220.796</v>
      </c>
      <c r="C177" s="76" t="s">
        <v>2020</v>
      </c>
      <c r="D177" s="77" t="s">
        <v>2021</v>
      </c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>
      <c r="A178" s="74" t="s">
        <v>81</v>
      </c>
      <c r="B178" s="75">
        <v>24708.24</v>
      </c>
      <c r="C178" s="76" t="s">
        <v>2022</v>
      </c>
      <c r="D178" s="77" t="s">
        <v>2023</v>
      </c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>
      <c r="A179" s="74" t="s">
        <v>82</v>
      </c>
      <c r="B179" s="75">
        <v>4758.392</v>
      </c>
      <c r="C179" s="76" t="s">
        <v>2024</v>
      </c>
      <c r="D179" s="77" t="s">
        <v>2025</v>
      </c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>
      <c r="A180" s="74" t="s">
        <v>129</v>
      </c>
      <c r="B180" s="75">
        <v>3239.091</v>
      </c>
      <c r="C180" s="76" t="s">
        <v>2026</v>
      </c>
      <c r="D180" s="77" t="s">
        <v>2027</v>
      </c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>
      <c r="A181" s="74" t="s">
        <v>68</v>
      </c>
      <c r="B181" s="75">
        <v>7852.8</v>
      </c>
      <c r="C181" s="76" t="s">
        <v>493</v>
      </c>
      <c r="D181" s="77" t="s">
        <v>2028</v>
      </c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>
      <c r="A182" s="74" t="s">
        <v>215</v>
      </c>
      <c r="B182" s="75">
        <v>36021.13</v>
      </c>
      <c r="C182" s="76" t="s">
        <v>2029</v>
      </c>
      <c r="D182" s="77" t="s">
        <v>2030</v>
      </c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>
      <c r="A183" s="74" t="s">
        <v>45</v>
      </c>
      <c r="B183" s="75">
        <v>14451.25</v>
      </c>
      <c r="C183" s="76" t="s">
        <v>2031</v>
      </c>
      <c r="D183" s="77" t="s">
        <v>2032</v>
      </c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>
      <c r="A184" s="74" t="s">
        <v>46</v>
      </c>
      <c r="B184" s="75">
        <v>43932.08</v>
      </c>
      <c r="C184" s="76" t="s">
        <v>2033</v>
      </c>
      <c r="D184" s="77" t="s">
        <v>2034</v>
      </c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74" t="s">
        <v>137</v>
      </c>
      <c r="B185" s="75">
        <v>20407.8</v>
      </c>
      <c r="C185" s="76" t="s">
        <v>2035</v>
      </c>
      <c r="D185" s="77" t="s">
        <v>2036</v>
      </c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>
      <c r="A186" s="74" t="s">
        <v>69</v>
      </c>
      <c r="B186" s="75">
        <v>6151.0</v>
      </c>
      <c r="C186" s="76" t="s">
        <v>512</v>
      </c>
      <c r="D186" s="77" t="s">
        <v>2037</v>
      </c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>
      <c r="A187" s="74" t="s">
        <v>216</v>
      </c>
      <c r="B187" s="75">
        <v>49793.0</v>
      </c>
      <c r="C187" s="76" t="s">
        <v>1315</v>
      </c>
      <c r="D187" s="77" t="s">
        <v>2038</v>
      </c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>
      <c r="A188" s="74" t="s">
        <v>102</v>
      </c>
      <c r="B188" s="75">
        <v>3275.763</v>
      </c>
      <c r="C188" s="76" t="s">
        <v>2039</v>
      </c>
      <c r="D188" s="77" t="s">
        <v>2040</v>
      </c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>
      <c r="A189" s="74" t="s">
        <v>158</v>
      </c>
      <c r="B189" s="75">
        <v>18550.46</v>
      </c>
      <c r="C189" s="76" t="s">
        <v>2041</v>
      </c>
      <c r="D189" s="77" t="s">
        <v>2042</v>
      </c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>
      <c r="A190" s="74" t="s">
        <v>47</v>
      </c>
      <c r="B190" s="75">
        <v>77958.9</v>
      </c>
      <c r="C190" s="76" t="s">
        <v>2043</v>
      </c>
      <c r="D190" s="77" t="s">
        <v>2044</v>
      </c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>
      <c r="A191" s="74" t="s">
        <v>194</v>
      </c>
      <c r="B191" s="75">
        <v>60620.38</v>
      </c>
      <c r="C191" s="76" t="s">
        <v>2045</v>
      </c>
      <c r="D191" s="77" t="s">
        <v>2046</v>
      </c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>
      <c r="A192" s="74" t="s">
        <v>167</v>
      </c>
      <c r="B192" s="75">
        <v>85809.9</v>
      </c>
      <c r="C192" s="76" t="s">
        <v>2047</v>
      </c>
      <c r="D192" s="77" t="s">
        <v>2048</v>
      </c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>
      <c r="A193" s="74" t="s">
        <v>170</v>
      </c>
      <c r="B193" s="75">
        <v>36417.87</v>
      </c>
      <c r="C193" s="76" t="s">
        <v>2049</v>
      </c>
      <c r="D193" s="77" t="s">
        <v>2050</v>
      </c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>
      <c r="A194" s="74" t="s">
        <v>138</v>
      </c>
      <c r="B194" s="75">
        <v>11878.55</v>
      </c>
      <c r="C194" s="76" t="s">
        <v>2051</v>
      </c>
      <c r="D194" s="77" t="s">
        <v>2052</v>
      </c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>
      <c r="A195" s="74" t="s">
        <v>70</v>
      </c>
      <c r="B195" s="75">
        <v>3602.407</v>
      </c>
      <c r="C195" s="76" t="s">
        <v>2053</v>
      </c>
      <c r="D195" s="77" t="s">
        <v>2054</v>
      </c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>
      <c r="A196" s="74" t="s">
        <v>225</v>
      </c>
      <c r="B196" s="75">
        <v>17349.2</v>
      </c>
      <c r="C196" s="76" t="s">
        <v>2055</v>
      </c>
      <c r="D196" s="77" t="s">
        <v>2056</v>
      </c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74" t="s">
        <v>83</v>
      </c>
      <c r="B197" s="75">
        <v>16385.51</v>
      </c>
      <c r="C197" s="76" t="s">
        <v>2057</v>
      </c>
      <c r="D197" s="77" t="s">
        <v>2058</v>
      </c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>
      <c r="A198" s="74" t="s">
        <v>48</v>
      </c>
      <c r="B198" s="75">
        <v>3164.3</v>
      </c>
      <c r="C198" s="76" t="s">
        <v>2059</v>
      </c>
      <c r="D198" s="77" t="s">
        <v>2060</v>
      </c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>
      <c r="A199" s="74" t="s">
        <v>104</v>
      </c>
      <c r="B199" s="75">
        <v>4223.95</v>
      </c>
      <c r="C199" s="76" t="s">
        <v>2061</v>
      </c>
      <c r="D199" s="77" t="s">
        <v>2062</v>
      </c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>
      <c r="A200" s="74" t="s">
        <v>110</v>
      </c>
      <c r="B200" s="75">
        <v>3921.698</v>
      </c>
      <c r="C200" s="76" t="s">
        <v>2063</v>
      </c>
      <c r="D200" s="77" t="s">
        <v>2064</v>
      </c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>
      <c r="A201" s="78"/>
      <c r="B201" s="68"/>
      <c r="C201" s="79"/>
      <c r="D201" s="80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>
      <c r="A202" s="78"/>
      <c r="B202" s="68"/>
      <c r="C202" s="79"/>
      <c r="D202" s="80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>
      <c r="A203" s="78"/>
      <c r="B203" s="68"/>
      <c r="C203" s="79"/>
      <c r="D203" s="80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>
      <c r="A204" s="78"/>
      <c r="B204" s="68"/>
      <c r="C204" s="79"/>
      <c r="D204" s="80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>
      <c r="A205" s="78"/>
      <c r="B205" s="68"/>
      <c r="C205" s="79"/>
      <c r="D205" s="80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>
      <c r="A206" s="78"/>
      <c r="B206" s="68"/>
      <c r="C206" s="79"/>
      <c r="D206" s="80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>
      <c r="A207" s="78"/>
      <c r="B207" s="68"/>
      <c r="C207" s="79"/>
      <c r="D207" s="80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>
      <c r="A208" s="78"/>
      <c r="B208" s="68"/>
      <c r="C208" s="79"/>
      <c r="D208" s="80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>
      <c r="A209" s="78"/>
      <c r="B209" s="68"/>
      <c r="C209" s="79"/>
      <c r="D209" s="80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>
      <c r="A210" s="78"/>
      <c r="B210" s="68"/>
      <c r="C210" s="79"/>
      <c r="D210" s="80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>
      <c r="A211" s="78"/>
      <c r="B211" s="68"/>
      <c r="C211" s="79"/>
      <c r="D211" s="80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>
      <c r="A212" s="78"/>
      <c r="B212" s="68"/>
      <c r="C212" s="79"/>
      <c r="D212" s="80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>
      <c r="A213" s="78"/>
      <c r="B213" s="68"/>
      <c r="C213" s="79"/>
      <c r="D213" s="80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>
      <c r="A214" s="78"/>
      <c r="B214" s="68"/>
      <c r="C214" s="79"/>
      <c r="D214" s="80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>
      <c r="A215" s="78"/>
      <c r="B215" s="68"/>
      <c r="C215" s="79"/>
      <c r="D215" s="80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>
      <c r="A216" s="78"/>
      <c r="B216" s="68"/>
      <c r="C216" s="79"/>
      <c r="D216" s="80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>
      <c r="A217" s="78"/>
      <c r="B217" s="68"/>
      <c r="C217" s="79"/>
      <c r="D217" s="80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>
      <c r="A218" s="78"/>
      <c r="B218" s="68"/>
      <c r="C218" s="79"/>
      <c r="D218" s="80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>
      <c r="A219" s="78"/>
      <c r="B219" s="68"/>
      <c r="C219" s="79"/>
      <c r="D219" s="80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>
      <c r="A220" s="78"/>
      <c r="B220" s="68"/>
      <c r="C220" s="79"/>
      <c r="D220" s="80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>
      <c r="A221" s="78"/>
      <c r="B221" s="68"/>
      <c r="C221" s="79"/>
      <c r="D221" s="80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>
      <c r="A222" s="78"/>
      <c r="B222" s="68"/>
      <c r="C222" s="79"/>
      <c r="D222" s="80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>
      <c r="A223" s="78"/>
      <c r="B223" s="68"/>
      <c r="C223" s="79"/>
      <c r="D223" s="80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>
      <c r="A224" s="78"/>
      <c r="B224" s="68"/>
      <c r="C224" s="79"/>
      <c r="D224" s="80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>
      <c r="A225" s="78"/>
      <c r="B225" s="68"/>
      <c r="C225" s="79"/>
      <c r="D225" s="80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>
      <c r="A226" s="78"/>
      <c r="B226" s="68"/>
      <c r="C226" s="79"/>
      <c r="D226" s="80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>
      <c r="A227" s="78"/>
      <c r="B227" s="68"/>
      <c r="C227" s="79"/>
      <c r="D227" s="80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>
      <c r="A228" s="78"/>
      <c r="B228" s="68"/>
      <c r="C228" s="79"/>
      <c r="D228" s="80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>
      <c r="A229" s="78"/>
      <c r="B229" s="68"/>
      <c r="C229" s="79"/>
      <c r="D229" s="80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>
      <c r="A230" s="78"/>
      <c r="B230" s="68"/>
      <c r="C230" s="79"/>
      <c r="D230" s="80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>
      <c r="A231" s="78"/>
      <c r="B231" s="68"/>
      <c r="C231" s="79"/>
      <c r="D231" s="80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>
      <c r="A232" s="78"/>
      <c r="B232" s="68"/>
      <c r="C232" s="79"/>
      <c r="D232" s="80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>
      <c r="A233" s="78"/>
      <c r="B233" s="68"/>
      <c r="C233" s="79"/>
      <c r="D233" s="80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>
      <c r="A234" s="78"/>
      <c r="B234" s="68"/>
      <c r="C234" s="79"/>
      <c r="D234" s="80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>
      <c r="A235" s="78"/>
      <c r="B235" s="68"/>
      <c r="C235" s="79"/>
      <c r="D235" s="80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>
      <c r="A236" s="78"/>
      <c r="B236" s="68"/>
      <c r="C236" s="79"/>
      <c r="D236" s="80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>
      <c r="A237" s="78"/>
      <c r="B237" s="68"/>
      <c r="C237" s="79"/>
      <c r="D237" s="80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>
      <c r="A238" s="78"/>
      <c r="B238" s="68"/>
      <c r="C238" s="79"/>
      <c r="D238" s="80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>
      <c r="A239" s="78"/>
      <c r="B239" s="68"/>
      <c r="C239" s="79"/>
      <c r="D239" s="80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>
      <c r="A240" s="78"/>
      <c r="B240" s="68"/>
      <c r="C240" s="79"/>
      <c r="D240" s="80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>
      <c r="A241" s="78"/>
      <c r="B241" s="68"/>
      <c r="C241" s="79"/>
      <c r="D241" s="80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>
      <c r="A242" s="78"/>
      <c r="B242" s="68"/>
      <c r="C242" s="79"/>
      <c r="D242" s="80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>
      <c r="A243" s="78"/>
      <c r="B243" s="68"/>
      <c r="C243" s="79"/>
      <c r="D243" s="80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>
      <c r="A244" s="78"/>
      <c r="B244" s="68"/>
      <c r="C244" s="79"/>
      <c r="D244" s="80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>
      <c r="A245" s="78"/>
      <c r="B245" s="68"/>
      <c r="C245" s="79"/>
      <c r="D245" s="80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>
      <c r="A246" s="78"/>
      <c r="B246" s="68"/>
      <c r="C246" s="79"/>
      <c r="D246" s="80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>
      <c r="A247" s="78"/>
      <c r="B247" s="68"/>
      <c r="C247" s="79"/>
      <c r="D247" s="80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>
      <c r="A248" s="78"/>
      <c r="B248" s="68"/>
      <c r="C248" s="79"/>
      <c r="D248" s="80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>
      <c r="A249" s="78"/>
      <c r="B249" s="68"/>
      <c r="C249" s="79"/>
      <c r="D249" s="80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>
      <c r="A250" s="78"/>
      <c r="B250" s="68"/>
      <c r="C250" s="79"/>
      <c r="D250" s="80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>
      <c r="A251" s="78"/>
      <c r="B251" s="68"/>
      <c r="C251" s="79"/>
      <c r="D251" s="80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>
      <c r="A252" s="78"/>
      <c r="B252" s="68"/>
      <c r="C252" s="79"/>
      <c r="D252" s="80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>
      <c r="A253" s="78"/>
      <c r="B253" s="68"/>
      <c r="C253" s="79"/>
      <c r="D253" s="80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>
      <c r="A254" s="78"/>
      <c r="B254" s="68"/>
      <c r="C254" s="79"/>
      <c r="D254" s="80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>
      <c r="A255" s="78"/>
      <c r="B255" s="68"/>
      <c r="C255" s="79"/>
      <c r="D255" s="80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>
      <c r="A256" s="78"/>
      <c r="B256" s="68"/>
      <c r="C256" s="79"/>
      <c r="D256" s="80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>
      <c r="A257" s="78"/>
      <c r="B257" s="68"/>
      <c r="C257" s="79"/>
      <c r="D257" s="80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>
      <c r="A258" s="78"/>
      <c r="B258" s="68"/>
      <c r="C258" s="79"/>
      <c r="D258" s="80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>
      <c r="A259" s="78"/>
      <c r="B259" s="68"/>
      <c r="C259" s="79"/>
      <c r="D259" s="80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>
      <c r="A260" s="78"/>
      <c r="B260" s="68"/>
      <c r="C260" s="79"/>
      <c r="D260" s="80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>
      <c r="A261" s="78"/>
      <c r="B261" s="68"/>
      <c r="C261" s="79"/>
      <c r="D261" s="80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>
      <c r="A262" s="78"/>
      <c r="B262" s="68"/>
      <c r="C262" s="79"/>
      <c r="D262" s="80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>
      <c r="A263" s="78"/>
      <c r="B263" s="68"/>
      <c r="C263" s="79"/>
      <c r="D263" s="80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>
      <c r="A264" s="78"/>
      <c r="B264" s="68"/>
      <c r="C264" s="79"/>
      <c r="D264" s="80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>
      <c r="A265" s="78"/>
      <c r="B265" s="68"/>
      <c r="C265" s="79"/>
      <c r="D265" s="80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>
      <c r="A266" s="78"/>
      <c r="B266" s="68"/>
      <c r="C266" s="79"/>
      <c r="D266" s="80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>
      <c r="A267" s="78"/>
      <c r="B267" s="68"/>
      <c r="C267" s="79"/>
      <c r="D267" s="80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>
      <c r="A268" s="78"/>
      <c r="B268" s="68"/>
      <c r="C268" s="79"/>
      <c r="D268" s="80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>
      <c r="A269" s="78"/>
      <c r="B269" s="68"/>
      <c r="C269" s="79"/>
      <c r="D269" s="80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>
      <c r="A270" s="78"/>
      <c r="B270" s="68"/>
      <c r="C270" s="79"/>
      <c r="D270" s="80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>
      <c r="A271" s="78"/>
      <c r="B271" s="68"/>
      <c r="C271" s="79"/>
      <c r="D271" s="80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>
      <c r="A272" s="78"/>
      <c r="B272" s="68"/>
      <c r="C272" s="79"/>
      <c r="D272" s="80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>
      <c r="A273" s="78"/>
      <c r="B273" s="68"/>
      <c r="C273" s="79"/>
      <c r="D273" s="80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>
      <c r="A274" s="78"/>
      <c r="B274" s="68"/>
      <c r="C274" s="79"/>
      <c r="D274" s="80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>
      <c r="A275" s="78"/>
      <c r="B275" s="68"/>
      <c r="C275" s="79"/>
      <c r="D275" s="80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>
      <c r="A276" s="78"/>
      <c r="B276" s="68"/>
      <c r="C276" s="79"/>
      <c r="D276" s="80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>
      <c r="A277" s="78"/>
      <c r="B277" s="68"/>
      <c r="C277" s="79"/>
      <c r="D277" s="80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>
      <c r="A278" s="78"/>
      <c r="B278" s="68"/>
      <c r="C278" s="79"/>
      <c r="D278" s="80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>
      <c r="A279" s="78"/>
      <c r="B279" s="68"/>
      <c r="C279" s="79"/>
      <c r="D279" s="80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>
      <c r="A280" s="78"/>
      <c r="B280" s="68"/>
      <c r="C280" s="79"/>
      <c r="D280" s="80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>
      <c r="A281" s="78"/>
      <c r="B281" s="68"/>
      <c r="C281" s="79"/>
      <c r="D281" s="80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>
      <c r="A282" s="78"/>
      <c r="B282" s="68"/>
      <c r="C282" s="79"/>
      <c r="D282" s="80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>
      <c r="A283" s="78"/>
      <c r="B283" s="68"/>
      <c r="C283" s="79"/>
      <c r="D283" s="80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>
      <c r="A284" s="78"/>
      <c r="B284" s="68"/>
      <c r="C284" s="79"/>
      <c r="D284" s="80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>
      <c r="A285" s="78"/>
      <c r="B285" s="68"/>
      <c r="C285" s="79"/>
      <c r="D285" s="80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>
      <c r="A286" s="78"/>
      <c r="B286" s="68"/>
      <c r="C286" s="79"/>
      <c r="D286" s="80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>
      <c r="A287" s="78"/>
      <c r="B287" s="68"/>
      <c r="C287" s="79"/>
      <c r="D287" s="80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>
      <c r="A288" s="78"/>
      <c r="B288" s="68"/>
      <c r="C288" s="79"/>
      <c r="D288" s="80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>
      <c r="A289" s="78"/>
      <c r="B289" s="68"/>
      <c r="C289" s="79"/>
      <c r="D289" s="80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>
      <c r="A290" s="78"/>
      <c r="B290" s="68"/>
      <c r="C290" s="79"/>
      <c r="D290" s="80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>
      <c r="A291" s="78"/>
      <c r="B291" s="68"/>
      <c r="C291" s="79"/>
      <c r="D291" s="80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>
      <c r="A292" s="78"/>
      <c r="B292" s="68"/>
      <c r="C292" s="79"/>
      <c r="D292" s="80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>
      <c r="A293" s="78"/>
      <c r="B293" s="68"/>
      <c r="C293" s="79"/>
      <c r="D293" s="80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>
      <c r="A294" s="78"/>
      <c r="B294" s="68"/>
      <c r="C294" s="79"/>
      <c r="D294" s="80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>
      <c r="A295" s="78"/>
      <c r="B295" s="68"/>
      <c r="C295" s="79"/>
      <c r="D295" s="80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>
      <c r="A296" s="78"/>
      <c r="B296" s="68"/>
      <c r="C296" s="79"/>
      <c r="D296" s="80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>
      <c r="A297" s="78"/>
      <c r="B297" s="68"/>
      <c r="C297" s="79"/>
      <c r="D297" s="80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>
      <c r="A298" s="78"/>
      <c r="B298" s="68"/>
      <c r="C298" s="79"/>
      <c r="D298" s="80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>
      <c r="A299" s="78"/>
      <c r="B299" s="68"/>
      <c r="C299" s="79"/>
      <c r="D299" s="80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>
      <c r="A300" s="78"/>
      <c r="B300" s="68"/>
      <c r="C300" s="79"/>
      <c r="D300" s="80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>
      <c r="A301" s="78"/>
      <c r="B301" s="68"/>
      <c r="C301" s="79"/>
      <c r="D301" s="80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>
      <c r="A302" s="78"/>
      <c r="B302" s="68"/>
      <c r="C302" s="79"/>
      <c r="D302" s="80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>
      <c r="A303" s="78"/>
      <c r="B303" s="68"/>
      <c r="C303" s="79"/>
      <c r="D303" s="80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>
      <c r="A304" s="78"/>
      <c r="B304" s="68"/>
      <c r="C304" s="79"/>
      <c r="D304" s="80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>
      <c r="A305" s="78"/>
      <c r="B305" s="68"/>
      <c r="C305" s="79"/>
      <c r="D305" s="80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>
      <c r="A306" s="78"/>
      <c r="B306" s="68"/>
      <c r="C306" s="79"/>
      <c r="D306" s="80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>
      <c r="A307" s="78"/>
      <c r="B307" s="68"/>
      <c r="C307" s="79"/>
      <c r="D307" s="80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>
      <c r="A308" s="78"/>
      <c r="B308" s="68"/>
      <c r="C308" s="79"/>
      <c r="D308" s="80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>
      <c r="A309" s="78"/>
      <c r="B309" s="68"/>
      <c r="C309" s="79"/>
      <c r="D309" s="80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>
      <c r="A310" s="78"/>
      <c r="B310" s="68"/>
      <c r="C310" s="79"/>
      <c r="D310" s="80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>
      <c r="A311" s="78"/>
      <c r="B311" s="68"/>
      <c r="C311" s="79"/>
      <c r="D311" s="80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>
      <c r="A312" s="78"/>
      <c r="B312" s="68"/>
      <c r="C312" s="79"/>
      <c r="D312" s="80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>
      <c r="A313" s="78"/>
      <c r="B313" s="68"/>
      <c r="C313" s="79"/>
      <c r="D313" s="80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>
      <c r="A314" s="78"/>
      <c r="B314" s="68"/>
      <c r="C314" s="79"/>
      <c r="D314" s="80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>
      <c r="A315" s="78"/>
      <c r="B315" s="68"/>
      <c r="C315" s="79"/>
      <c r="D315" s="80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>
      <c r="A316" s="78"/>
      <c r="B316" s="68"/>
      <c r="C316" s="79"/>
      <c r="D316" s="80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>
      <c r="A317" s="78"/>
      <c r="B317" s="68"/>
      <c r="C317" s="79"/>
      <c r="D317" s="80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>
      <c r="A318" s="78"/>
      <c r="B318" s="68"/>
      <c r="C318" s="79"/>
      <c r="D318" s="80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>
      <c r="A319" s="78"/>
      <c r="B319" s="68"/>
      <c r="C319" s="79"/>
      <c r="D319" s="80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>
      <c r="A320" s="78"/>
      <c r="B320" s="68"/>
      <c r="C320" s="79"/>
      <c r="D320" s="80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>
      <c r="A321" s="78"/>
      <c r="B321" s="68"/>
      <c r="C321" s="79"/>
      <c r="D321" s="80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>
      <c r="A322" s="78"/>
      <c r="B322" s="68"/>
      <c r="C322" s="79"/>
      <c r="D322" s="80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>
      <c r="A323" s="78"/>
      <c r="B323" s="68"/>
      <c r="C323" s="79"/>
      <c r="D323" s="80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>
      <c r="A324" s="78"/>
      <c r="B324" s="68"/>
      <c r="C324" s="79"/>
      <c r="D324" s="80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>
      <c r="A325" s="78"/>
      <c r="B325" s="68"/>
      <c r="C325" s="79"/>
      <c r="D325" s="80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>
      <c r="A326" s="78"/>
      <c r="B326" s="68"/>
      <c r="C326" s="79"/>
      <c r="D326" s="80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>
      <c r="A327" s="78"/>
      <c r="B327" s="68"/>
      <c r="C327" s="79"/>
      <c r="D327" s="80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>
      <c r="A328" s="78"/>
      <c r="B328" s="68"/>
      <c r="C328" s="79"/>
      <c r="D328" s="80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>
      <c r="A329" s="78"/>
      <c r="B329" s="68"/>
      <c r="C329" s="79"/>
      <c r="D329" s="80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>
      <c r="A330" s="78"/>
      <c r="B330" s="68"/>
      <c r="C330" s="79"/>
      <c r="D330" s="80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>
      <c r="A331" s="78"/>
      <c r="B331" s="68"/>
      <c r="C331" s="79"/>
      <c r="D331" s="80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>
      <c r="A332" s="78"/>
      <c r="B332" s="68"/>
      <c r="C332" s="79"/>
      <c r="D332" s="80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>
      <c r="A333" s="78"/>
      <c r="B333" s="68"/>
      <c r="C333" s="79"/>
      <c r="D333" s="80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>
      <c r="A334" s="78"/>
      <c r="B334" s="68"/>
      <c r="C334" s="79"/>
      <c r="D334" s="80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>
      <c r="A335" s="78"/>
      <c r="B335" s="68"/>
      <c r="C335" s="79"/>
      <c r="D335" s="80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>
      <c r="A336" s="78"/>
      <c r="B336" s="68"/>
      <c r="C336" s="79"/>
      <c r="D336" s="80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>
      <c r="A337" s="78"/>
      <c r="B337" s="68"/>
      <c r="C337" s="79"/>
      <c r="D337" s="80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>
      <c r="A338" s="78"/>
      <c r="B338" s="68"/>
      <c r="C338" s="79"/>
      <c r="D338" s="80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>
      <c r="A339" s="78"/>
      <c r="B339" s="68"/>
      <c r="C339" s="79"/>
      <c r="D339" s="80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>
      <c r="A340" s="78"/>
      <c r="B340" s="68"/>
      <c r="C340" s="79"/>
      <c r="D340" s="80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>
      <c r="A341" s="78"/>
      <c r="B341" s="68"/>
      <c r="C341" s="79"/>
      <c r="D341" s="80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>
      <c r="A342" s="78"/>
      <c r="B342" s="68"/>
      <c r="C342" s="79"/>
      <c r="D342" s="80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>
      <c r="A343" s="78"/>
      <c r="B343" s="68"/>
      <c r="C343" s="79"/>
      <c r="D343" s="80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>
      <c r="A344" s="78"/>
      <c r="B344" s="68"/>
      <c r="C344" s="79"/>
      <c r="D344" s="80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>
      <c r="A345" s="78"/>
      <c r="B345" s="68"/>
      <c r="C345" s="79"/>
      <c r="D345" s="80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>
      <c r="A346" s="78"/>
      <c r="B346" s="68"/>
      <c r="C346" s="79"/>
      <c r="D346" s="80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>
      <c r="A347" s="78"/>
      <c r="B347" s="68"/>
      <c r="C347" s="79"/>
      <c r="D347" s="80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>
      <c r="A348" s="78"/>
      <c r="B348" s="68"/>
      <c r="C348" s="79"/>
      <c r="D348" s="80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>
      <c r="A349" s="78"/>
      <c r="B349" s="68"/>
      <c r="C349" s="79"/>
      <c r="D349" s="80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>
      <c r="A350" s="78"/>
      <c r="B350" s="68"/>
      <c r="C350" s="79"/>
      <c r="D350" s="80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>
      <c r="A351" s="78"/>
      <c r="B351" s="68"/>
      <c r="C351" s="79"/>
      <c r="D351" s="80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>
      <c r="A352" s="78"/>
      <c r="B352" s="68"/>
      <c r="C352" s="79"/>
      <c r="D352" s="80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>
      <c r="A353" s="78"/>
      <c r="B353" s="68"/>
      <c r="C353" s="79"/>
      <c r="D353" s="80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>
      <c r="A354" s="78"/>
      <c r="B354" s="68"/>
      <c r="C354" s="79"/>
      <c r="D354" s="80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>
      <c r="A355" s="78"/>
      <c r="B355" s="68"/>
      <c r="C355" s="79"/>
      <c r="D355" s="80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>
      <c r="A356" s="78"/>
      <c r="B356" s="68"/>
      <c r="C356" s="79"/>
      <c r="D356" s="80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>
      <c r="A357" s="78"/>
      <c r="B357" s="68"/>
      <c r="C357" s="79"/>
      <c r="D357" s="80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>
      <c r="A358" s="78"/>
      <c r="B358" s="68"/>
      <c r="C358" s="79"/>
      <c r="D358" s="80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>
      <c r="A359" s="78"/>
      <c r="B359" s="68"/>
      <c r="C359" s="79"/>
      <c r="D359" s="80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>
      <c r="A360" s="78"/>
      <c r="B360" s="68"/>
      <c r="C360" s="79"/>
      <c r="D360" s="80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>
      <c r="A361" s="78"/>
      <c r="B361" s="68"/>
      <c r="C361" s="79"/>
      <c r="D361" s="80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>
      <c r="A362" s="78"/>
      <c r="B362" s="68"/>
      <c r="C362" s="79"/>
      <c r="D362" s="80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>
      <c r="A363" s="78"/>
      <c r="B363" s="68"/>
      <c r="C363" s="79"/>
      <c r="D363" s="80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>
      <c r="A364" s="78"/>
      <c r="B364" s="68"/>
      <c r="C364" s="79"/>
      <c r="D364" s="80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>
      <c r="A365" s="78"/>
      <c r="B365" s="68"/>
      <c r="C365" s="79"/>
      <c r="D365" s="80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>
      <c r="A366" s="78"/>
      <c r="B366" s="68"/>
      <c r="C366" s="79"/>
      <c r="D366" s="80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>
      <c r="A367" s="78"/>
      <c r="B367" s="68"/>
      <c r="C367" s="79"/>
      <c r="D367" s="80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>
      <c r="A368" s="78"/>
      <c r="B368" s="68"/>
      <c r="C368" s="79"/>
      <c r="D368" s="80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>
      <c r="A369" s="78"/>
      <c r="B369" s="68"/>
      <c r="C369" s="79"/>
      <c r="D369" s="80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>
      <c r="A370" s="78"/>
      <c r="B370" s="68"/>
      <c r="C370" s="79"/>
      <c r="D370" s="80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>
      <c r="A371" s="78"/>
      <c r="B371" s="68"/>
      <c r="C371" s="79"/>
      <c r="D371" s="80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>
      <c r="A372" s="78"/>
      <c r="B372" s="68"/>
      <c r="C372" s="79"/>
      <c r="D372" s="80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>
      <c r="A373" s="78"/>
      <c r="B373" s="68"/>
      <c r="C373" s="79"/>
      <c r="D373" s="80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>
      <c r="A374" s="78"/>
      <c r="B374" s="68"/>
      <c r="C374" s="79"/>
      <c r="D374" s="80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>
      <c r="A375" s="78"/>
      <c r="B375" s="68"/>
      <c r="C375" s="79"/>
      <c r="D375" s="80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>
      <c r="A376" s="78"/>
      <c r="B376" s="68"/>
      <c r="C376" s="79"/>
      <c r="D376" s="80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>
      <c r="A377" s="78"/>
      <c r="B377" s="68"/>
      <c r="C377" s="79"/>
      <c r="D377" s="80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>
      <c r="A378" s="78"/>
      <c r="B378" s="68"/>
      <c r="C378" s="79"/>
      <c r="D378" s="80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>
      <c r="A379" s="78"/>
      <c r="B379" s="68"/>
      <c r="C379" s="79"/>
      <c r="D379" s="80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>
      <c r="A380" s="78"/>
      <c r="B380" s="68"/>
      <c r="C380" s="79"/>
      <c r="D380" s="80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>
      <c r="A381" s="78"/>
      <c r="B381" s="68"/>
      <c r="C381" s="79"/>
      <c r="D381" s="80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>
      <c r="A382" s="78"/>
      <c r="B382" s="68"/>
      <c r="C382" s="79"/>
      <c r="D382" s="80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>
      <c r="A383" s="78"/>
      <c r="B383" s="68"/>
      <c r="C383" s="79"/>
      <c r="D383" s="80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>
      <c r="A384" s="78"/>
      <c r="B384" s="68"/>
      <c r="C384" s="79"/>
      <c r="D384" s="80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>
      <c r="A385" s="78"/>
      <c r="B385" s="68"/>
      <c r="C385" s="79"/>
      <c r="D385" s="80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>
      <c r="A386" s="78"/>
      <c r="B386" s="68"/>
      <c r="C386" s="79"/>
      <c r="D386" s="80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>
      <c r="A387" s="78"/>
      <c r="B387" s="68"/>
      <c r="C387" s="79"/>
      <c r="D387" s="80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>
      <c r="A388" s="78"/>
      <c r="B388" s="68"/>
      <c r="C388" s="79"/>
      <c r="D388" s="80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>
      <c r="A389" s="78"/>
      <c r="B389" s="68"/>
      <c r="C389" s="79"/>
      <c r="D389" s="80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>
      <c r="A390" s="78"/>
      <c r="B390" s="68"/>
      <c r="C390" s="79"/>
      <c r="D390" s="80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>
      <c r="A391" s="78"/>
      <c r="B391" s="68"/>
      <c r="C391" s="79"/>
      <c r="D391" s="80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>
      <c r="A392" s="78"/>
      <c r="B392" s="68"/>
      <c r="C392" s="79"/>
      <c r="D392" s="80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>
      <c r="A393" s="78"/>
      <c r="B393" s="68"/>
      <c r="C393" s="79"/>
      <c r="D393" s="80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>
      <c r="A394" s="78"/>
      <c r="B394" s="68"/>
      <c r="C394" s="79"/>
      <c r="D394" s="80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>
      <c r="A395" s="78"/>
      <c r="B395" s="68"/>
      <c r="C395" s="79"/>
      <c r="D395" s="80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>
      <c r="A396" s="78"/>
      <c r="B396" s="68"/>
      <c r="C396" s="79"/>
      <c r="D396" s="80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>
      <c r="A397" s="78"/>
      <c r="B397" s="68"/>
      <c r="C397" s="79"/>
      <c r="D397" s="80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>
      <c r="A398" s="78"/>
      <c r="B398" s="68"/>
      <c r="C398" s="79"/>
      <c r="D398" s="80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>
      <c r="A399" s="78"/>
      <c r="B399" s="68"/>
      <c r="C399" s="79"/>
      <c r="D399" s="80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>
      <c r="A400" s="78"/>
      <c r="B400" s="68"/>
      <c r="C400" s="79"/>
      <c r="D400" s="80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>
      <c r="A401" s="78"/>
      <c r="B401" s="68"/>
      <c r="C401" s="79"/>
      <c r="D401" s="80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>
      <c r="A402" s="78"/>
      <c r="B402" s="68"/>
      <c r="C402" s="79"/>
      <c r="D402" s="80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>
      <c r="A403" s="78"/>
      <c r="B403" s="68"/>
      <c r="C403" s="79"/>
      <c r="D403" s="80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>
      <c r="A404" s="78"/>
      <c r="B404" s="68"/>
      <c r="C404" s="79"/>
      <c r="D404" s="80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>
      <c r="A405" s="78"/>
      <c r="B405" s="68"/>
      <c r="C405" s="79"/>
      <c r="D405" s="80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>
      <c r="A406" s="78"/>
      <c r="B406" s="68"/>
      <c r="C406" s="79"/>
      <c r="D406" s="80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>
      <c r="A407" s="78"/>
      <c r="B407" s="68"/>
      <c r="C407" s="79"/>
      <c r="D407" s="80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>
      <c r="A408" s="78"/>
      <c r="B408" s="68"/>
      <c r="C408" s="79"/>
      <c r="D408" s="80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>
      <c r="A409" s="78"/>
      <c r="B409" s="68"/>
      <c r="C409" s="79"/>
      <c r="D409" s="80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>
      <c r="A410" s="78"/>
      <c r="B410" s="68"/>
      <c r="C410" s="79"/>
      <c r="D410" s="80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>
      <c r="A411" s="78"/>
      <c r="B411" s="68"/>
      <c r="C411" s="79"/>
      <c r="D411" s="80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>
      <c r="A412" s="78"/>
      <c r="B412" s="68"/>
      <c r="C412" s="79"/>
      <c r="D412" s="80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>
      <c r="A413" s="78"/>
      <c r="B413" s="68"/>
      <c r="C413" s="79"/>
      <c r="D413" s="80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>
      <c r="A414" s="78"/>
      <c r="B414" s="68"/>
      <c r="C414" s="79"/>
      <c r="D414" s="80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>
      <c r="A415" s="78"/>
      <c r="B415" s="68"/>
      <c r="C415" s="79"/>
      <c r="D415" s="80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>
      <c r="A416" s="78"/>
      <c r="B416" s="68"/>
      <c r="C416" s="79"/>
      <c r="D416" s="80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>
      <c r="A417" s="78"/>
      <c r="B417" s="68"/>
      <c r="C417" s="79"/>
      <c r="D417" s="80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>
      <c r="A418" s="78"/>
      <c r="B418" s="68"/>
      <c r="C418" s="79"/>
      <c r="D418" s="80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>
      <c r="A419" s="78"/>
      <c r="B419" s="68"/>
      <c r="C419" s="79"/>
      <c r="D419" s="80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>
      <c r="A420" s="78"/>
      <c r="B420" s="68"/>
      <c r="C420" s="79"/>
      <c r="D420" s="80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>
      <c r="A421" s="78"/>
      <c r="B421" s="68"/>
      <c r="C421" s="79"/>
      <c r="D421" s="80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>
      <c r="A422" s="78"/>
      <c r="B422" s="68"/>
      <c r="C422" s="79"/>
      <c r="D422" s="80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>
      <c r="A423" s="78"/>
      <c r="B423" s="68"/>
      <c r="C423" s="79"/>
      <c r="D423" s="80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>
      <c r="A424" s="78"/>
      <c r="B424" s="68"/>
      <c r="C424" s="79"/>
      <c r="D424" s="80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>
      <c r="A425" s="78"/>
      <c r="B425" s="68"/>
      <c r="C425" s="79"/>
      <c r="D425" s="80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>
      <c r="A426" s="78"/>
      <c r="B426" s="68"/>
      <c r="C426" s="79"/>
      <c r="D426" s="80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>
      <c r="A427" s="78"/>
      <c r="B427" s="68"/>
      <c r="C427" s="79"/>
      <c r="D427" s="80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>
      <c r="A428" s="78"/>
      <c r="B428" s="68"/>
      <c r="C428" s="79"/>
      <c r="D428" s="80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>
      <c r="A429" s="78"/>
      <c r="B429" s="68"/>
      <c r="C429" s="79"/>
      <c r="D429" s="80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>
      <c r="A430" s="78"/>
      <c r="B430" s="68"/>
      <c r="C430" s="79"/>
      <c r="D430" s="80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>
      <c r="A431" s="78"/>
      <c r="B431" s="68"/>
      <c r="C431" s="79"/>
      <c r="D431" s="80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>
      <c r="A432" s="78"/>
      <c r="B432" s="68"/>
      <c r="C432" s="79"/>
      <c r="D432" s="80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>
      <c r="A433" s="78"/>
      <c r="B433" s="68"/>
      <c r="C433" s="79"/>
      <c r="D433" s="80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>
      <c r="A434" s="78"/>
      <c r="B434" s="68"/>
      <c r="C434" s="79"/>
      <c r="D434" s="80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>
      <c r="A435" s="78"/>
      <c r="B435" s="68"/>
      <c r="C435" s="79"/>
      <c r="D435" s="80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>
      <c r="A436" s="78"/>
      <c r="B436" s="68"/>
      <c r="C436" s="79"/>
      <c r="D436" s="80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>
      <c r="A437" s="78"/>
      <c r="B437" s="68"/>
      <c r="C437" s="79"/>
      <c r="D437" s="80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>
      <c r="A438" s="78"/>
      <c r="B438" s="68"/>
      <c r="C438" s="79"/>
      <c r="D438" s="80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>
      <c r="A439" s="78"/>
      <c r="B439" s="68"/>
      <c r="C439" s="79"/>
      <c r="D439" s="80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>
      <c r="A440" s="78"/>
      <c r="B440" s="68"/>
      <c r="C440" s="79"/>
      <c r="D440" s="80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>
      <c r="A441" s="78"/>
      <c r="B441" s="68"/>
      <c r="C441" s="79"/>
      <c r="D441" s="80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>
      <c r="A442" s="78"/>
      <c r="B442" s="68"/>
      <c r="C442" s="79"/>
      <c r="D442" s="80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>
      <c r="A443" s="78"/>
      <c r="B443" s="68"/>
      <c r="C443" s="79"/>
      <c r="D443" s="80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>
      <c r="A444" s="78"/>
      <c r="B444" s="68"/>
      <c r="C444" s="79"/>
      <c r="D444" s="80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>
      <c r="A445" s="78"/>
      <c r="B445" s="68"/>
      <c r="C445" s="79"/>
      <c r="D445" s="80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>
      <c r="A446" s="78"/>
      <c r="B446" s="68"/>
      <c r="C446" s="79"/>
      <c r="D446" s="80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>
      <c r="A447" s="78"/>
      <c r="B447" s="68"/>
      <c r="C447" s="79"/>
      <c r="D447" s="80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>
      <c r="A448" s="78"/>
      <c r="B448" s="68"/>
      <c r="C448" s="79"/>
      <c r="D448" s="80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>
      <c r="A449" s="78"/>
      <c r="B449" s="68"/>
      <c r="C449" s="79"/>
      <c r="D449" s="80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>
      <c r="A450" s="78"/>
      <c r="B450" s="68"/>
      <c r="C450" s="79"/>
      <c r="D450" s="80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>
      <c r="A451" s="78"/>
      <c r="B451" s="68"/>
      <c r="C451" s="79"/>
      <c r="D451" s="80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>
      <c r="A452" s="78"/>
      <c r="B452" s="68"/>
      <c r="C452" s="79"/>
      <c r="D452" s="80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>
      <c r="A453" s="78"/>
      <c r="B453" s="68"/>
      <c r="C453" s="79"/>
      <c r="D453" s="80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>
      <c r="A454" s="78"/>
      <c r="B454" s="68"/>
      <c r="C454" s="79"/>
      <c r="D454" s="80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>
      <c r="A455" s="78"/>
      <c r="B455" s="68"/>
      <c r="C455" s="79"/>
      <c r="D455" s="80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>
      <c r="A456" s="78"/>
      <c r="B456" s="68"/>
      <c r="C456" s="79"/>
      <c r="D456" s="80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>
      <c r="A457" s="78"/>
      <c r="B457" s="68"/>
      <c r="C457" s="79"/>
      <c r="D457" s="80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>
      <c r="A458" s="78"/>
      <c r="B458" s="68"/>
      <c r="C458" s="79"/>
      <c r="D458" s="80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>
      <c r="A459" s="78"/>
      <c r="B459" s="68"/>
      <c r="C459" s="79"/>
      <c r="D459" s="80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>
      <c r="A460" s="78"/>
      <c r="B460" s="68"/>
      <c r="C460" s="79"/>
      <c r="D460" s="80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>
      <c r="A461" s="78"/>
      <c r="B461" s="68"/>
      <c r="C461" s="79"/>
      <c r="D461" s="80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>
      <c r="A462" s="78"/>
      <c r="B462" s="68"/>
      <c r="C462" s="79"/>
      <c r="D462" s="80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>
      <c r="A463" s="78"/>
      <c r="B463" s="68"/>
      <c r="C463" s="79"/>
      <c r="D463" s="80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>
      <c r="A464" s="78"/>
      <c r="B464" s="68"/>
      <c r="C464" s="79"/>
      <c r="D464" s="80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>
      <c r="A465" s="78"/>
      <c r="B465" s="68"/>
      <c r="C465" s="79"/>
      <c r="D465" s="80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>
      <c r="A466" s="78"/>
      <c r="B466" s="68"/>
      <c r="C466" s="79"/>
      <c r="D466" s="80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>
      <c r="A467" s="78"/>
      <c r="B467" s="68"/>
      <c r="C467" s="79"/>
      <c r="D467" s="80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>
      <c r="A468" s="78"/>
      <c r="B468" s="68"/>
      <c r="C468" s="79"/>
      <c r="D468" s="80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>
      <c r="A469" s="78"/>
      <c r="B469" s="68"/>
      <c r="C469" s="79"/>
      <c r="D469" s="80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>
      <c r="A470" s="78"/>
      <c r="B470" s="68"/>
      <c r="C470" s="79"/>
      <c r="D470" s="80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>
      <c r="A471" s="78"/>
      <c r="B471" s="68"/>
      <c r="C471" s="79"/>
      <c r="D471" s="80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>
      <c r="A472" s="78"/>
      <c r="B472" s="68"/>
      <c r="C472" s="79"/>
      <c r="D472" s="80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>
      <c r="A473" s="78"/>
      <c r="B473" s="68"/>
      <c r="C473" s="79"/>
      <c r="D473" s="80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>
      <c r="A474" s="78"/>
      <c r="B474" s="68"/>
      <c r="C474" s="79"/>
      <c r="D474" s="80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>
      <c r="A475" s="78"/>
      <c r="B475" s="68"/>
      <c r="C475" s="79"/>
      <c r="D475" s="80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>
      <c r="A476" s="78"/>
      <c r="B476" s="68"/>
      <c r="C476" s="79"/>
      <c r="D476" s="80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>
      <c r="A477" s="78"/>
      <c r="B477" s="68"/>
      <c r="C477" s="79"/>
      <c r="D477" s="80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>
      <c r="A478" s="78"/>
      <c r="B478" s="68"/>
      <c r="C478" s="79"/>
      <c r="D478" s="80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>
      <c r="A479" s="78"/>
      <c r="B479" s="68"/>
      <c r="C479" s="79"/>
      <c r="D479" s="80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>
      <c r="A480" s="78"/>
      <c r="B480" s="68"/>
      <c r="C480" s="79"/>
      <c r="D480" s="80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>
      <c r="A481" s="78"/>
      <c r="B481" s="68"/>
      <c r="C481" s="79"/>
      <c r="D481" s="80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>
      <c r="A482" s="78"/>
      <c r="B482" s="68"/>
      <c r="C482" s="79"/>
      <c r="D482" s="80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>
      <c r="A483" s="78"/>
      <c r="B483" s="68"/>
      <c r="C483" s="79"/>
      <c r="D483" s="80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>
      <c r="A484" s="78"/>
      <c r="B484" s="68"/>
      <c r="C484" s="79"/>
      <c r="D484" s="80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>
      <c r="A485" s="78"/>
      <c r="B485" s="68"/>
      <c r="C485" s="79"/>
      <c r="D485" s="80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>
      <c r="A486" s="78"/>
      <c r="B486" s="68"/>
      <c r="C486" s="79"/>
      <c r="D486" s="80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>
      <c r="A487" s="78"/>
      <c r="B487" s="68"/>
      <c r="C487" s="79"/>
      <c r="D487" s="80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>
      <c r="A488" s="78"/>
      <c r="B488" s="68"/>
      <c r="C488" s="79"/>
      <c r="D488" s="80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>
      <c r="A489" s="78"/>
      <c r="B489" s="68"/>
      <c r="C489" s="79"/>
      <c r="D489" s="80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>
      <c r="A490" s="78"/>
      <c r="B490" s="68"/>
      <c r="C490" s="79"/>
      <c r="D490" s="80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>
      <c r="A491" s="78"/>
      <c r="B491" s="68"/>
      <c r="C491" s="79"/>
      <c r="D491" s="80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>
      <c r="A492" s="78"/>
      <c r="B492" s="68"/>
      <c r="C492" s="79"/>
      <c r="D492" s="80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>
      <c r="A493" s="78"/>
      <c r="B493" s="68"/>
      <c r="C493" s="79"/>
      <c r="D493" s="80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>
      <c r="A494" s="78"/>
      <c r="B494" s="68"/>
      <c r="C494" s="79"/>
      <c r="D494" s="80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>
      <c r="A495" s="78"/>
      <c r="B495" s="68"/>
      <c r="C495" s="79"/>
      <c r="D495" s="80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>
      <c r="A496" s="78"/>
      <c r="B496" s="68"/>
      <c r="C496" s="79"/>
      <c r="D496" s="80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>
      <c r="A497" s="78"/>
      <c r="B497" s="68"/>
      <c r="C497" s="79"/>
      <c r="D497" s="80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>
      <c r="A498" s="78"/>
      <c r="B498" s="68"/>
      <c r="C498" s="79"/>
      <c r="D498" s="80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>
      <c r="A499" s="78"/>
      <c r="B499" s="68"/>
      <c r="C499" s="79"/>
      <c r="D499" s="80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>
      <c r="A500" s="78"/>
      <c r="B500" s="68"/>
      <c r="C500" s="79"/>
      <c r="D500" s="80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>
      <c r="A501" s="78"/>
      <c r="B501" s="68"/>
      <c r="C501" s="79"/>
      <c r="D501" s="80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>
      <c r="A502" s="78"/>
      <c r="B502" s="68"/>
      <c r="C502" s="79"/>
      <c r="D502" s="80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>
      <c r="A503" s="78"/>
      <c r="B503" s="68"/>
      <c r="C503" s="79"/>
      <c r="D503" s="80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>
      <c r="A504" s="78"/>
      <c r="B504" s="68"/>
      <c r="C504" s="79"/>
      <c r="D504" s="80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>
      <c r="A505" s="78"/>
      <c r="B505" s="68"/>
      <c r="C505" s="79"/>
      <c r="D505" s="80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>
      <c r="A506" s="78"/>
      <c r="B506" s="68"/>
      <c r="C506" s="79"/>
      <c r="D506" s="80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>
      <c r="A507" s="78"/>
      <c r="B507" s="68"/>
      <c r="C507" s="79"/>
      <c r="D507" s="80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>
      <c r="A508" s="78"/>
      <c r="B508" s="68"/>
      <c r="C508" s="79"/>
      <c r="D508" s="80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>
      <c r="A509" s="78"/>
      <c r="B509" s="68"/>
      <c r="C509" s="79"/>
      <c r="D509" s="80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>
      <c r="A510" s="78"/>
      <c r="B510" s="68"/>
      <c r="C510" s="79"/>
      <c r="D510" s="80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>
      <c r="A511" s="78"/>
      <c r="B511" s="68"/>
      <c r="C511" s="79"/>
      <c r="D511" s="80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>
      <c r="A512" s="78"/>
      <c r="B512" s="68"/>
      <c r="C512" s="79"/>
      <c r="D512" s="80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>
      <c r="A513" s="78"/>
      <c r="B513" s="68"/>
      <c r="C513" s="79"/>
      <c r="D513" s="80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>
      <c r="A514" s="78"/>
      <c r="B514" s="68"/>
      <c r="C514" s="79"/>
      <c r="D514" s="80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>
      <c r="A515" s="78"/>
      <c r="B515" s="68"/>
      <c r="C515" s="79"/>
      <c r="D515" s="80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>
      <c r="A516" s="78"/>
      <c r="B516" s="68"/>
      <c r="C516" s="79"/>
      <c r="D516" s="80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>
      <c r="A517" s="78"/>
      <c r="B517" s="68"/>
      <c r="C517" s="79"/>
      <c r="D517" s="80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>
      <c r="A518" s="78"/>
      <c r="B518" s="68"/>
      <c r="C518" s="79"/>
      <c r="D518" s="80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>
      <c r="A519" s="78"/>
      <c r="B519" s="68"/>
      <c r="C519" s="79"/>
      <c r="D519" s="80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>
      <c r="A520" s="78"/>
      <c r="B520" s="68"/>
      <c r="C520" s="79"/>
      <c r="D520" s="80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>
      <c r="A521" s="78"/>
      <c r="B521" s="68"/>
      <c r="C521" s="79"/>
      <c r="D521" s="80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>
      <c r="A522" s="78"/>
      <c r="B522" s="68"/>
      <c r="C522" s="79"/>
      <c r="D522" s="80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>
      <c r="A523" s="78"/>
      <c r="B523" s="68"/>
      <c r="C523" s="79"/>
      <c r="D523" s="80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>
      <c r="A524" s="78"/>
      <c r="B524" s="68"/>
      <c r="C524" s="79"/>
      <c r="D524" s="80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>
      <c r="A525" s="78"/>
      <c r="B525" s="68"/>
      <c r="C525" s="79"/>
      <c r="D525" s="80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>
      <c r="A526" s="78"/>
      <c r="B526" s="68"/>
      <c r="C526" s="79"/>
      <c r="D526" s="80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>
      <c r="A527" s="78"/>
      <c r="B527" s="68"/>
      <c r="C527" s="79"/>
      <c r="D527" s="80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>
      <c r="A528" s="78"/>
      <c r="B528" s="68"/>
      <c r="C528" s="79"/>
      <c r="D528" s="80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>
      <c r="A529" s="78"/>
      <c r="B529" s="68"/>
      <c r="C529" s="79"/>
      <c r="D529" s="80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>
      <c r="A530" s="78"/>
      <c r="B530" s="68"/>
      <c r="C530" s="79"/>
      <c r="D530" s="80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>
      <c r="A531" s="78"/>
      <c r="B531" s="68"/>
      <c r="C531" s="79"/>
      <c r="D531" s="80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>
      <c r="A532" s="78"/>
      <c r="B532" s="68"/>
      <c r="C532" s="79"/>
      <c r="D532" s="80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>
      <c r="A533" s="78"/>
      <c r="B533" s="68"/>
      <c r="C533" s="79"/>
      <c r="D533" s="80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>
      <c r="A534" s="78"/>
      <c r="B534" s="68"/>
      <c r="C534" s="79"/>
      <c r="D534" s="80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>
      <c r="A535" s="78"/>
      <c r="B535" s="68"/>
      <c r="C535" s="79"/>
      <c r="D535" s="80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>
      <c r="A536" s="78"/>
      <c r="B536" s="68"/>
      <c r="C536" s="79"/>
      <c r="D536" s="80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>
      <c r="A537" s="78"/>
      <c r="B537" s="68"/>
      <c r="C537" s="79"/>
      <c r="D537" s="80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>
      <c r="A538" s="78"/>
      <c r="B538" s="68"/>
      <c r="C538" s="79"/>
      <c r="D538" s="80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>
      <c r="A539" s="78"/>
      <c r="B539" s="68"/>
      <c r="C539" s="79"/>
      <c r="D539" s="80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>
      <c r="A540" s="78"/>
      <c r="B540" s="68"/>
      <c r="C540" s="79"/>
      <c r="D540" s="80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>
      <c r="A541" s="78"/>
      <c r="B541" s="68"/>
      <c r="C541" s="79"/>
      <c r="D541" s="80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>
      <c r="A542" s="78"/>
      <c r="B542" s="68"/>
      <c r="C542" s="79"/>
      <c r="D542" s="80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>
      <c r="A543" s="78"/>
      <c r="B543" s="68"/>
      <c r="C543" s="79"/>
      <c r="D543" s="80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>
      <c r="A544" s="78"/>
      <c r="B544" s="68"/>
      <c r="C544" s="79"/>
      <c r="D544" s="80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>
      <c r="A545" s="78"/>
      <c r="B545" s="68"/>
      <c r="C545" s="79"/>
      <c r="D545" s="80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>
      <c r="A546" s="78"/>
      <c r="B546" s="68"/>
      <c r="C546" s="79"/>
      <c r="D546" s="80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>
      <c r="A547" s="78"/>
      <c r="B547" s="67"/>
      <c r="C547" s="79"/>
      <c r="D547" s="80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>
      <c r="A548" s="78"/>
      <c r="B548" s="68"/>
      <c r="C548" s="79"/>
      <c r="D548" s="80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>
      <c r="A549" s="78"/>
      <c r="B549" s="68"/>
      <c r="C549" s="79"/>
      <c r="D549" s="80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>
      <c r="A550" s="78"/>
      <c r="B550" s="68"/>
      <c r="C550" s="79"/>
      <c r="D550" s="80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>
      <c r="A551" s="78"/>
      <c r="B551" s="68"/>
      <c r="C551" s="79"/>
      <c r="D551" s="80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>
      <c r="A552" s="78"/>
      <c r="B552" s="68"/>
      <c r="C552" s="79"/>
      <c r="D552" s="80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>
      <c r="A553" s="78"/>
      <c r="B553" s="68"/>
      <c r="C553" s="79"/>
      <c r="D553" s="80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>
      <c r="A554" s="78"/>
      <c r="B554" s="68"/>
      <c r="C554" s="79"/>
      <c r="D554" s="80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>
      <c r="A555" s="78"/>
      <c r="B555" s="68"/>
      <c r="C555" s="79"/>
      <c r="D555" s="80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>
      <c r="A556" s="78"/>
      <c r="B556" s="68"/>
      <c r="C556" s="79"/>
      <c r="D556" s="80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>
      <c r="A557" s="78"/>
      <c r="B557" s="68"/>
      <c r="C557" s="79"/>
      <c r="D557" s="80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>
      <c r="A558" s="78"/>
      <c r="B558" s="68"/>
      <c r="C558" s="79"/>
      <c r="D558" s="80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>
      <c r="A559" s="78"/>
      <c r="B559" s="68"/>
      <c r="C559" s="79"/>
      <c r="D559" s="80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>
      <c r="A560" s="78"/>
      <c r="B560" s="68"/>
      <c r="C560" s="79"/>
      <c r="D560" s="80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>
      <c r="A561" s="78"/>
      <c r="B561" s="68"/>
      <c r="C561" s="79"/>
      <c r="D561" s="80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>
      <c r="A562" s="78"/>
      <c r="B562" s="68"/>
      <c r="C562" s="79"/>
      <c r="D562" s="80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>
      <c r="A563" s="78"/>
      <c r="B563" s="68"/>
      <c r="C563" s="79"/>
      <c r="D563" s="80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>
      <c r="A564" s="78"/>
      <c r="B564" s="68"/>
      <c r="C564" s="79"/>
      <c r="D564" s="80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>
      <c r="A565" s="78"/>
      <c r="B565" s="68"/>
      <c r="C565" s="79"/>
      <c r="D565" s="80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>
      <c r="A566" s="78"/>
      <c r="B566" s="68"/>
      <c r="C566" s="79"/>
      <c r="D566" s="80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>
      <c r="A567" s="78"/>
      <c r="B567" s="68"/>
      <c r="C567" s="79"/>
      <c r="D567" s="80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>
      <c r="A568" s="78"/>
      <c r="B568" s="68"/>
      <c r="C568" s="79"/>
      <c r="D568" s="80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>
      <c r="A569" s="78"/>
      <c r="B569" s="68"/>
      <c r="C569" s="79"/>
      <c r="D569" s="80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>
      <c r="A570" s="78"/>
      <c r="B570" s="68"/>
      <c r="C570" s="79"/>
      <c r="D570" s="80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>
      <c r="A571" s="78"/>
      <c r="B571" s="68"/>
      <c r="C571" s="79"/>
      <c r="D571" s="80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>
      <c r="A572" s="78"/>
      <c r="B572" s="68"/>
      <c r="C572" s="79"/>
      <c r="D572" s="80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>
      <c r="A573" s="78"/>
      <c r="B573" s="68"/>
      <c r="C573" s="79"/>
      <c r="D573" s="80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>
      <c r="A574" s="78"/>
      <c r="B574" s="68"/>
      <c r="C574" s="79"/>
      <c r="D574" s="80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>
      <c r="A575" s="78"/>
      <c r="B575" s="68"/>
      <c r="C575" s="79"/>
      <c r="D575" s="80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>
      <c r="A576" s="78"/>
      <c r="B576" s="68"/>
      <c r="C576" s="79"/>
      <c r="D576" s="80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>
      <c r="A577" s="78"/>
      <c r="B577" s="68"/>
      <c r="C577" s="79"/>
      <c r="D577" s="80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>
      <c r="A578" s="78"/>
      <c r="B578" s="68"/>
      <c r="C578" s="79"/>
      <c r="D578" s="80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>
      <c r="A579" s="78"/>
      <c r="B579" s="68"/>
      <c r="C579" s="79"/>
      <c r="D579" s="80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>
      <c r="A580" s="78"/>
      <c r="B580" s="68"/>
      <c r="C580" s="79"/>
      <c r="D580" s="80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>
      <c r="A581" s="78"/>
      <c r="B581" s="68"/>
      <c r="C581" s="79"/>
      <c r="D581" s="80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>
      <c r="A582" s="78"/>
      <c r="B582" s="68"/>
      <c r="C582" s="79"/>
      <c r="D582" s="80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>
      <c r="A583" s="78"/>
      <c r="B583" s="68"/>
      <c r="C583" s="79"/>
      <c r="D583" s="80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>
      <c r="A584" s="78"/>
      <c r="B584" s="68"/>
      <c r="C584" s="79"/>
      <c r="D584" s="80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>
      <c r="A585" s="78"/>
      <c r="B585" s="68"/>
      <c r="C585" s="79"/>
      <c r="D585" s="80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>
      <c r="A586" s="78"/>
      <c r="B586" s="68"/>
      <c r="C586" s="79"/>
      <c r="D586" s="80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>
      <c r="A587" s="78"/>
      <c r="B587" s="68"/>
      <c r="C587" s="79"/>
      <c r="D587" s="80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>
      <c r="A588" s="78"/>
      <c r="B588" s="68"/>
      <c r="C588" s="79"/>
      <c r="D588" s="80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>
      <c r="A589" s="78"/>
      <c r="B589" s="68"/>
      <c r="C589" s="79"/>
      <c r="D589" s="80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>
      <c r="A590" s="78"/>
      <c r="B590" s="68"/>
      <c r="C590" s="79"/>
      <c r="D590" s="80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>
      <c r="A591" s="78"/>
      <c r="B591" s="68"/>
      <c r="C591" s="79"/>
      <c r="D591" s="80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>
      <c r="A592" s="78"/>
      <c r="B592" s="68"/>
      <c r="C592" s="79"/>
      <c r="D592" s="80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>
      <c r="A593" s="78"/>
      <c r="B593" s="68"/>
      <c r="C593" s="79"/>
      <c r="D593" s="80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>
      <c r="A594" s="78"/>
      <c r="B594" s="68"/>
      <c r="C594" s="79"/>
      <c r="D594" s="80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>
      <c r="A595" s="78"/>
      <c r="B595" s="68"/>
      <c r="C595" s="79"/>
      <c r="D595" s="80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>
      <c r="A596" s="78"/>
      <c r="B596" s="68"/>
      <c r="C596" s="79"/>
      <c r="D596" s="80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>
      <c r="A597" s="78"/>
      <c r="B597" s="68"/>
      <c r="C597" s="79"/>
      <c r="D597" s="80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>
      <c r="A598" s="78"/>
      <c r="B598" s="68"/>
      <c r="C598" s="79"/>
      <c r="D598" s="80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>
      <c r="A599" s="81"/>
      <c r="B599" s="68"/>
      <c r="C599" s="79"/>
      <c r="D599" s="80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>
      <c r="A600" s="81"/>
      <c r="B600" s="68"/>
      <c r="C600" s="79"/>
      <c r="D600" s="80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>
      <c r="A601" s="81"/>
      <c r="B601" s="68"/>
      <c r="C601" s="79"/>
      <c r="D601" s="80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>
      <c r="A602" s="81"/>
      <c r="B602" s="68"/>
      <c r="C602" s="79"/>
      <c r="D602" s="80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>
      <c r="A603" s="81"/>
      <c r="B603" s="68"/>
      <c r="C603" s="79"/>
      <c r="D603" s="80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>
      <c r="A604" s="81"/>
      <c r="B604" s="68"/>
      <c r="C604" s="79"/>
      <c r="D604" s="80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>
      <c r="A605" s="81"/>
      <c r="B605" s="68"/>
      <c r="C605" s="79"/>
      <c r="D605" s="80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>
      <c r="A606" s="81"/>
      <c r="B606" s="68"/>
      <c r="C606" s="79"/>
      <c r="D606" s="80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>
      <c r="A607" s="81"/>
      <c r="B607" s="68"/>
      <c r="C607" s="79"/>
      <c r="D607" s="80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>
      <c r="A608" s="81"/>
      <c r="B608" s="68"/>
      <c r="C608" s="79"/>
      <c r="D608" s="80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>
      <c r="A609" s="81"/>
      <c r="B609" s="68"/>
      <c r="C609" s="79"/>
      <c r="D609" s="80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>
      <c r="A610" s="81"/>
      <c r="B610" s="68"/>
      <c r="C610" s="79"/>
      <c r="D610" s="80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>
      <c r="A611" s="81"/>
      <c r="B611" s="68"/>
      <c r="C611" s="79"/>
      <c r="D611" s="80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>
      <c r="A612" s="81"/>
      <c r="B612" s="68"/>
      <c r="C612" s="79"/>
      <c r="D612" s="80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>
      <c r="A613" s="81"/>
      <c r="B613" s="68"/>
      <c r="C613" s="79"/>
      <c r="D613" s="80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>
      <c r="A614" s="81"/>
      <c r="B614" s="68"/>
      <c r="C614" s="79"/>
      <c r="D614" s="80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>
      <c r="A615" s="81"/>
      <c r="B615" s="68"/>
      <c r="C615" s="79"/>
      <c r="D615" s="80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>
      <c r="A616" s="81"/>
      <c r="B616" s="68"/>
      <c r="C616" s="79"/>
      <c r="D616" s="80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>
      <c r="A617" s="81"/>
      <c r="B617" s="68"/>
      <c r="C617" s="79"/>
      <c r="D617" s="80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>
      <c r="A618" s="81"/>
      <c r="B618" s="68"/>
      <c r="C618" s="79"/>
      <c r="D618" s="80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>
      <c r="A619" s="81"/>
      <c r="B619" s="68"/>
      <c r="C619" s="79"/>
      <c r="D619" s="80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>
      <c r="A620" s="81"/>
      <c r="B620" s="68"/>
      <c r="C620" s="79"/>
      <c r="D620" s="80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>
      <c r="A621" s="81"/>
      <c r="B621" s="68"/>
      <c r="C621" s="79"/>
      <c r="D621" s="80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>
      <c r="A622" s="81"/>
      <c r="B622" s="68"/>
      <c r="C622" s="79"/>
      <c r="D622" s="80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>
      <c r="A623" s="81"/>
      <c r="B623" s="68"/>
      <c r="C623" s="79"/>
      <c r="D623" s="80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>
      <c r="A624" s="81"/>
      <c r="B624" s="68"/>
      <c r="C624" s="79"/>
      <c r="D624" s="80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>
      <c r="A625" s="81"/>
      <c r="B625" s="68"/>
      <c r="C625" s="79"/>
      <c r="D625" s="80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>
      <c r="A626" s="81"/>
      <c r="B626" s="68"/>
      <c r="C626" s="79"/>
      <c r="D626" s="80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>
      <c r="A627" s="81"/>
      <c r="B627" s="68"/>
      <c r="C627" s="79"/>
      <c r="D627" s="80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>
      <c r="A628" s="81"/>
      <c r="B628" s="68"/>
      <c r="C628" s="79"/>
      <c r="D628" s="80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>
      <c r="A629" s="81"/>
      <c r="B629" s="68"/>
      <c r="C629" s="79"/>
      <c r="D629" s="80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>
      <c r="A630" s="81"/>
      <c r="B630" s="68"/>
      <c r="C630" s="79"/>
      <c r="D630" s="80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>
      <c r="A631" s="81"/>
      <c r="B631" s="68"/>
      <c r="C631" s="79"/>
      <c r="D631" s="80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>
      <c r="A632" s="81"/>
      <c r="B632" s="68"/>
      <c r="C632" s="79"/>
      <c r="D632" s="80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>
      <c r="A633" s="81"/>
      <c r="B633" s="68"/>
      <c r="C633" s="79"/>
      <c r="D633" s="80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>
      <c r="A634" s="81"/>
      <c r="B634" s="68"/>
      <c r="C634" s="79"/>
      <c r="D634" s="80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>
      <c r="A635" s="81"/>
      <c r="B635" s="68"/>
      <c r="C635" s="79"/>
      <c r="D635" s="80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>
      <c r="A636" s="81"/>
      <c r="B636" s="68"/>
      <c r="C636" s="79"/>
      <c r="D636" s="80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>
      <c r="A637" s="81"/>
      <c r="B637" s="68"/>
      <c r="C637" s="79"/>
      <c r="D637" s="80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>
      <c r="A638" s="81"/>
      <c r="B638" s="68"/>
      <c r="C638" s="79"/>
      <c r="D638" s="80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>
      <c r="A639" s="81"/>
      <c r="B639" s="68"/>
      <c r="C639" s="79"/>
      <c r="D639" s="80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>
      <c r="A640" s="81"/>
      <c r="B640" s="68"/>
      <c r="C640" s="79"/>
      <c r="D640" s="80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>
      <c r="A641" s="81"/>
      <c r="B641" s="68"/>
      <c r="C641" s="79"/>
      <c r="D641" s="80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>
      <c r="A642" s="81"/>
      <c r="B642" s="68"/>
      <c r="C642" s="79"/>
      <c r="D642" s="80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>
      <c r="A643" s="81"/>
      <c r="B643" s="68"/>
      <c r="C643" s="79"/>
      <c r="D643" s="80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>
      <c r="A644" s="81"/>
      <c r="B644" s="68"/>
      <c r="C644" s="79"/>
      <c r="D644" s="80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>
      <c r="A645" s="81"/>
      <c r="B645" s="68"/>
      <c r="C645" s="79"/>
      <c r="D645" s="80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>
      <c r="A646" s="81"/>
      <c r="B646" s="68"/>
      <c r="C646" s="79"/>
      <c r="D646" s="80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>
      <c r="A647" s="81"/>
      <c r="B647" s="68"/>
      <c r="C647" s="79"/>
      <c r="D647" s="80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>
      <c r="A648" s="81"/>
      <c r="B648" s="68"/>
      <c r="C648" s="79"/>
      <c r="D648" s="80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>
      <c r="A649" s="81"/>
      <c r="B649" s="68"/>
      <c r="C649" s="79"/>
      <c r="D649" s="80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>
      <c r="A650" s="81"/>
      <c r="B650" s="68"/>
      <c r="C650" s="79"/>
      <c r="D650" s="80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>
      <c r="A651" s="81"/>
      <c r="B651" s="68"/>
      <c r="C651" s="79"/>
      <c r="D651" s="80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>
      <c r="A652" s="81"/>
      <c r="B652" s="68"/>
      <c r="C652" s="79"/>
      <c r="D652" s="80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>
      <c r="A653" s="81"/>
      <c r="B653" s="68"/>
      <c r="C653" s="79"/>
      <c r="D653" s="80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>
      <c r="A654" s="81"/>
      <c r="B654" s="68"/>
      <c r="C654" s="79"/>
      <c r="D654" s="80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>
      <c r="A655" s="81"/>
      <c r="B655" s="68"/>
      <c r="C655" s="79"/>
      <c r="D655" s="80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>
      <c r="A656" s="81"/>
      <c r="B656" s="68"/>
      <c r="C656" s="79"/>
      <c r="D656" s="80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>
      <c r="A657" s="81"/>
      <c r="B657" s="68"/>
      <c r="C657" s="79"/>
      <c r="D657" s="80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>
      <c r="A658" s="81"/>
      <c r="B658" s="68"/>
      <c r="C658" s="79"/>
      <c r="D658" s="80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>
      <c r="A659" s="81"/>
      <c r="B659" s="68"/>
      <c r="C659" s="79"/>
      <c r="D659" s="80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>
      <c r="A660" s="81"/>
      <c r="B660" s="68"/>
      <c r="C660" s="79"/>
      <c r="D660" s="80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>
      <c r="A661" s="81"/>
      <c r="B661" s="68"/>
      <c r="C661" s="79"/>
      <c r="D661" s="80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>
      <c r="A662" s="81"/>
      <c r="B662" s="68"/>
      <c r="C662" s="79"/>
      <c r="D662" s="80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>
      <c r="A663" s="81"/>
      <c r="B663" s="68"/>
      <c r="C663" s="79"/>
      <c r="D663" s="80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>
      <c r="A664" s="81"/>
      <c r="B664" s="68"/>
      <c r="C664" s="79"/>
      <c r="D664" s="80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>
      <c r="A665" s="81"/>
      <c r="B665" s="68"/>
      <c r="C665" s="79"/>
      <c r="D665" s="80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>
      <c r="A666" s="81"/>
      <c r="B666" s="68"/>
      <c r="C666" s="79"/>
      <c r="D666" s="80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>
      <c r="A667" s="81"/>
      <c r="B667" s="68"/>
      <c r="C667" s="79"/>
      <c r="D667" s="80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>
      <c r="A668" s="81"/>
      <c r="B668" s="68"/>
      <c r="C668" s="79"/>
      <c r="D668" s="80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>
      <c r="A669" s="81"/>
      <c r="B669" s="68"/>
      <c r="C669" s="79"/>
      <c r="D669" s="80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>
      <c r="A670" s="81"/>
      <c r="B670" s="68"/>
      <c r="C670" s="79"/>
      <c r="D670" s="80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>
      <c r="A671" s="81"/>
      <c r="B671" s="68"/>
      <c r="C671" s="79"/>
      <c r="D671" s="80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>
      <c r="A672" s="81"/>
      <c r="B672" s="68"/>
      <c r="C672" s="79"/>
      <c r="D672" s="80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>
      <c r="A673" s="81"/>
      <c r="B673" s="68"/>
      <c r="C673" s="79"/>
      <c r="D673" s="80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>
      <c r="A674" s="81"/>
      <c r="B674" s="68"/>
      <c r="C674" s="79"/>
      <c r="D674" s="80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>
      <c r="A675" s="81"/>
      <c r="B675" s="68"/>
      <c r="C675" s="79"/>
      <c r="D675" s="80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>
      <c r="A676" s="81"/>
      <c r="B676" s="68"/>
      <c r="C676" s="79"/>
      <c r="D676" s="80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>
      <c r="A677" s="81"/>
      <c r="B677" s="68"/>
      <c r="C677" s="79"/>
      <c r="D677" s="80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>
      <c r="A678" s="81"/>
      <c r="B678" s="68"/>
      <c r="C678" s="79"/>
      <c r="D678" s="80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>
      <c r="A679" s="81"/>
      <c r="B679" s="68"/>
      <c r="C679" s="79"/>
      <c r="D679" s="80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>
      <c r="A680" s="81"/>
      <c r="B680" s="68"/>
      <c r="C680" s="79"/>
      <c r="D680" s="80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>
      <c r="A681" s="81"/>
      <c r="B681" s="68"/>
      <c r="C681" s="79"/>
      <c r="D681" s="80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>
      <c r="A682" s="81"/>
      <c r="B682" s="68"/>
      <c r="C682" s="79"/>
      <c r="D682" s="80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>
      <c r="A683" s="81"/>
      <c r="B683" s="68"/>
      <c r="C683" s="79"/>
      <c r="D683" s="80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>
      <c r="A684" s="81"/>
      <c r="B684" s="68"/>
      <c r="C684" s="79"/>
      <c r="D684" s="80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>
      <c r="A685" s="81"/>
      <c r="B685" s="68"/>
      <c r="C685" s="79"/>
      <c r="D685" s="80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>
      <c r="A686" s="81"/>
      <c r="B686" s="68"/>
      <c r="C686" s="79"/>
      <c r="D686" s="80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>
      <c r="A687" s="81"/>
      <c r="B687" s="68"/>
      <c r="C687" s="79"/>
      <c r="D687" s="80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>
      <c r="A688" s="81"/>
      <c r="B688" s="68"/>
      <c r="C688" s="79"/>
      <c r="D688" s="80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>
      <c r="A689" s="81"/>
      <c r="B689" s="68"/>
      <c r="C689" s="79"/>
      <c r="D689" s="80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>
      <c r="A690" s="81"/>
      <c r="B690" s="68"/>
      <c r="C690" s="79"/>
      <c r="D690" s="80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>
      <c r="A691" s="81"/>
      <c r="B691" s="68"/>
      <c r="C691" s="79"/>
      <c r="D691" s="80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>
      <c r="A692" s="81"/>
      <c r="B692" s="68"/>
      <c r="C692" s="79"/>
      <c r="D692" s="80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>
      <c r="A693" s="81"/>
      <c r="B693" s="68"/>
      <c r="C693" s="79"/>
      <c r="D693" s="80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>
      <c r="A694" s="81"/>
      <c r="B694" s="68"/>
      <c r="C694" s="79"/>
      <c r="D694" s="80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>
      <c r="A695" s="81"/>
      <c r="B695" s="68"/>
      <c r="C695" s="79"/>
      <c r="D695" s="80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>
      <c r="A696" s="81"/>
      <c r="B696" s="68"/>
      <c r="C696" s="79"/>
      <c r="D696" s="80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>
      <c r="A697" s="81"/>
      <c r="B697" s="68"/>
      <c r="C697" s="79"/>
      <c r="D697" s="80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>
      <c r="A698" s="81"/>
      <c r="B698" s="68"/>
      <c r="C698" s="79"/>
      <c r="D698" s="80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>
      <c r="A699" s="81"/>
      <c r="B699" s="68"/>
      <c r="C699" s="79"/>
      <c r="D699" s="80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>
      <c r="A700" s="81"/>
      <c r="B700" s="68"/>
      <c r="C700" s="79"/>
      <c r="D700" s="80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>
      <c r="A701" s="81"/>
      <c r="B701" s="68"/>
      <c r="C701" s="79"/>
      <c r="D701" s="80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>
      <c r="A702" s="81"/>
      <c r="B702" s="68"/>
      <c r="C702" s="79"/>
      <c r="D702" s="80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>
      <c r="A703" s="81"/>
      <c r="B703" s="68"/>
      <c r="C703" s="79"/>
      <c r="D703" s="80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>
      <c r="A704" s="81"/>
      <c r="B704" s="68"/>
      <c r="C704" s="79"/>
      <c r="D704" s="80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>
      <c r="A705" s="81"/>
      <c r="B705" s="68"/>
      <c r="C705" s="79"/>
      <c r="D705" s="80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>
      <c r="A706" s="81"/>
      <c r="B706" s="68"/>
      <c r="C706" s="79"/>
      <c r="D706" s="80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>
      <c r="A707" s="81"/>
      <c r="B707" s="68"/>
      <c r="C707" s="79"/>
      <c r="D707" s="80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>
      <c r="A708" s="81"/>
      <c r="B708" s="68"/>
      <c r="C708" s="79"/>
      <c r="D708" s="80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>
      <c r="A709" s="81"/>
      <c r="B709" s="68"/>
      <c r="C709" s="79"/>
      <c r="D709" s="80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>
      <c r="A710" s="81"/>
      <c r="B710" s="68"/>
      <c r="C710" s="79"/>
      <c r="D710" s="80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>
      <c r="A711" s="81"/>
      <c r="B711" s="68"/>
      <c r="C711" s="79"/>
      <c r="D711" s="80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>
      <c r="A712" s="81"/>
      <c r="B712" s="68"/>
      <c r="C712" s="79"/>
      <c r="D712" s="80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>
      <c r="A713" s="81"/>
      <c r="B713" s="68"/>
      <c r="C713" s="79"/>
      <c r="D713" s="80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>
      <c r="A714" s="81"/>
      <c r="B714" s="68"/>
      <c r="C714" s="79"/>
      <c r="D714" s="80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>
      <c r="A715" s="81"/>
      <c r="B715" s="68"/>
      <c r="C715" s="79"/>
      <c r="D715" s="80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>
      <c r="A716" s="81"/>
      <c r="B716" s="68"/>
      <c r="C716" s="79"/>
      <c r="D716" s="80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>
      <c r="A717" s="81"/>
      <c r="B717" s="68"/>
      <c r="C717" s="79"/>
      <c r="D717" s="80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>
      <c r="A718" s="81"/>
      <c r="B718" s="68"/>
      <c r="C718" s="79"/>
      <c r="D718" s="80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>
      <c r="A719" s="81"/>
      <c r="B719" s="68"/>
      <c r="C719" s="79"/>
      <c r="D719" s="80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>
      <c r="A720" s="81"/>
      <c r="B720" s="68"/>
      <c r="C720" s="79"/>
      <c r="D720" s="80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>
      <c r="A721" s="81"/>
      <c r="B721" s="68"/>
      <c r="C721" s="79"/>
      <c r="D721" s="80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>
      <c r="A722" s="81"/>
      <c r="B722" s="68"/>
      <c r="C722" s="79"/>
      <c r="D722" s="80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>
      <c r="A723" s="81"/>
      <c r="B723" s="68"/>
      <c r="C723" s="79"/>
      <c r="D723" s="80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>
      <c r="A724" s="81"/>
      <c r="B724" s="68"/>
      <c r="C724" s="79"/>
      <c r="D724" s="80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>
      <c r="A725" s="81"/>
      <c r="B725" s="68"/>
      <c r="C725" s="79"/>
      <c r="D725" s="80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>
      <c r="A726" s="81"/>
      <c r="B726" s="68"/>
      <c r="C726" s="79"/>
      <c r="D726" s="80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>
      <c r="A727" s="81"/>
      <c r="B727" s="68"/>
      <c r="C727" s="79"/>
      <c r="D727" s="80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>
      <c r="A728" s="81"/>
      <c r="B728" s="68"/>
      <c r="C728" s="79"/>
      <c r="D728" s="80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>
      <c r="A729" s="81"/>
      <c r="B729" s="68"/>
      <c r="C729" s="79"/>
      <c r="D729" s="80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>
      <c r="A730" s="81"/>
      <c r="B730" s="68"/>
      <c r="C730" s="79"/>
      <c r="D730" s="80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>
      <c r="A731" s="81"/>
      <c r="B731" s="68"/>
      <c r="C731" s="79"/>
      <c r="D731" s="80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>
      <c r="A732" s="81"/>
      <c r="B732" s="68"/>
      <c r="C732" s="79"/>
      <c r="D732" s="80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>
      <c r="A733" s="81"/>
      <c r="B733" s="68"/>
      <c r="C733" s="79"/>
      <c r="D733" s="80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>
      <c r="A734" s="81"/>
      <c r="B734" s="68"/>
      <c r="C734" s="79"/>
      <c r="D734" s="80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>
      <c r="A735" s="81"/>
      <c r="B735" s="68"/>
      <c r="C735" s="79"/>
      <c r="D735" s="80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>
      <c r="A736" s="81"/>
      <c r="B736" s="68"/>
      <c r="C736" s="79"/>
      <c r="D736" s="80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>
      <c r="A737" s="81"/>
      <c r="B737" s="68"/>
      <c r="C737" s="79"/>
      <c r="D737" s="80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>
      <c r="A738" s="81"/>
      <c r="B738" s="68"/>
      <c r="C738" s="79"/>
      <c r="D738" s="80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>
      <c r="A739" s="81"/>
      <c r="B739" s="68"/>
      <c r="C739" s="79"/>
      <c r="D739" s="80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>
      <c r="A740" s="81"/>
      <c r="B740" s="68"/>
      <c r="C740" s="79"/>
      <c r="D740" s="80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>
      <c r="A741" s="81"/>
      <c r="B741" s="68"/>
      <c r="C741" s="79"/>
      <c r="D741" s="80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>
      <c r="A742" s="81"/>
      <c r="B742" s="68"/>
      <c r="C742" s="79"/>
      <c r="D742" s="80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>
      <c r="A743" s="81"/>
      <c r="B743" s="68"/>
      <c r="C743" s="79"/>
      <c r="D743" s="80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>
      <c r="A744" s="81"/>
      <c r="B744" s="68"/>
      <c r="C744" s="79"/>
      <c r="D744" s="80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>
      <c r="A745" s="81"/>
      <c r="B745" s="68"/>
      <c r="C745" s="79"/>
      <c r="D745" s="80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>
      <c r="A746" s="81"/>
      <c r="B746" s="68"/>
      <c r="C746" s="79"/>
      <c r="D746" s="80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>
      <c r="A747" s="81"/>
      <c r="B747" s="68"/>
      <c r="C747" s="79"/>
      <c r="D747" s="80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>
      <c r="A748" s="81"/>
      <c r="B748" s="68"/>
      <c r="C748" s="79"/>
      <c r="D748" s="80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>
      <c r="A749" s="81"/>
      <c r="B749" s="68"/>
      <c r="C749" s="79"/>
      <c r="D749" s="80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>
      <c r="A750" s="81"/>
      <c r="B750" s="68"/>
      <c r="C750" s="79"/>
      <c r="D750" s="80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>
      <c r="A751" s="81"/>
      <c r="B751" s="68"/>
      <c r="C751" s="79"/>
      <c r="D751" s="80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>
      <c r="A752" s="81"/>
      <c r="B752" s="68"/>
      <c r="C752" s="79"/>
      <c r="D752" s="80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>
      <c r="A753" s="81"/>
      <c r="B753" s="68"/>
      <c r="C753" s="79"/>
      <c r="D753" s="80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>
      <c r="A754" s="81"/>
      <c r="B754" s="68"/>
      <c r="C754" s="79"/>
      <c r="D754" s="80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>
      <c r="A755" s="81"/>
      <c r="B755" s="68"/>
      <c r="C755" s="79"/>
      <c r="D755" s="80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>
      <c r="A756" s="81"/>
      <c r="B756" s="68"/>
      <c r="C756" s="79"/>
      <c r="D756" s="80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>
      <c r="A757" s="81"/>
      <c r="B757" s="68"/>
      <c r="C757" s="79"/>
      <c r="D757" s="80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>
      <c r="A758" s="81"/>
      <c r="B758" s="68"/>
      <c r="C758" s="79"/>
      <c r="D758" s="80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>
      <c r="A759" s="81"/>
      <c r="B759" s="68"/>
      <c r="C759" s="79"/>
      <c r="D759" s="80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>
      <c r="A760" s="81"/>
      <c r="B760" s="68"/>
      <c r="C760" s="79"/>
      <c r="D760" s="80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>
      <c r="A761" s="81"/>
      <c r="B761" s="68"/>
      <c r="C761" s="79"/>
      <c r="D761" s="80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>
      <c r="A762" s="81"/>
      <c r="B762" s="68"/>
      <c r="C762" s="79"/>
      <c r="D762" s="80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>
      <c r="A763" s="81"/>
      <c r="B763" s="68"/>
      <c r="C763" s="79"/>
      <c r="D763" s="80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>
      <c r="A764" s="81"/>
      <c r="B764" s="68"/>
      <c r="C764" s="79"/>
      <c r="D764" s="80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>
      <c r="A765" s="81"/>
      <c r="B765" s="68"/>
      <c r="C765" s="79"/>
      <c r="D765" s="80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>
      <c r="A766" s="81"/>
      <c r="B766" s="68"/>
      <c r="C766" s="79"/>
      <c r="D766" s="80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>
      <c r="A767" s="81"/>
      <c r="B767" s="68"/>
      <c r="C767" s="79"/>
      <c r="D767" s="80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>
      <c r="A768" s="81"/>
      <c r="B768" s="68"/>
      <c r="C768" s="79"/>
      <c r="D768" s="80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>
      <c r="A769" s="81"/>
      <c r="B769" s="68"/>
      <c r="C769" s="79"/>
      <c r="D769" s="80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>
      <c r="A770" s="81"/>
      <c r="B770" s="68"/>
      <c r="C770" s="79"/>
      <c r="D770" s="80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>
      <c r="A771" s="81"/>
      <c r="B771" s="68"/>
      <c r="C771" s="79"/>
      <c r="D771" s="80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>
      <c r="A772" s="81"/>
      <c r="B772" s="68"/>
      <c r="C772" s="79"/>
      <c r="D772" s="80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>
      <c r="A773" s="81"/>
      <c r="B773" s="68"/>
      <c r="C773" s="79"/>
      <c r="D773" s="80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>
      <c r="A774" s="81"/>
      <c r="B774" s="68"/>
      <c r="C774" s="79"/>
      <c r="D774" s="80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>
      <c r="A775" s="81"/>
      <c r="B775" s="68"/>
      <c r="C775" s="79"/>
      <c r="D775" s="80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>
      <c r="A776" s="81"/>
      <c r="B776" s="68"/>
      <c r="C776" s="79"/>
      <c r="D776" s="80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>
      <c r="A777" s="81"/>
      <c r="B777" s="68"/>
      <c r="C777" s="79"/>
      <c r="D777" s="80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>
      <c r="A778" s="81"/>
      <c r="B778" s="68"/>
      <c r="C778" s="79"/>
      <c r="D778" s="80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>
      <c r="A779" s="81"/>
      <c r="B779" s="68"/>
      <c r="C779" s="79"/>
      <c r="D779" s="80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>
      <c r="A780" s="81"/>
      <c r="B780" s="68"/>
      <c r="C780" s="79"/>
      <c r="D780" s="80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>
      <c r="A781" s="81"/>
      <c r="B781" s="68"/>
      <c r="C781" s="79"/>
      <c r="D781" s="80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>
      <c r="A782" s="81"/>
      <c r="B782" s="68"/>
      <c r="C782" s="79"/>
      <c r="D782" s="80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>
      <c r="A783" s="81"/>
      <c r="B783" s="68"/>
      <c r="C783" s="79"/>
      <c r="D783" s="80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>
      <c r="A784" s="81"/>
      <c r="B784" s="68"/>
      <c r="C784" s="79"/>
      <c r="D784" s="80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>
      <c r="A785" s="81"/>
      <c r="B785" s="68"/>
      <c r="C785" s="79"/>
      <c r="D785" s="80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>
      <c r="A786" s="81"/>
      <c r="B786" s="68"/>
      <c r="C786" s="79"/>
      <c r="D786" s="80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>
      <c r="A787" s="81"/>
      <c r="B787" s="68"/>
      <c r="C787" s="79"/>
      <c r="D787" s="80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>
      <c r="A788" s="81"/>
      <c r="B788" s="68"/>
      <c r="C788" s="79"/>
      <c r="D788" s="80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>
      <c r="A789" s="81"/>
      <c r="B789" s="68"/>
      <c r="C789" s="79"/>
      <c r="D789" s="80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>
      <c r="A790" s="81"/>
      <c r="B790" s="68"/>
      <c r="C790" s="79"/>
      <c r="D790" s="80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>
      <c r="A791" s="81"/>
      <c r="B791" s="68"/>
      <c r="C791" s="79"/>
      <c r="D791" s="80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>
      <c r="A792" s="81"/>
      <c r="B792" s="68"/>
      <c r="C792" s="79"/>
      <c r="D792" s="80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>
      <c r="A793" s="81"/>
      <c r="B793" s="68"/>
      <c r="C793" s="79"/>
      <c r="D793" s="80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>
      <c r="A794" s="81"/>
      <c r="B794" s="68"/>
      <c r="C794" s="79"/>
      <c r="D794" s="80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>
      <c r="A795" s="81"/>
      <c r="B795" s="68"/>
      <c r="C795" s="79"/>
      <c r="D795" s="80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>
      <c r="A796" s="81"/>
      <c r="B796" s="68"/>
      <c r="C796" s="79"/>
      <c r="D796" s="80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>
      <c r="A797" s="81"/>
      <c r="B797" s="68"/>
      <c r="C797" s="79"/>
      <c r="D797" s="80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>
      <c r="A798" s="81"/>
      <c r="B798" s="68"/>
      <c r="C798" s="79"/>
      <c r="D798" s="80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>
      <c r="A799" s="81"/>
      <c r="B799" s="68"/>
      <c r="C799" s="79"/>
      <c r="D799" s="80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>
      <c r="A800" s="81"/>
      <c r="B800" s="68"/>
      <c r="C800" s="79"/>
      <c r="D800" s="80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>
      <c r="A801" s="81"/>
      <c r="B801" s="68"/>
      <c r="C801" s="79"/>
      <c r="D801" s="80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>
      <c r="A802" s="81"/>
      <c r="B802" s="68"/>
      <c r="C802" s="79"/>
      <c r="D802" s="80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>
      <c r="A803" s="81"/>
      <c r="B803" s="68"/>
      <c r="C803" s="79"/>
      <c r="D803" s="80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>
      <c r="A804" s="81"/>
      <c r="B804" s="68"/>
      <c r="C804" s="79"/>
      <c r="D804" s="80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>
      <c r="A805" s="81"/>
      <c r="B805" s="68"/>
      <c r="C805" s="79"/>
      <c r="D805" s="80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>
      <c r="A806" s="81"/>
      <c r="B806" s="68"/>
      <c r="C806" s="79"/>
      <c r="D806" s="80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>
      <c r="A807" s="81"/>
      <c r="B807" s="68"/>
      <c r="C807" s="79"/>
      <c r="D807" s="80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>
      <c r="A808" s="81"/>
      <c r="B808" s="68"/>
      <c r="C808" s="79"/>
      <c r="D808" s="80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>
      <c r="A809" s="81"/>
      <c r="B809" s="68"/>
      <c r="C809" s="79"/>
      <c r="D809" s="80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>
      <c r="A810" s="81"/>
      <c r="B810" s="68"/>
      <c r="C810" s="79"/>
      <c r="D810" s="80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>
      <c r="A811" s="81"/>
      <c r="B811" s="68"/>
      <c r="C811" s="79"/>
      <c r="D811" s="80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>
      <c r="A812" s="81"/>
      <c r="B812" s="68"/>
      <c r="C812" s="79"/>
      <c r="D812" s="80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>
      <c r="A813" s="81"/>
      <c r="B813" s="68"/>
      <c r="C813" s="79"/>
      <c r="D813" s="80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>
      <c r="A814" s="81"/>
      <c r="B814" s="68"/>
      <c r="C814" s="79"/>
      <c r="D814" s="80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>
      <c r="A815" s="81"/>
      <c r="B815" s="68"/>
      <c r="C815" s="79"/>
      <c r="D815" s="80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>
      <c r="A816" s="81"/>
      <c r="B816" s="68"/>
      <c r="C816" s="79"/>
      <c r="D816" s="80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>
      <c r="A817" s="81"/>
      <c r="B817" s="68"/>
      <c r="C817" s="79"/>
      <c r="D817" s="80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>
      <c r="A818" s="81"/>
      <c r="B818" s="68"/>
      <c r="C818" s="79"/>
      <c r="D818" s="80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>
      <c r="A819" s="81"/>
      <c r="B819" s="68"/>
      <c r="C819" s="79"/>
      <c r="D819" s="80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>
      <c r="A820" s="81"/>
      <c r="B820" s="68"/>
      <c r="C820" s="79"/>
      <c r="D820" s="80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>
      <c r="A821" s="81"/>
      <c r="B821" s="68"/>
      <c r="C821" s="79"/>
      <c r="D821" s="80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>
      <c r="A822" s="81"/>
      <c r="B822" s="68"/>
      <c r="C822" s="79"/>
      <c r="D822" s="80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>
      <c r="A823" s="81"/>
      <c r="B823" s="68"/>
      <c r="C823" s="79"/>
      <c r="D823" s="80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>
      <c r="A824" s="81"/>
      <c r="B824" s="68"/>
      <c r="C824" s="79"/>
      <c r="D824" s="80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>
      <c r="A825" s="81"/>
      <c r="B825" s="68"/>
      <c r="C825" s="79"/>
      <c r="D825" s="80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>
      <c r="A826" s="81"/>
      <c r="B826" s="68"/>
      <c r="C826" s="79"/>
      <c r="D826" s="80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>
      <c r="A827" s="81"/>
      <c r="B827" s="68"/>
      <c r="C827" s="79"/>
      <c r="D827" s="80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>
      <c r="A828" s="81"/>
      <c r="B828" s="68"/>
      <c r="C828" s="79"/>
      <c r="D828" s="80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>
      <c r="A829" s="81"/>
      <c r="B829" s="68"/>
      <c r="C829" s="79"/>
      <c r="D829" s="80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>
      <c r="A830" s="81"/>
      <c r="B830" s="68"/>
      <c r="C830" s="79"/>
      <c r="D830" s="80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>
      <c r="A831" s="81"/>
      <c r="B831" s="68"/>
      <c r="C831" s="79"/>
      <c r="D831" s="80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>
      <c r="A832" s="81"/>
      <c r="B832" s="68"/>
      <c r="C832" s="79"/>
      <c r="D832" s="80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>
      <c r="A833" s="81"/>
      <c r="B833" s="68"/>
      <c r="C833" s="79"/>
      <c r="D833" s="80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>
      <c r="A834" s="81"/>
      <c r="B834" s="68"/>
      <c r="C834" s="79"/>
      <c r="D834" s="80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>
      <c r="A835" s="81"/>
      <c r="B835" s="68"/>
      <c r="C835" s="79"/>
      <c r="D835" s="80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>
      <c r="A836" s="81"/>
      <c r="B836" s="68"/>
      <c r="C836" s="79"/>
      <c r="D836" s="80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>
      <c r="A837" s="81"/>
      <c r="B837" s="68"/>
      <c r="C837" s="79"/>
      <c r="D837" s="80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>
      <c r="A838" s="81"/>
      <c r="B838" s="68"/>
      <c r="C838" s="79"/>
      <c r="D838" s="80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>
      <c r="A839" s="81"/>
      <c r="B839" s="68"/>
      <c r="C839" s="79"/>
      <c r="D839" s="80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>
      <c r="A840" s="81"/>
      <c r="B840" s="68"/>
      <c r="C840" s="79"/>
      <c r="D840" s="80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>
      <c r="A841" s="81"/>
      <c r="B841" s="68"/>
      <c r="C841" s="79"/>
      <c r="D841" s="80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>
      <c r="A842" s="81"/>
      <c r="B842" s="68"/>
      <c r="C842" s="79"/>
      <c r="D842" s="80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>
      <c r="A843" s="81"/>
      <c r="B843" s="68"/>
      <c r="C843" s="79"/>
      <c r="D843" s="80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>
      <c r="A844" s="81"/>
      <c r="B844" s="68"/>
      <c r="C844" s="79"/>
      <c r="D844" s="80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>
      <c r="A845" s="81"/>
      <c r="B845" s="68"/>
      <c r="C845" s="79"/>
      <c r="D845" s="80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>
      <c r="A846" s="81"/>
      <c r="B846" s="68"/>
      <c r="C846" s="79"/>
      <c r="D846" s="80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>
      <c r="A847" s="81"/>
      <c r="B847" s="68"/>
      <c r="C847" s="79"/>
      <c r="D847" s="80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>
      <c r="A848" s="81"/>
      <c r="B848" s="68"/>
      <c r="C848" s="79"/>
      <c r="D848" s="80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>
      <c r="A849" s="81"/>
      <c r="B849" s="68"/>
      <c r="C849" s="79"/>
      <c r="D849" s="80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>
      <c r="A850" s="81"/>
      <c r="B850" s="68"/>
      <c r="C850" s="79"/>
      <c r="D850" s="80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>
      <c r="A851" s="81"/>
      <c r="B851" s="68"/>
      <c r="C851" s="79"/>
      <c r="D851" s="80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>
      <c r="A852" s="81"/>
      <c r="B852" s="68"/>
      <c r="C852" s="79"/>
      <c r="D852" s="80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>
      <c r="A853" s="81"/>
      <c r="B853" s="68"/>
      <c r="C853" s="79"/>
      <c r="D853" s="80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>
      <c r="A854" s="81"/>
      <c r="B854" s="68"/>
      <c r="C854" s="79"/>
      <c r="D854" s="80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>
      <c r="A855" s="81"/>
      <c r="B855" s="68"/>
      <c r="C855" s="79"/>
      <c r="D855" s="80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>
      <c r="A856" s="81"/>
      <c r="B856" s="68"/>
      <c r="C856" s="79"/>
      <c r="D856" s="80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>
      <c r="A857" s="81"/>
      <c r="B857" s="68"/>
      <c r="C857" s="79"/>
      <c r="D857" s="80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>
      <c r="A858" s="81"/>
      <c r="B858" s="68"/>
      <c r="C858" s="79"/>
      <c r="D858" s="80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>
      <c r="A859" s="81"/>
      <c r="B859" s="68"/>
      <c r="C859" s="79"/>
      <c r="D859" s="80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>
      <c r="A860" s="81"/>
      <c r="B860" s="68"/>
      <c r="C860" s="79"/>
      <c r="D860" s="80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>
      <c r="A861" s="81"/>
      <c r="B861" s="68"/>
      <c r="C861" s="79"/>
      <c r="D861" s="80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>
      <c r="A862" s="81"/>
      <c r="B862" s="68"/>
      <c r="C862" s="79"/>
      <c r="D862" s="80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>
      <c r="A863" s="81"/>
      <c r="B863" s="68"/>
      <c r="C863" s="79"/>
      <c r="D863" s="80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>
      <c r="A864" s="81"/>
      <c r="B864" s="68"/>
      <c r="C864" s="79"/>
      <c r="D864" s="80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>
      <c r="A865" s="81"/>
      <c r="B865" s="68"/>
      <c r="C865" s="79"/>
      <c r="D865" s="80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>
      <c r="A866" s="81"/>
      <c r="B866" s="68"/>
      <c r="C866" s="79"/>
      <c r="D866" s="80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>
      <c r="A867" s="81"/>
      <c r="B867" s="68"/>
      <c r="C867" s="79"/>
      <c r="D867" s="80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>
      <c r="A868" s="81"/>
      <c r="B868" s="68"/>
      <c r="C868" s="79"/>
      <c r="D868" s="80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>
      <c r="A869" s="81"/>
      <c r="B869" s="68"/>
      <c r="C869" s="79"/>
      <c r="D869" s="80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>
      <c r="A870" s="81"/>
      <c r="B870" s="68"/>
      <c r="C870" s="79"/>
      <c r="D870" s="80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>
      <c r="A871" s="81"/>
      <c r="B871" s="68"/>
      <c r="C871" s="79"/>
      <c r="D871" s="80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>
      <c r="A872" s="81"/>
      <c r="B872" s="68"/>
      <c r="C872" s="79"/>
      <c r="D872" s="80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>
      <c r="A873" s="81"/>
      <c r="B873" s="68"/>
      <c r="C873" s="79"/>
      <c r="D873" s="80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>
      <c r="A874" s="81"/>
      <c r="B874" s="68"/>
      <c r="C874" s="79"/>
      <c r="D874" s="80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>
      <c r="A875" s="81"/>
      <c r="B875" s="68"/>
      <c r="C875" s="79"/>
      <c r="D875" s="80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>
      <c r="A876" s="81"/>
      <c r="B876" s="68"/>
      <c r="C876" s="79"/>
      <c r="D876" s="80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>
      <c r="A877" s="81"/>
      <c r="B877" s="68"/>
      <c r="C877" s="79"/>
      <c r="D877" s="80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>
      <c r="A878" s="81"/>
      <c r="B878" s="68"/>
      <c r="C878" s="79"/>
      <c r="D878" s="80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>
      <c r="A879" s="81"/>
      <c r="B879" s="68"/>
      <c r="C879" s="79"/>
      <c r="D879" s="80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>
      <c r="A880" s="81"/>
      <c r="B880" s="68"/>
      <c r="C880" s="79"/>
      <c r="D880" s="80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>
      <c r="A881" s="81"/>
      <c r="B881" s="68"/>
      <c r="C881" s="79"/>
      <c r="D881" s="80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>
      <c r="A882" s="81"/>
      <c r="B882" s="68"/>
      <c r="C882" s="79"/>
      <c r="D882" s="80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>
      <c r="A883" s="81"/>
      <c r="B883" s="68"/>
      <c r="C883" s="79"/>
      <c r="D883" s="80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>
      <c r="A884" s="81"/>
      <c r="B884" s="68"/>
      <c r="C884" s="79"/>
      <c r="D884" s="80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>
      <c r="A885" s="81"/>
      <c r="B885" s="68"/>
      <c r="C885" s="79"/>
      <c r="D885" s="80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>
      <c r="A886" s="81"/>
      <c r="B886" s="68"/>
      <c r="C886" s="79"/>
      <c r="D886" s="80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>
      <c r="A887" s="81"/>
      <c r="B887" s="68"/>
      <c r="C887" s="79"/>
      <c r="D887" s="80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>
      <c r="A888" s="81"/>
      <c r="B888" s="68"/>
      <c r="C888" s="79"/>
      <c r="D888" s="80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>
      <c r="A889" s="81"/>
      <c r="B889" s="68"/>
      <c r="C889" s="79"/>
      <c r="D889" s="80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>
      <c r="A890" s="81"/>
      <c r="B890" s="68"/>
      <c r="C890" s="79"/>
      <c r="D890" s="80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>
      <c r="A891" s="81"/>
      <c r="B891" s="68"/>
      <c r="C891" s="79"/>
      <c r="D891" s="80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>
      <c r="A892" s="81"/>
      <c r="B892" s="68"/>
      <c r="C892" s="79"/>
      <c r="D892" s="80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>
      <c r="A893" s="81"/>
      <c r="B893" s="68"/>
      <c r="C893" s="79"/>
      <c r="D893" s="80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>
      <c r="A894" s="81"/>
      <c r="B894" s="68"/>
      <c r="C894" s="79"/>
      <c r="D894" s="80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>
      <c r="A895" s="81"/>
      <c r="B895" s="68"/>
      <c r="C895" s="79"/>
      <c r="D895" s="80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>
      <c r="A896" s="81"/>
      <c r="B896" s="68"/>
      <c r="C896" s="79"/>
      <c r="D896" s="80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>
      <c r="A897" s="81"/>
      <c r="B897" s="68"/>
      <c r="C897" s="79"/>
      <c r="D897" s="80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>
      <c r="A898" s="81"/>
      <c r="B898" s="68"/>
      <c r="C898" s="79"/>
      <c r="D898" s="80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>
      <c r="A899" s="81"/>
      <c r="B899" s="68"/>
      <c r="C899" s="79"/>
      <c r="D899" s="80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>
      <c r="A900" s="81"/>
      <c r="B900" s="68"/>
      <c r="C900" s="79"/>
      <c r="D900" s="80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>
      <c r="A901" s="81"/>
      <c r="B901" s="68"/>
      <c r="C901" s="79"/>
      <c r="D901" s="80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>
      <c r="A902" s="81"/>
      <c r="B902" s="68"/>
      <c r="C902" s="79"/>
      <c r="D902" s="80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>
      <c r="A903" s="81"/>
      <c r="B903" s="68"/>
      <c r="C903" s="79"/>
      <c r="D903" s="80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>
      <c r="A904" s="81"/>
      <c r="B904" s="68"/>
      <c r="C904" s="79"/>
      <c r="D904" s="80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>
      <c r="A905" s="81"/>
      <c r="B905" s="68"/>
      <c r="C905" s="79"/>
      <c r="D905" s="80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>
      <c r="A906" s="81"/>
      <c r="B906" s="68"/>
      <c r="C906" s="79"/>
      <c r="D906" s="80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>
      <c r="A907" s="81"/>
      <c r="B907" s="68"/>
      <c r="C907" s="79"/>
      <c r="D907" s="80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>
      <c r="A908" s="81"/>
      <c r="B908" s="68"/>
      <c r="C908" s="79"/>
      <c r="D908" s="80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>
      <c r="A909" s="81"/>
      <c r="B909" s="68"/>
      <c r="C909" s="79"/>
      <c r="D909" s="80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>
      <c r="A910" s="81"/>
      <c r="B910" s="68"/>
      <c r="C910" s="79"/>
      <c r="D910" s="80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>
      <c r="A911" s="81"/>
      <c r="B911" s="68"/>
      <c r="C911" s="79"/>
      <c r="D911" s="80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>
      <c r="A912" s="81"/>
      <c r="B912" s="68"/>
      <c r="C912" s="79"/>
      <c r="D912" s="80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>
      <c r="A913" s="81"/>
      <c r="B913" s="68"/>
      <c r="C913" s="79"/>
      <c r="D913" s="80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>
      <c r="A914" s="81"/>
      <c r="B914" s="68"/>
      <c r="C914" s="79"/>
      <c r="D914" s="80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>
      <c r="A915" s="81"/>
      <c r="B915" s="68"/>
      <c r="C915" s="79"/>
      <c r="D915" s="80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>
      <c r="A916" s="81"/>
      <c r="B916" s="68"/>
      <c r="C916" s="79"/>
      <c r="D916" s="80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>
      <c r="A917" s="81"/>
      <c r="B917" s="68"/>
      <c r="C917" s="79"/>
      <c r="D917" s="80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>
      <c r="A918" s="81"/>
      <c r="B918" s="68"/>
      <c r="C918" s="79"/>
      <c r="D918" s="80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>
      <c r="A919" s="81"/>
      <c r="B919" s="68"/>
      <c r="C919" s="79"/>
      <c r="D919" s="80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>
      <c r="A920" s="81"/>
      <c r="B920" s="68"/>
      <c r="C920" s="79"/>
      <c r="D920" s="80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>
      <c r="A921" s="81"/>
      <c r="B921" s="68"/>
      <c r="C921" s="79"/>
      <c r="D921" s="80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>
      <c r="A922" s="81"/>
      <c r="B922" s="68"/>
      <c r="C922" s="79"/>
      <c r="D922" s="80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>
      <c r="A923" s="81"/>
      <c r="B923" s="68"/>
      <c r="C923" s="79"/>
      <c r="D923" s="80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>
      <c r="A924" s="81"/>
      <c r="B924" s="68"/>
      <c r="C924" s="79"/>
      <c r="D924" s="80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>
      <c r="A925" s="81"/>
      <c r="B925" s="68"/>
      <c r="C925" s="79"/>
      <c r="D925" s="80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>
      <c r="A926" s="81"/>
      <c r="B926" s="68"/>
      <c r="C926" s="79"/>
      <c r="D926" s="80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>
      <c r="A927" s="81"/>
      <c r="B927" s="68"/>
      <c r="C927" s="79"/>
      <c r="D927" s="80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>
      <c r="A928" s="81"/>
      <c r="B928" s="68"/>
      <c r="C928" s="79"/>
      <c r="D928" s="80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>
      <c r="A929" s="81"/>
      <c r="B929" s="68"/>
      <c r="C929" s="79"/>
      <c r="D929" s="80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>
      <c r="A930" s="81"/>
      <c r="B930" s="68"/>
      <c r="C930" s="79"/>
      <c r="D930" s="80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>
      <c r="A931" s="81"/>
      <c r="B931" s="68"/>
      <c r="C931" s="79"/>
      <c r="D931" s="80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>
      <c r="A932" s="81"/>
      <c r="B932" s="68"/>
      <c r="C932" s="79"/>
      <c r="D932" s="80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>
      <c r="A933" s="81"/>
      <c r="B933" s="68"/>
      <c r="C933" s="79"/>
      <c r="D933" s="80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>
      <c r="A934" s="81"/>
      <c r="B934" s="68"/>
      <c r="C934" s="79"/>
      <c r="D934" s="80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>
      <c r="A935" s="81"/>
      <c r="B935" s="68"/>
      <c r="C935" s="79"/>
      <c r="D935" s="80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>
      <c r="A936" s="81"/>
      <c r="B936" s="68"/>
      <c r="C936" s="79"/>
      <c r="D936" s="80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>
      <c r="A937" s="81"/>
      <c r="B937" s="68"/>
      <c r="C937" s="79"/>
      <c r="D937" s="80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>
      <c r="A938" s="81"/>
      <c r="B938" s="68"/>
      <c r="C938" s="79"/>
      <c r="D938" s="80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>
      <c r="A939" s="81"/>
      <c r="B939" s="68"/>
      <c r="C939" s="79"/>
      <c r="D939" s="80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>
      <c r="A940" s="81"/>
      <c r="B940" s="68"/>
      <c r="C940" s="79"/>
      <c r="D940" s="80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>
      <c r="A941" s="81"/>
      <c r="B941" s="68"/>
      <c r="C941" s="79"/>
      <c r="D941" s="80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>
      <c r="A942" s="81"/>
      <c r="B942" s="68"/>
      <c r="C942" s="79"/>
      <c r="D942" s="80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>
      <c r="A943" s="81"/>
      <c r="B943" s="68"/>
      <c r="C943" s="79"/>
      <c r="D943" s="80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>
      <c r="A944" s="81"/>
      <c r="B944" s="68"/>
      <c r="C944" s="79"/>
      <c r="D944" s="80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>
      <c r="A945" s="81"/>
      <c r="B945" s="68"/>
      <c r="C945" s="79"/>
      <c r="D945" s="80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>
      <c r="A946" s="81"/>
      <c r="B946" s="68"/>
      <c r="C946" s="79"/>
      <c r="D946" s="80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>
      <c r="A947" s="81"/>
      <c r="B947" s="68"/>
      <c r="C947" s="79"/>
      <c r="D947" s="80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>
      <c r="A948" s="81"/>
      <c r="B948" s="68"/>
      <c r="C948" s="79"/>
      <c r="D948" s="80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>
      <c r="A949" s="81"/>
      <c r="B949" s="68"/>
      <c r="C949" s="79"/>
      <c r="D949" s="80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>
      <c r="A950" s="81"/>
      <c r="B950" s="68"/>
      <c r="C950" s="79"/>
      <c r="D950" s="80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>
      <c r="A951" s="81"/>
      <c r="B951" s="68"/>
      <c r="C951" s="79"/>
      <c r="D951" s="80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>
      <c r="A952" s="81"/>
      <c r="B952" s="68"/>
      <c r="C952" s="79"/>
      <c r="D952" s="80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>
      <c r="A953" s="81"/>
      <c r="B953" s="68"/>
      <c r="C953" s="79"/>
      <c r="D953" s="80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>
      <c r="A954" s="81"/>
      <c r="B954" s="68"/>
      <c r="C954" s="79"/>
      <c r="D954" s="80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>
      <c r="A955" s="81"/>
      <c r="B955" s="68"/>
      <c r="C955" s="79"/>
      <c r="D955" s="80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>
      <c r="A956" s="81"/>
      <c r="B956" s="68"/>
      <c r="C956" s="79"/>
      <c r="D956" s="80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>
      <c r="A957" s="81"/>
      <c r="B957" s="68"/>
      <c r="C957" s="79"/>
      <c r="D957" s="80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>
      <c r="A958" s="81"/>
      <c r="B958" s="68"/>
      <c r="C958" s="79"/>
      <c r="D958" s="80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>
      <c r="A959" s="81"/>
      <c r="B959" s="68"/>
      <c r="C959" s="79"/>
      <c r="D959" s="80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>
      <c r="A960" s="81"/>
      <c r="B960" s="68"/>
      <c r="C960" s="79"/>
      <c r="D960" s="80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>
      <c r="A961" s="81"/>
      <c r="B961" s="68"/>
      <c r="C961" s="79"/>
      <c r="D961" s="80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>
      <c r="A962" s="81"/>
      <c r="B962" s="68"/>
      <c r="C962" s="79"/>
      <c r="D962" s="80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>
      <c r="A963" s="81"/>
      <c r="B963" s="68"/>
      <c r="C963" s="79"/>
      <c r="D963" s="80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>
      <c r="A964" s="81"/>
      <c r="B964" s="68"/>
      <c r="C964" s="79"/>
      <c r="D964" s="80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>
      <c r="A965" s="81"/>
      <c r="B965" s="68"/>
      <c r="C965" s="79"/>
      <c r="D965" s="80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>
      <c r="A966" s="81"/>
      <c r="B966" s="68"/>
      <c r="C966" s="79"/>
      <c r="D966" s="80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>
      <c r="A967" s="81"/>
      <c r="B967" s="68"/>
      <c r="C967" s="79"/>
      <c r="D967" s="80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>
      <c r="A968" s="81"/>
      <c r="B968" s="68"/>
      <c r="C968" s="79"/>
      <c r="D968" s="80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>
      <c r="A969" s="81"/>
      <c r="B969" s="68"/>
      <c r="C969" s="79"/>
      <c r="D969" s="80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>
      <c r="A970" s="81"/>
      <c r="B970" s="68"/>
      <c r="C970" s="79"/>
      <c r="D970" s="80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>
      <c r="A971" s="81"/>
      <c r="B971" s="68"/>
      <c r="C971" s="79"/>
      <c r="D971" s="80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>
      <c r="A972" s="81"/>
      <c r="B972" s="68"/>
      <c r="C972" s="79"/>
      <c r="D972" s="80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>
      <c r="A973" s="81"/>
      <c r="B973" s="68"/>
      <c r="C973" s="79"/>
      <c r="D973" s="80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>
      <c r="A974" s="81"/>
      <c r="B974" s="68"/>
      <c r="C974" s="79"/>
      <c r="D974" s="80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>
      <c r="A975" s="81"/>
      <c r="B975" s="68"/>
      <c r="C975" s="79"/>
      <c r="D975" s="80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>
      <c r="A976" s="81"/>
      <c r="B976" s="68"/>
      <c r="C976" s="79"/>
      <c r="D976" s="80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>
      <c r="A977" s="81"/>
      <c r="B977" s="68"/>
      <c r="C977" s="79"/>
      <c r="D977" s="80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>
      <c r="A978" s="81"/>
      <c r="B978" s="68"/>
      <c r="C978" s="79"/>
      <c r="D978" s="80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>
      <c r="A979" s="81"/>
      <c r="B979" s="68"/>
      <c r="C979" s="79"/>
      <c r="D979" s="80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>
      <c r="A980" s="81"/>
      <c r="B980" s="68"/>
      <c r="C980" s="79"/>
      <c r="D980" s="80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>
      <c r="A981" s="81"/>
      <c r="B981" s="68"/>
      <c r="C981" s="79"/>
      <c r="D981" s="80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>
      <c r="A982" s="81"/>
      <c r="B982" s="68"/>
      <c r="C982" s="79"/>
      <c r="D982" s="80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>
      <c r="A983" s="81"/>
      <c r="B983" s="68"/>
      <c r="C983" s="79"/>
      <c r="D983" s="80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>
      <c r="A984" s="81"/>
      <c r="B984" s="68"/>
      <c r="C984" s="79"/>
      <c r="D984" s="80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>
      <c r="A985" s="81"/>
      <c r="B985" s="68"/>
      <c r="C985" s="79"/>
      <c r="D985" s="80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>
      <c r="A986" s="81"/>
      <c r="B986" s="68"/>
      <c r="C986" s="79"/>
      <c r="D986" s="80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>
      <c r="A987" s="81"/>
      <c r="B987" s="68"/>
      <c r="C987" s="79"/>
      <c r="D987" s="80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>
      <c r="A988" s="81"/>
      <c r="B988" s="68"/>
      <c r="C988" s="79"/>
      <c r="D988" s="80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>
      <c r="A989" s="81"/>
      <c r="B989" s="68"/>
      <c r="C989" s="79"/>
      <c r="D989" s="80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>
      <c r="A990" s="81"/>
      <c r="B990" s="68"/>
      <c r="C990" s="79"/>
      <c r="D990" s="80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>
      <c r="A991" s="81"/>
      <c r="B991" s="68"/>
      <c r="C991" s="79"/>
      <c r="D991" s="80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>
      <c r="A992" s="81"/>
      <c r="B992" s="68"/>
      <c r="C992" s="79"/>
      <c r="D992" s="80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>
      <c r="A993" s="81"/>
      <c r="B993" s="68"/>
      <c r="C993" s="79"/>
      <c r="D993" s="80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>
      <c r="A994" s="81"/>
      <c r="B994" s="68"/>
      <c r="C994" s="79"/>
      <c r="D994" s="80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>
      <c r="A995" s="81"/>
      <c r="B995" s="68"/>
      <c r="C995" s="79"/>
      <c r="D995" s="80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>
      <c r="A996" s="81"/>
      <c r="B996" s="68"/>
      <c r="C996" s="79"/>
      <c r="D996" s="80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>
      <c r="A997" s="81"/>
      <c r="B997" s="68"/>
      <c r="C997" s="79"/>
      <c r="D997" s="80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>
      <c r="A998" s="81"/>
      <c r="B998" s="68"/>
      <c r="C998" s="79"/>
      <c r="D998" s="80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>
      <c r="A999" s="81"/>
      <c r="B999" s="68"/>
      <c r="C999" s="79"/>
      <c r="D999" s="80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>
      <c r="A1000" s="81"/>
      <c r="B1000" s="68"/>
      <c r="C1000" s="79"/>
      <c r="D1000" s="80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</sheetData>
  <drawing r:id="rId1"/>
</worksheet>
</file>